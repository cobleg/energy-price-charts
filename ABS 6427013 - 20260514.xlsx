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30"/>
  <workbookPr/>
  <mc:AlternateContent xmlns:mc="http://schemas.openxmlformats.org/markup-compatibility/2006">
    <mc:Choice Requires="x15">
      <x15ac:absPath xmlns:x15ac="http://schemas.microsoft.com/office/spreadsheetml/2010/11/ac" url="F:\Data\Energy prices\"/>
    </mc:Choice>
  </mc:AlternateContent>
  <xr:revisionPtr revIDLastSave="0" documentId="8_{E4FA0740-5D9C-4C41-A1D0-46F60F68EF35}" xr6:coauthVersionLast="47" xr6:coauthVersionMax="47" xr10:uidLastSave="{00000000-0000-0000-0000-000000000000}"/>
  <bookViews>
    <workbookView xWindow="-120" yWindow="-120" windowWidth="29040" windowHeight="15990" activeTab="3" xr2:uid="{00000000-000D-0000-FFFF-FFFF00000000}"/>
  </bookViews>
  <sheets>
    <sheet name="Index" sheetId="3" r:id="rId1"/>
    <sheet name="Data1" sheetId="1" r:id="rId2"/>
    <sheet name="Enquiries" sheetId="2" r:id="rId3"/>
    <sheet name="Summary Stats" sheetId="4" r:id="rId4"/>
    <sheet name="Charts" sheetId="5" r:id="rId5"/>
  </sheets>
  <definedNames>
    <definedName name="A117729353V">Data1!$AV$1:$AV$10,Data1!$AV$143:$AV$241</definedName>
    <definedName name="A117729353V_Data">Data1!$AV$143:$AV$241</definedName>
    <definedName name="A117729353V_Latest">Data1!$AV$241</definedName>
    <definedName name="A2309054F">Data1!$B$1:$B$10,Data1!$B$11:$B$241</definedName>
    <definedName name="A2309054F_Data">Data1!$B$11:$B$241</definedName>
    <definedName name="A2309054F_Latest">Data1!$B$241</definedName>
    <definedName name="A2309055J">Data1!$F$1:$F$10,Data1!$F$12:$F$241</definedName>
    <definedName name="A2309055J_Data">Data1!$F$12:$F$241</definedName>
    <definedName name="A2309055J_Latest">Data1!$F$241</definedName>
    <definedName name="A2309056K">Data1!$I$1:$I$10,Data1!$I$15:$I$241</definedName>
    <definedName name="A2309056K_Data">Data1!$I$15:$I$241</definedName>
    <definedName name="A2309056K_Latest">Data1!$I$241</definedName>
    <definedName name="A2309057L">Data1!$L$1:$L$10,Data1!$L$122:$L$241</definedName>
    <definedName name="A2309057L_Data">Data1!$L$122:$L$241</definedName>
    <definedName name="A2309057L_Latest">Data1!$L$241</definedName>
    <definedName name="A2309060A">Data1!$T$1:$T$10,Data1!$T$122:$T$241</definedName>
    <definedName name="A2309060A_Data">Data1!$T$122:$T$241</definedName>
    <definedName name="A2309060A_Latest">Data1!$T$241</definedName>
    <definedName name="A2309063J">Data1!$U$1:$U$10,Data1!$U$122:$U$241</definedName>
    <definedName name="A2309063J_Data">Data1!$U$122:$U$241</definedName>
    <definedName name="A2309063J_Latest">Data1!$U$241</definedName>
    <definedName name="A2309066R">Data1!$V$1:$V$10,Data1!$V$122:$V$241</definedName>
    <definedName name="A2309066R_Data">Data1!$V$122:$V$241</definedName>
    <definedName name="A2309066R_Latest">Data1!$V$241</definedName>
    <definedName name="A2309069W">Data1!$W$1:$W$10,Data1!$W$122:$W$241</definedName>
    <definedName name="A2309069W_Data">Data1!$W$122:$W$241</definedName>
    <definedName name="A2309069W_Latest">Data1!$W$241</definedName>
    <definedName name="A2309072K">Data1!$X$1:$X$10,Data1!$X$122:$X$241</definedName>
    <definedName name="A2309072K_Data">Data1!$X$122:$X$241</definedName>
    <definedName name="A2309072K_Latest">Data1!$X$241</definedName>
    <definedName name="A2309075T">Data1!$AA$1:$AA$10,Data1!$AA$122:$AA$241</definedName>
    <definedName name="A2309075T_Data">Data1!$AA$122:$AA$241</definedName>
    <definedName name="A2309075T_Latest">Data1!$AA$241</definedName>
    <definedName name="A2309084V">Data1!$AQ$1:$AQ$10,Data1!$AQ$122:$AQ$241</definedName>
    <definedName name="A2309084V_Data">Data1!$AQ$122:$AQ$241</definedName>
    <definedName name="A2309084V_Latest">Data1!$AQ$241</definedName>
    <definedName name="A2309099K">Data1!$O$1:$O$10,Data1!$O$122:$O$241</definedName>
    <definedName name="A2309099K_Data">Data1!$O$122:$O$241</definedName>
    <definedName name="A2309099K_Latest">Data1!$O$241</definedName>
    <definedName name="A2309102L">Data1!$Q$1:$Q$10,Data1!$Q$122:$Q$241</definedName>
    <definedName name="A2309102L_Data">Data1!$Q$122:$Q$241</definedName>
    <definedName name="A2309102L_Latest">Data1!$Q$241</definedName>
    <definedName name="A2309105V">Data1!$R$1:$R$10,Data1!$R$122:$R$241</definedName>
    <definedName name="A2309105V_Data">Data1!$R$122:$R$241</definedName>
    <definedName name="A2309105V_Latest">Data1!$R$241</definedName>
    <definedName name="A2309108A">Data1!$S$1:$S$10,Data1!$S$122:$S$241</definedName>
    <definedName name="A2309108A_Data">Data1!$S$122:$S$241</definedName>
    <definedName name="A2309108A_Latest">Data1!$S$241</definedName>
    <definedName name="A2309126F">Data1!$Y$1:$Y$10,Data1!$Y$122:$Y$241</definedName>
    <definedName name="A2309126F_Data">Data1!$Y$122:$Y$241</definedName>
    <definedName name="A2309126F_Latest">Data1!$Y$241</definedName>
    <definedName name="A2309129L">Data1!$Z$1:$Z$10,Data1!$Z$122:$Z$241</definedName>
    <definedName name="A2309129L_Data">Data1!$Z$122:$Z$241</definedName>
    <definedName name="A2309129L_Latest">Data1!$Z$241</definedName>
    <definedName name="A2309135J">Data1!$AE$1:$AE$10,Data1!$AE$122:$AE$241</definedName>
    <definedName name="A2309135J_Data">Data1!$AE$122:$AE$241</definedName>
    <definedName name="A2309135J_Latest">Data1!$AE$241</definedName>
    <definedName name="A2309138R">Data1!$AC$1:$AC$10,Data1!$AC$122:$AC$241</definedName>
    <definedName name="A2309138R_Data">Data1!$AC$122:$AC$241</definedName>
    <definedName name="A2309138R_Latest">Data1!$AC$241</definedName>
    <definedName name="A2309141C">Data1!$AG$1:$AG$10,Data1!$AG$122:$AG$241</definedName>
    <definedName name="A2309141C_Data">Data1!$AG$122:$AG$241</definedName>
    <definedName name="A2309141C_Latest">Data1!$AG$241</definedName>
    <definedName name="A2309144K">Data1!$AH$1:$AH$10,Data1!$AH$122:$AH$241</definedName>
    <definedName name="A2309144K_Data">Data1!$AH$122:$AH$241</definedName>
    <definedName name="A2309144K_Latest">Data1!$AH$241</definedName>
    <definedName name="A2309147T">Data1!$AI$1:$AI$10,Data1!$AI$122:$AI$241</definedName>
    <definedName name="A2309147T_Data">Data1!$AI$122:$AI$241</definedName>
    <definedName name="A2309147T_Latest">Data1!$AI$241</definedName>
    <definedName name="A2309150F">Data1!$AL$1:$AL$10,Data1!$AL$122:$AL$241</definedName>
    <definedName name="A2309150F_Data">Data1!$AL$122:$AL$241</definedName>
    <definedName name="A2309150F_Latest">Data1!$AL$241</definedName>
    <definedName name="A2309156V">Data1!$AP$1:$AP$10,Data1!$AP$122:$AP$241</definedName>
    <definedName name="A2309156V_Data">Data1!$AP$122:$AP$241</definedName>
    <definedName name="A2309156V_Latest">Data1!$AP$241</definedName>
    <definedName name="A2309162R">Data1!$AR$1:$AR$10,Data1!$AR$122:$AR$241</definedName>
    <definedName name="A2309162R_Data">Data1!$AR$122:$AR$241</definedName>
    <definedName name="A2309162R_Latest">Data1!$AR$241</definedName>
    <definedName name="A2309171T">Data1!$AX$1:$AX$10,Data1!$AX$122:$AX$241</definedName>
    <definedName name="A2309171T_Data">Data1!$AX$122:$AX$241</definedName>
    <definedName name="A2309171T_Latest">Data1!$AX$241</definedName>
    <definedName name="A2309174X">Data1!$AZ$1:$AZ$10,Data1!$AZ$122:$AZ$241</definedName>
    <definedName name="A2309174X_Data">Data1!$AZ$122:$AZ$241</definedName>
    <definedName name="A2309174X_Latest">Data1!$AZ$241</definedName>
    <definedName name="A2309177F">Data1!$BA$1:$BA$10,Data1!$BA$122:$BA$241</definedName>
    <definedName name="A2309177F_Data">Data1!$BA$122:$BA$241</definedName>
    <definedName name="A2309177F_Latest">Data1!$BA$241</definedName>
    <definedName name="A2309180V">Data1!$BC$1:$BC$10,Data1!$BC$122:$BC$241</definedName>
    <definedName name="A2309180V_Data">Data1!$BC$122:$BC$241</definedName>
    <definedName name="A2309180V_Latest">Data1!$BC$241</definedName>
    <definedName name="A2309183A">Data1!$BD$1:$BD$10,Data1!$BD$122:$BD$241</definedName>
    <definedName name="A2309183A_Data">Data1!$BD$122:$BD$241</definedName>
    <definedName name="A2309183A_Latest">Data1!$BD$241</definedName>
    <definedName name="A2309192C">Data1!$BK$1:$BK$10,Data1!$BK$17:$BK$241</definedName>
    <definedName name="A2309192C_Data">Data1!$BK$17:$BK$241</definedName>
    <definedName name="A2309192C_Latest">Data1!$BK$241</definedName>
    <definedName name="A2309195K">Data1!$BJ$1:$BJ$10,Data1!$BJ$17:$BJ$241</definedName>
    <definedName name="A2309195K_Data">Data1!$BJ$17:$BJ$241</definedName>
    <definedName name="A2309195K_Latest">Data1!$BJ$241</definedName>
    <definedName name="A2313704X">Data1!$E$1:$E$10,Data1!$E$87:$E$241</definedName>
    <definedName name="A2313704X_Data">Data1!$E$87:$E$241</definedName>
    <definedName name="A2313704X_Latest">Data1!$E$241</definedName>
    <definedName name="A2313785L">Data1!$C$1:$C$10,Data1!$C$11:$C$241</definedName>
    <definedName name="A2313785L_Data">Data1!$C$11:$C$241</definedName>
    <definedName name="A2313785L_Latest">Data1!$C$241</definedName>
    <definedName name="A2313786R">Data1!$G$1:$G$10,Data1!$G$12:$G$241</definedName>
    <definedName name="A2313786R_Data">Data1!$G$12:$G$241</definedName>
    <definedName name="A2313786R_Latest">Data1!$G$241</definedName>
    <definedName name="A2313787T">Data1!$J$1:$J$10,Data1!$J$15:$J$241</definedName>
    <definedName name="A2313787T_Data">Data1!$J$15:$J$241</definedName>
    <definedName name="A2313787T_Latest">Data1!$J$241</definedName>
    <definedName name="A2313788V">Data1!$D$1:$D$10,Data1!$D$11:$D$241</definedName>
    <definedName name="A2313788V_Data">Data1!$D$11:$D$241</definedName>
    <definedName name="A2313788V_Latest">Data1!$D$241</definedName>
    <definedName name="A2313789W">Data1!$H$1:$H$10,Data1!$H$12:$H$241</definedName>
    <definedName name="A2313789W_Data">Data1!$H$12:$H$241</definedName>
    <definedName name="A2313789W_Latest">Data1!$H$241</definedName>
    <definedName name="A2313790F">Data1!$K$1:$K$10,Data1!$K$15:$K$241</definedName>
    <definedName name="A2313790F_Data">Data1!$K$15:$K$241</definedName>
    <definedName name="A2313790F_Latest">Data1!$K$241</definedName>
    <definedName name="A3343966C">Data1!$M$1:$M$10,Data1!$M$143:$M$241</definedName>
    <definedName name="A3343966C_Data">Data1!$M$143:$M$241</definedName>
    <definedName name="A3343966C_Latest">Data1!$M$241</definedName>
    <definedName name="A3343968J">Data1!$N$1:$N$10,Data1!$N$143:$N$241</definedName>
    <definedName name="A3343968J_Data">Data1!$N$143:$N$241</definedName>
    <definedName name="A3343968J_Latest">Data1!$N$241</definedName>
    <definedName name="A3343970V">Data1!$P$1:$P$10,Data1!$P$143:$P$241</definedName>
    <definedName name="A3343970V_Data">Data1!$P$143:$P$241</definedName>
    <definedName name="A3343970V_Latest">Data1!$P$241</definedName>
    <definedName name="A3343972X">Data1!$AB$1:$AB$10,Data1!$AB$143:$AB$241</definedName>
    <definedName name="A3343972X_Data">Data1!$AB$143:$AB$241</definedName>
    <definedName name="A3343972X_Latest">Data1!$AB$241</definedName>
    <definedName name="A3343974C">Data1!$AD$1:$AD$10,Data1!$AD$143:$AD$241</definedName>
    <definedName name="A3343974C_Data">Data1!$AD$143:$AD$241</definedName>
    <definedName name="A3343974C_Latest">Data1!$AD$241</definedName>
    <definedName name="A3343976J">Data1!$AF$1:$AF$10,Data1!$AF$143:$AF$241</definedName>
    <definedName name="A3343976J_Data">Data1!$AF$143:$AF$241</definedName>
    <definedName name="A3343976J_Latest">Data1!$AF$241</definedName>
    <definedName name="A3343978L">Data1!$AJ$1:$AJ$10,Data1!$AJ$143:$AJ$241</definedName>
    <definedName name="A3343978L_Data">Data1!$AJ$143:$AJ$241</definedName>
    <definedName name="A3343978L_Latest">Data1!$AJ$241</definedName>
    <definedName name="A3343980X">Data1!$AK$1:$AK$10,Data1!$AK$143:$AK$241</definedName>
    <definedName name="A3343980X_Data">Data1!$AK$143:$AK$241</definedName>
    <definedName name="A3343980X_Latest">Data1!$AK$241</definedName>
    <definedName name="A3343982C">Data1!$AM$1:$AM$10,Data1!$AM$143:$AM$241</definedName>
    <definedName name="A3343982C_Data">Data1!$AM$143:$AM$241</definedName>
    <definedName name="A3343982C_Latest">Data1!$AM$241</definedName>
    <definedName name="A3343984J">Data1!$AN$1:$AN$10,Data1!$AN$143:$AN$241</definedName>
    <definedName name="A3343984J_Data">Data1!$AN$143:$AN$241</definedName>
    <definedName name="A3343984J_Latest">Data1!$AN$241</definedName>
    <definedName name="A3343986L">Data1!$AO$1:$AO$10,Data1!$AO$143:$AO$241</definedName>
    <definedName name="A3343986L_Data">Data1!$AO$143:$AO$241</definedName>
    <definedName name="A3343986L_Latest">Data1!$AO$241</definedName>
    <definedName name="A3343988T">Data1!$AS$1:$AS$10,Data1!$AS$143:$AS$241</definedName>
    <definedName name="A3343988T_Data">Data1!$AS$143:$AS$241</definedName>
    <definedName name="A3343988T_Latest">Data1!$AS$241</definedName>
    <definedName name="A3343990C">Data1!$AT$1:$AT$10,Data1!$AT$143:$AT$241</definedName>
    <definedName name="A3343990C_Data">Data1!$AT$143:$AT$241</definedName>
    <definedName name="A3343990C_Latest">Data1!$AT$241</definedName>
    <definedName name="A3343992J">Data1!$AU$1:$AU$10,Data1!$AU$143:$AU$241</definedName>
    <definedName name="A3343992J_Data">Data1!$AU$143:$AU$241</definedName>
    <definedName name="A3343992J_Latest">Data1!$AU$241</definedName>
    <definedName name="A3343994L">Data1!$AW$1:$AW$10,Data1!$AW$143:$AW$241</definedName>
    <definedName name="A3343994L_Data">Data1!$AW$143:$AW$241</definedName>
    <definedName name="A3343994L_Latest">Data1!$AW$241</definedName>
    <definedName name="A3343996T">Data1!$AY$1:$AY$10,Data1!$AY$143:$AY$241</definedName>
    <definedName name="A3343996T_Data">Data1!$AY$143:$AY$241</definedName>
    <definedName name="A3343996T_Latest">Data1!$AY$241</definedName>
    <definedName name="A3343998W">Data1!$BB$1:$BB$10,Data1!$BB$143:$BB$241</definedName>
    <definedName name="A3343998W_Data">Data1!$BB$143:$BB$241</definedName>
    <definedName name="A3343998W_Latest">Data1!$BB$241</definedName>
    <definedName name="A3344000X">Data1!$BE$1:$BE$10,Data1!$BE$143:$BE$241</definedName>
    <definedName name="A3344000X_Data">Data1!$BE$143:$BE$241</definedName>
    <definedName name="A3344000X_Latest">Data1!$BE$241</definedName>
    <definedName name="A3344002C">Data1!$BF$1:$BF$10,Data1!$BF$143:$BF$241</definedName>
    <definedName name="A3344002C_Data">Data1!$BF$143:$BF$241</definedName>
    <definedName name="A3344002C_Latest">Data1!$BF$241</definedName>
    <definedName name="A3344004J">Data1!$BG$1:$BG$10,Data1!$BG$143:$BG$241</definedName>
    <definedName name="A3344004J_Data">Data1!$BG$143:$BG$241</definedName>
    <definedName name="A3344004J_Latest">Data1!$BG$241</definedName>
    <definedName name="A3344006L">Data1!$BH$1:$BH$10,Data1!$BH$143:$BH$241</definedName>
    <definedName name="A3344006L_Data">Data1!$BH$143:$BH$241</definedName>
    <definedName name="A3344006L_Latest">Data1!$BH$241</definedName>
    <definedName name="A3344008T">Data1!$BI$1:$BI$10,Data1!$BI$143:$BI$241</definedName>
    <definedName name="A3344008T_Data">Data1!$BI$143:$BI$241</definedName>
    <definedName name="A3344008T_Latest">Data1!$BI$241</definedName>
    <definedName name="Date_Range">Data1!$A$2:$A$10,Data1!$A$11:$A$241</definedName>
    <definedName name="Date_Range_Data">Data1!$A$11:$A$241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7" i="5" l="1"/>
  <c r="P57" i="5"/>
  <c r="Q57" i="5"/>
  <c r="R57" i="5"/>
  <c r="S57" i="5"/>
  <c r="T57" i="5"/>
  <c r="O58" i="5"/>
  <c r="P58" i="5"/>
  <c r="Q58" i="5"/>
  <c r="R58" i="5"/>
  <c r="S58" i="5"/>
  <c r="T58" i="5"/>
  <c r="O59" i="5"/>
  <c r="P59" i="5"/>
  <c r="Q59" i="5"/>
  <c r="R59" i="5"/>
  <c r="S59" i="5"/>
  <c r="T59" i="5"/>
  <c r="O60" i="5"/>
  <c r="P60" i="5"/>
  <c r="Q60" i="5"/>
  <c r="R60" i="5"/>
  <c r="S60" i="5"/>
  <c r="T60" i="5"/>
  <c r="O61" i="5"/>
  <c r="P61" i="5"/>
  <c r="Q61" i="5"/>
  <c r="R61" i="5"/>
  <c r="S61" i="5"/>
  <c r="T61" i="5"/>
  <c r="O62" i="5"/>
  <c r="P62" i="5"/>
  <c r="Q62" i="5"/>
  <c r="R62" i="5"/>
  <c r="S62" i="5"/>
  <c r="T62" i="5"/>
  <c r="O63" i="5"/>
  <c r="P63" i="5"/>
  <c r="Q63" i="5"/>
  <c r="R63" i="5"/>
  <c r="S63" i="5"/>
  <c r="T63" i="5"/>
  <c r="O64" i="5"/>
  <c r="P64" i="5"/>
  <c r="Q64" i="5"/>
  <c r="R64" i="5"/>
  <c r="S64" i="5"/>
  <c r="T64" i="5"/>
  <c r="O65" i="5"/>
  <c r="P65" i="5"/>
  <c r="Q65" i="5"/>
  <c r="R65" i="5"/>
  <c r="S65" i="5"/>
  <c r="T65" i="5"/>
  <c r="O66" i="5"/>
  <c r="P66" i="5"/>
  <c r="Q66" i="5"/>
  <c r="R66" i="5"/>
  <c r="S66" i="5"/>
  <c r="T66" i="5"/>
  <c r="O67" i="5"/>
  <c r="P67" i="5"/>
  <c r="Q67" i="5"/>
  <c r="R67" i="5"/>
  <c r="S67" i="5"/>
  <c r="T67" i="5"/>
  <c r="O68" i="5"/>
  <c r="P68" i="5"/>
  <c r="Q68" i="5"/>
  <c r="R68" i="5"/>
  <c r="S68" i="5"/>
  <c r="T68" i="5"/>
  <c r="O69" i="5"/>
  <c r="P69" i="5"/>
  <c r="Q69" i="5"/>
  <c r="R69" i="5"/>
  <c r="S69" i="5"/>
  <c r="T69" i="5"/>
  <c r="O70" i="5"/>
  <c r="P70" i="5"/>
  <c r="Q70" i="5"/>
  <c r="R70" i="5"/>
  <c r="S70" i="5"/>
  <c r="T70" i="5"/>
  <c r="O71" i="5"/>
  <c r="P71" i="5"/>
  <c r="Q71" i="5"/>
  <c r="R71" i="5"/>
  <c r="S71" i="5"/>
  <c r="T71" i="5"/>
  <c r="O72" i="5"/>
  <c r="P72" i="5"/>
  <c r="Q72" i="5"/>
  <c r="R72" i="5"/>
  <c r="S72" i="5"/>
  <c r="T72" i="5"/>
  <c r="O73" i="5"/>
  <c r="P73" i="5"/>
  <c r="Q73" i="5"/>
  <c r="R73" i="5"/>
  <c r="S73" i="5"/>
  <c r="T73" i="5"/>
  <c r="O74" i="5"/>
  <c r="P74" i="5"/>
  <c r="Q74" i="5"/>
  <c r="R74" i="5"/>
  <c r="S74" i="5"/>
  <c r="T74" i="5"/>
  <c r="O75" i="5"/>
  <c r="P75" i="5"/>
  <c r="Q75" i="5"/>
  <c r="R75" i="5"/>
  <c r="S75" i="5"/>
  <c r="T75" i="5"/>
  <c r="O76" i="5"/>
  <c r="P76" i="5"/>
  <c r="Q76" i="5"/>
  <c r="R76" i="5"/>
  <c r="S76" i="5"/>
  <c r="T76" i="5"/>
  <c r="O77" i="5"/>
  <c r="P77" i="5"/>
  <c r="Q77" i="5"/>
  <c r="R77" i="5"/>
  <c r="S77" i="5"/>
  <c r="T77" i="5"/>
  <c r="O78" i="5"/>
  <c r="P78" i="5"/>
  <c r="Q78" i="5"/>
  <c r="R78" i="5"/>
  <c r="S78" i="5"/>
  <c r="T78" i="5"/>
  <c r="O79" i="5"/>
  <c r="P79" i="5"/>
  <c r="Q79" i="5"/>
  <c r="R79" i="5"/>
  <c r="S79" i="5"/>
  <c r="T79" i="5"/>
  <c r="O80" i="5"/>
  <c r="P80" i="5"/>
  <c r="Q80" i="5"/>
  <c r="R80" i="5"/>
  <c r="S80" i="5"/>
  <c r="T80" i="5"/>
  <c r="O81" i="5"/>
  <c r="P81" i="5"/>
  <c r="Q81" i="5"/>
  <c r="R81" i="5"/>
  <c r="S81" i="5"/>
  <c r="T81" i="5"/>
  <c r="O82" i="5"/>
  <c r="P82" i="5"/>
  <c r="Q82" i="5"/>
  <c r="R82" i="5"/>
  <c r="S82" i="5"/>
  <c r="T82" i="5"/>
  <c r="O83" i="5"/>
  <c r="P83" i="5"/>
  <c r="Q83" i="5"/>
  <c r="R83" i="5"/>
  <c r="S83" i="5"/>
  <c r="T83" i="5"/>
  <c r="O84" i="5"/>
  <c r="P84" i="5"/>
  <c r="Q84" i="5"/>
  <c r="R84" i="5"/>
  <c r="S84" i="5"/>
  <c r="T84" i="5"/>
  <c r="O85" i="5"/>
  <c r="P85" i="5"/>
  <c r="Q85" i="5"/>
  <c r="R85" i="5"/>
  <c r="S85" i="5"/>
  <c r="T85" i="5"/>
  <c r="O86" i="5"/>
  <c r="P86" i="5"/>
  <c r="Q86" i="5"/>
  <c r="R86" i="5"/>
  <c r="S86" i="5"/>
  <c r="T86" i="5"/>
  <c r="O87" i="5"/>
  <c r="P87" i="5"/>
  <c r="Q87" i="5"/>
  <c r="R87" i="5"/>
  <c r="S87" i="5"/>
  <c r="T87" i="5"/>
  <c r="O88" i="5"/>
  <c r="P88" i="5"/>
  <c r="Q88" i="5"/>
  <c r="R88" i="5"/>
  <c r="S88" i="5"/>
  <c r="T88" i="5"/>
  <c r="O89" i="5"/>
  <c r="P89" i="5"/>
  <c r="Q89" i="5"/>
  <c r="R89" i="5"/>
  <c r="S89" i="5"/>
  <c r="T89" i="5"/>
  <c r="O90" i="5"/>
  <c r="P90" i="5"/>
  <c r="Q90" i="5"/>
  <c r="R90" i="5"/>
  <c r="S90" i="5"/>
  <c r="T90" i="5"/>
  <c r="O91" i="5"/>
  <c r="P91" i="5"/>
  <c r="Q91" i="5"/>
  <c r="R91" i="5"/>
  <c r="S91" i="5"/>
  <c r="T91" i="5"/>
  <c r="O92" i="5"/>
  <c r="P92" i="5"/>
  <c r="Q92" i="5"/>
  <c r="R92" i="5"/>
  <c r="S92" i="5"/>
  <c r="T92" i="5"/>
  <c r="O93" i="5"/>
  <c r="P93" i="5"/>
  <c r="Q93" i="5"/>
  <c r="R93" i="5"/>
  <c r="S93" i="5"/>
  <c r="T93" i="5"/>
  <c r="O94" i="5"/>
  <c r="P94" i="5"/>
  <c r="Q94" i="5"/>
  <c r="R94" i="5"/>
  <c r="S94" i="5"/>
  <c r="T94" i="5"/>
  <c r="O95" i="5"/>
  <c r="P95" i="5"/>
  <c r="Q95" i="5"/>
  <c r="R95" i="5"/>
  <c r="S95" i="5"/>
  <c r="T95" i="5"/>
  <c r="O96" i="5"/>
  <c r="P96" i="5"/>
  <c r="Q96" i="5"/>
  <c r="R96" i="5"/>
  <c r="S96" i="5"/>
  <c r="T96" i="5"/>
  <c r="O97" i="5"/>
  <c r="P97" i="5"/>
  <c r="Q97" i="5"/>
  <c r="R97" i="5"/>
  <c r="S97" i="5"/>
  <c r="T97" i="5"/>
  <c r="O98" i="5"/>
  <c r="P98" i="5"/>
  <c r="Q98" i="5"/>
  <c r="R98" i="5"/>
  <c r="S98" i="5"/>
  <c r="T98" i="5"/>
  <c r="O99" i="5"/>
  <c r="P99" i="5"/>
  <c r="Q99" i="5"/>
  <c r="R99" i="5"/>
  <c r="S99" i="5"/>
  <c r="T99" i="5"/>
  <c r="O100" i="5"/>
  <c r="P100" i="5"/>
  <c r="Q100" i="5"/>
  <c r="R100" i="5"/>
  <c r="S100" i="5"/>
  <c r="T100" i="5"/>
  <c r="O101" i="5"/>
  <c r="P101" i="5"/>
  <c r="Q101" i="5"/>
  <c r="R101" i="5"/>
  <c r="S101" i="5"/>
  <c r="T101" i="5"/>
  <c r="O102" i="5"/>
  <c r="P102" i="5"/>
  <c r="Q102" i="5"/>
  <c r="R102" i="5"/>
  <c r="S102" i="5"/>
  <c r="T102" i="5"/>
  <c r="O103" i="5"/>
  <c r="P103" i="5"/>
  <c r="Q103" i="5"/>
  <c r="R103" i="5"/>
  <c r="S103" i="5"/>
  <c r="T103" i="5"/>
  <c r="O104" i="5"/>
  <c r="P104" i="5"/>
  <c r="Q104" i="5"/>
  <c r="R104" i="5"/>
  <c r="S104" i="5"/>
  <c r="T104" i="5"/>
  <c r="O105" i="5"/>
  <c r="P105" i="5"/>
  <c r="Q105" i="5"/>
  <c r="R105" i="5"/>
  <c r="S105" i="5"/>
  <c r="T105" i="5"/>
  <c r="O106" i="5"/>
  <c r="P106" i="5"/>
  <c r="Q106" i="5"/>
  <c r="R106" i="5"/>
  <c r="S106" i="5"/>
  <c r="T106" i="5"/>
  <c r="O107" i="5"/>
  <c r="P107" i="5"/>
  <c r="Q107" i="5"/>
  <c r="R107" i="5"/>
  <c r="S107" i="5"/>
  <c r="T107" i="5"/>
  <c r="O108" i="5"/>
  <c r="P108" i="5"/>
  <c r="Q108" i="5"/>
  <c r="R108" i="5"/>
  <c r="S108" i="5"/>
  <c r="T108" i="5"/>
  <c r="O109" i="5"/>
  <c r="P109" i="5"/>
  <c r="Q109" i="5"/>
  <c r="R109" i="5"/>
  <c r="S109" i="5"/>
  <c r="T109" i="5"/>
  <c r="O110" i="5"/>
  <c r="P110" i="5"/>
  <c r="Q110" i="5"/>
  <c r="R110" i="5"/>
  <c r="S110" i="5"/>
  <c r="T110" i="5"/>
  <c r="O111" i="5"/>
  <c r="P111" i="5"/>
  <c r="Q111" i="5"/>
  <c r="R111" i="5"/>
  <c r="S111" i="5"/>
  <c r="T111" i="5"/>
  <c r="O112" i="5"/>
  <c r="P112" i="5"/>
  <c r="Q112" i="5"/>
  <c r="R112" i="5"/>
  <c r="S112" i="5"/>
  <c r="T112" i="5"/>
  <c r="O113" i="5"/>
  <c r="P113" i="5"/>
  <c r="Q113" i="5"/>
  <c r="R113" i="5"/>
  <c r="S113" i="5"/>
  <c r="T113" i="5"/>
  <c r="O114" i="5"/>
  <c r="P114" i="5"/>
  <c r="Q114" i="5"/>
  <c r="R114" i="5"/>
  <c r="S114" i="5"/>
  <c r="T114" i="5"/>
  <c r="O115" i="5"/>
  <c r="P115" i="5"/>
  <c r="Q115" i="5"/>
  <c r="R115" i="5"/>
  <c r="S115" i="5"/>
  <c r="T115" i="5"/>
  <c r="O116" i="5"/>
  <c r="P116" i="5"/>
  <c r="Q116" i="5"/>
  <c r="R116" i="5"/>
  <c r="S116" i="5"/>
  <c r="T116" i="5"/>
  <c r="O117" i="5"/>
  <c r="P117" i="5"/>
  <c r="Q117" i="5"/>
  <c r="R117" i="5"/>
  <c r="S117" i="5"/>
  <c r="T117" i="5"/>
  <c r="O118" i="5"/>
  <c r="P118" i="5"/>
  <c r="Q118" i="5"/>
  <c r="R118" i="5"/>
  <c r="S118" i="5"/>
  <c r="T118" i="5"/>
  <c r="O119" i="5"/>
  <c r="P119" i="5"/>
  <c r="Q119" i="5"/>
  <c r="R119" i="5"/>
  <c r="S119" i="5"/>
  <c r="T119" i="5"/>
  <c r="O120" i="5"/>
  <c r="P120" i="5"/>
  <c r="Q120" i="5"/>
  <c r="R120" i="5"/>
  <c r="S120" i="5"/>
  <c r="T120" i="5"/>
  <c r="O121" i="5"/>
  <c r="P121" i="5"/>
  <c r="Q121" i="5"/>
  <c r="R121" i="5"/>
  <c r="S121" i="5"/>
  <c r="T121" i="5"/>
  <c r="O122" i="5"/>
  <c r="P122" i="5"/>
  <c r="Q122" i="5"/>
  <c r="R122" i="5"/>
  <c r="S122" i="5"/>
  <c r="T122" i="5"/>
  <c r="O123" i="5"/>
  <c r="P123" i="5"/>
  <c r="Q123" i="5"/>
  <c r="R123" i="5"/>
  <c r="S123" i="5"/>
  <c r="T123" i="5"/>
  <c r="O124" i="5"/>
  <c r="P124" i="5"/>
  <c r="Q124" i="5"/>
  <c r="R124" i="5"/>
  <c r="S124" i="5"/>
  <c r="T124" i="5"/>
  <c r="O125" i="5"/>
  <c r="P125" i="5"/>
  <c r="Q125" i="5"/>
  <c r="R125" i="5"/>
  <c r="S125" i="5"/>
  <c r="T125" i="5"/>
  <c r="O126" i="5"/>
  <c r="P126" i="5"/>
  <c r="Q126" i="5"/>
  <c r="R126" i="5"/>
  <c r="S126" i="5"/>
  <c r="T126" i="5"/>
  <c r="O127" i="5"/>
  <c r="P127" i="5"/>
  <c r="Q127" i="5"/>
  <c r="R127" i="5"/>
  <c r="S127" i="5"/>
  <c r="T127" i="5"/>
  <c r="O128" i="5"/>
  <c r="P128" i="5"/>
  <c r="Q128" i="5"/>
  <c r="R128" i="5"/>
  <c r="S128" i="5"/>
  <c r="T128" i="5"/>
  <c r="O129" i="5"/>
  <c r="P129" i="5"/>
  <c r="Q129" i="5"/>
  <c r="R129" i="5"/>
  <c r="S129" i="5"/>
  <c r="T129" i="5"/>
  <c r="O130" i="5"/>
  <c r="P130" i="5"/>
  <c r="Q130" i="5"/>
  <c r="R130" i="5"/>
  <c r="S130" i="5"/>
  <c r="T130" i="5"/>
  <c r="O131" i="5"/>
  <c r="P131" i="5"/>
  <c r="Q131" i="5"/>
  <c r="R131" i="5"/>
  <c r="S131" i="5"/>
  <c r="T131" i="5"/>
  <c r="O132" i="5"/>
  <c r="P132" i="5"/>
  <c r="Q132" i="5"/>
  <c r="R132" i="5"/>
  <c r="S132" i="5"/>
  <c r="T132" i="5"/>
  <c r="O133" i="5"/>
  <c r="P133" i="5"/>
  <c r="Q133" i="5"/>
  <c r="R133" i="5"/>
  <c r="S133" i="5"/>
  <c r="T133" i="5"/>
  <c r="O134" i="5"/>
  <c r="P134" i="5"/>
  <c r="Q134" i="5"/>
  <c r="R134" i="5"/>
  <c r="S134" i="5"/>
  <c r="T134" i="5"/>
  <c r="O135" i="5"/>
  <c r="P135" i="5"/>
  <c r="Q135" i="5"/>
  <c r="R135" i="5"/>
  <c r="S135" i="5"/>
  <c r="T135" i="5"/>
  <c r="O136" i="5"/>
  <c r="P136" i="5"/>
  <c r="Q136" i="5"/>
  <c r="R136" i="5"/>
  <c r="S136" i="5"/>
  <c r="T136" i="5"/>
  <c r="O137" i="5"/>
  <c r="P137" i="5"/>
  <c r="Q137" i="5"/>
  <c r="R137" i="5"/>
  <c r="S137" i="5"/>
  <c r="T137" i="5"/>
  <c r="O138" i="5"/>
  <c r="P138" i="5"/>
  <c r="Q138" i="5"/>
  <c r="R138" i="5"/>
  <c r="S138" i="5"/>
  <c r="T138" i="5"/>
  <c r="O139" i="5"/>
  <c r="P139" i="5"/>
  <c r="Q139" i="5"/>
  <c r="R139" i="5"/>
  <c r="S139" i="5"/>
  <c r="T139" i="5"/>
  <c r="O140" i="5"/>
  <c r="P140" i="5"/>
  <c r="Q140" i="5"/>
  <c r="R140" i="5"/>
  <c r="S140" i="5"/>
  <c r="T140" i="5"/>
  <c r="O141" i="5"/>
  <c r="P141" i="5"/>
  <c r="Q141" i="5"/>
  <c r="R141" i="5"/>
  <c r="S141" i="5"/>
  <c r="T141" i="5"/>
  <c r="O142" i="5"/>
  <c r="P142" i="5"/>
  <c r="Q142" i="5"/>
  <c r="R142" i="5"/>
  <c r="S142" i="5"/>
  <c r="T142" i="5"/>
  <c r="O143" i="5"/>
  <c r="P143" i="5"/>
  <c r="Q143" i="5"/>
  <c r="R143" i="5"/>
  <c r="S143" i="5"/>
  <c r="T143" i="5"/>
  <c r="O144" i="5"/>
  <c r="P144" i="5"/>
  <c r="Q144" i="5"/>
  <c r="R144" i="5"/>
  <c r="S144" i="5"/>
  <c r="T144" i="5"/>
  <c r="O145" i="5"/>
  <c r="P145" i="5"/>
  <c r="Q145" i="5"/>
  <c r="R145" i="5"/>
  <c r="S145" i="5"/>
  <c r="T145" i="5"/>
  <c r="O146" i="5"/>
  <c r="P146" i="5"/>
  <c r="Q146" i="5"/>
  <c r="R146" i="5"/>
  <c r="S146" i="5"/>
  <c r="T146" i="5"/>
  <c r="O147" i="5"/>
  <c r="P147" i="5"/>
  <c r="Q147" i="5"/>
  <c r="R147" i="5"/>
  <c r="S147" i="5"/>
  <c r="T147" i="5"/>
  <c r="O148" i="5"/>
  <c r="P148" i="5"/>
  <c r="Q148" i="5"/>
  <c r="R148" i="5"/>
  <c r="S148" i="5"/>
  <c r="T148" i="5"/>
  <c r="O149" i="5"/>
  <c r="P149" i="5"/>
  <c r="Q149" i="5"/>
  <c r="R149" i="5"/>
  <c r="S149" i="5"/>
  <c r="T149" i="5"/>
  <c r="O150" i="5"/>
  <c r="P150" i="5"/>
  <c r="Q150" i="5"/>
  <c r="R150" i="5"/>
  <c r="S150" i="5"/>
  <c r="T150" i="5"/>
  <c r="O151" i="5"/>
  <c r="P151" i="5"/>
  <c r="Q151" i="5"/>
  <c r="R151" i="5"/>
  <c r="S151" i="5"/>
  <c r="T151" i="5"/>
  <c r="O152" i="5"/>
  <c r="P152" i="5"/>
  <c r="Q152" i="5"/>
  <c r="R152" i="5"/>
  <c r="S152" i="5"/>
  <c r="T152" i="5"/>
  <c r="O153" i="5"/>
  <c r="P153" i="5"/>
  <c r="Q153" i="5"/>
  <c r="R153" i="5"/>
  <c r="S153" i="5"/>
  <c r="T153" i="5"/>
  <c r="O154" i="5"/>
  <c r="P154" i="5"/>
  <c r="Q154" i="5"/>
  <c r="R154" i="5"/>
  <c r="S154" i="5"/>
  <c r="T154" i="5"/>
  <c r="O155" i="5"/>
  <c r="P155" i="5"/>
  <c r="Q155" i="5"/>
  <c r="R155" i="5"/>
  <c r="S155" i="5"/>
  <c r="T155" i="5"/>
  <c r="O156" i="5"/>
  <c r="P156" i="5"/>
  <c r="Q156" i="5"/>
  <c r="R156" i="5"/>
  <c r="S156" i="5"/>
  <c r="T156" i="5"/>
  <c r="O157" i="5"/>
  <c r="P157" i="5"/>
  <c r="Q157" i="5"/>
  <c r="R157" i="5"/>
  <c r="S157" i="5"/>
  <c r="T157" i="5"/>
  <c r="O158" i="5"/>
  <c r="P158" i="5"/>
  <c r="Q158" i="5"/>
  <c r="R158" i="5"/>
  <c r="S158" i="5"/>
  <c r="T158" i="5"/>
  <c r="O159" i="5"/>
  <c r="P159" i="5"/>
  <c r="Q159" i="5"/>
  <c r="R159" i="5"/>
  <c r="S159" i="5"/>
  <c r="T159" i="5"/>
  <c r="O160" i="5"/>
  <c r="P160" i="5"/>
  <c r="Q160" i="5"/>
  <c r="R160" i="5"/>
  <c r="S160" i="5"/>
  <c r="T160" i="5"/>
  <c r="O161" i="5"/>
  <c r="P161" i="5"/>
  <c r="Q161" i="5"/>
  <c r="R161" i="5"/>
  <c r="S161" i="5"/>
  <c r="T161" i="5"/>
  <c r="O162" i="5"/>
  <c r="P162" i="5"/>
  <c r="Q162" i="5"/>
  <c r="R162" i="5"/>
  <c r="S162" i="5"/>
  <c r="T162" i="5"/>
  <c r="O163" i="5"/>
  <c r="P163" i="5"/>
  <c r="Q163" i="5"/>
  <c r="R163" i="5"/>
  <c r="S163" i="5"/>
  <c r="T163" i="5"/>
  <c r="O164" i="5"/>
  <c r="P164" i="5"/>
  <c r="Q164" i="5"/>
  <c r="R164" i="5"/>
  <c r="S164" i="5"/>
  <c r="T164" i="5"/>
  <c r="O165" i="5"/>
  <c r="P165" i="5"/>
  <c r="Q165" i="5"/>
  <c r="R165" i="5"/>
  <c r="S165" i="5"/>
  <c r="T165" i="5"/>
  <c r="O166" i="5"/>
  <c r="P166" i="5"/>
  <c r="Q166" i="5"/>
  <c r="R166" i="5"/>
  <c r="S166" i="5"/>
  <c r="T166" i="5"/>
  <c r="O167" i="5"/>
  <c r="P167" i="5"/>
  <c r="Q167" i="5"/>
  <c r="R167" i="5"/>
  <c r="S167" i="5"/>
  <c r="T167" i="5"/>
  <c r="O168" i="5"/>
  <c r="P168" i="5"/>
  <c r="Q168" i="5"/>
  <c r="R168" i="5"/>
  <c r="S168" i="5"/>
  <c r="T168" i="5"/>
  <c r="O169" i="5"/>
  <c r="P169" i="5"/>
  <c r="Q169" i="5"/>
  <c r="R169" i="5"/>
  <c r="S169" i="5"/>
  <c r="T169" i="5"/>
  <c r="O170" i="5"/>
  <c r="P170" i="5"/>
  <c r="Q170" i="5"/>
  <c r="R170" i="5"/>
  <c r="S170" i="5"/>
  <c r="T170" i="5"/>
  <c r="O171" i="5"/>
  <c r="P171" i="5"/>
  <c r="Q171" i="5"/>
  <c r="R171" i="5"/>
  <c r="S171" i="5"/>
  <c r="T171" i="5"/>
  <c r="O172" i="5"/>
  <c r="P172" i="5"/>
  <c r="Q172" i="5"/>
  <c r="R172" i="5"/>
  <c r="S172" i="5"/>
  <c r="T172" i="5"/>
  <c r="O173" i="5"/>
  <c r="P173" i="5"/>
  <c r="Q173" i="5"/>
  <c r="R173" i="5"/>
  <c r="S173" i="5"/>
  <c r="T173" i="5"/>
  <c r="O174" i="5"/>
  <c r="P174" i="5"/>
  <c r="Q174" i="5"/>
  <c r="R174" i="5"/>
  <c r="S174" i="5"/>
  <c r="T174" i="5"/>
  <c r="O175" i="5"/>
  <c r="P175" i="5"/>
  <c r="Q175" i="5"/>
  <c r="R175" i="5"/>
  <c r="S175" i="5"/>
  <c r="T175" i="5"/>
  <c r="O176" i="5"/>
  <c r="P176" i="5"/>
  <c r="Q176" i="5"/>
  <c r="R176" i="5"/>
  <c r="S176" i="5"/>
  <c r="T176" i="5"/>
  <c r="O177" i="5"/>
  <c r="P177" i="5"/>
  <c r="Q177" i="5"/>
  <c r="R177" i="5"/>
  <c r="S177" i="5"/>
  <c r="T177" i="5"/>
  <c r="O178" i="5"/>
  <c r="P178" i="5"/>
  <c r="Q178" i="5"/>
  <c r="R178" i="5"/>
  <c r="S178" i="5"/>
  <c r="T178" i="5"/>
  <c r="O179" i="5"/>
  <c r="P179" i="5"/>
  <c r="Q179" i="5"/>
  <c r="R179" i="5"/>
  <c r="S179" i="5"/>
  <c r="T179" i="5"/>
  <c r="O180" i="5"/>
  <c r="P180" i="5"/>
  <c r="Q180" i="5"/>
  <c r="R180" i="5"/>
  <c r="S180" i="5"/>
  <c r="T180" i="5"/>
  <c r="O181" i="5"/>
  <c r="P181" i="5"/>
  <c r="Q181" i="5"/>
  <c r="R181" i="5"/>
  <c r="S181" i="5"/>
  <c r="T181" i="5"/>
  <c r="O182" i="5"/>
  <c r="P182" i="5"/>
  <c r="Q182" i="5"/>
  <c r="R182" i="5"/>
  <c r="S182" i="5"/>
  <c r="T182" i="5"/>
  <c r="O183" i="5"/>
  <c r="P183" i="5"/>
  <c r="Q183" i="5"/>
  <c r="R183" i="5"/>
  <c r="S183" i="5"/>
  <c r="T183" i="5"/>
  <c r="O184" i="5"/>
  <c r="P184" i="5"/>
  <c r="Q184" i="5"/>
  <c r="R184" i="5"/>
  <c r="S184" i="5"/>
  <c r="T184" i="5"/>
  <c r="O185" i="5"/>
  <c r="P185" i="5"/>
  <c r="Q185" i="5"/>
  <c r="R185" i="5"/>
  <c r="S185" i="5"/>
  <c r="T185" i="5"/>
  <c r="O186" i="5"/>
  <c r="P186" i="5"/>
  <c r="Q186" i="5"/>
  <c r="R186" i="5"/>
  <c r="S186" i="5"/>
  <c r="T186" i="5"/>
  <c r="O187" i="5"/>
  <c r="P187" i="5"/>
  <c r="Q187" i="5"/>
  <c r="R187" i="5"/>
  <c r="S187" i="5"/>
  <c r="T187" i="5"/>
  <c r="O188" i="5"/>
  <c r="P188" i="5"/>
  <c r="Q188" i="5"/>
  <c r="R188" i="5"/>
  <c r="S188" i="5"/>
  <c r="T188" i="5"/>
  <c r="O189" i="5"/>
  <c r="P189" i="5"/>
  <c r="Q189" i="5"/>
  <c r="R189" i="5"/>
  <c r="S189" i="5"/>
  <c r="T189" i="5"/>
  <c r="O190" i="5"/>
  <c r="P190" i="5"/>
  <c r="Q190" i="5"/>
  <c r="R190" i="5"/>
  <c r="S190" i="5"/>
  <c r="T190" i="5"/>
  <c r="O191" i="5"/>
  <c r="P191" i="5"/>
  <c r="Q191" i="5"/>
  <c r="R191" i="5"/>
  <c r="S191" i="5"/>
  <c r="T191" i="5"/>
  <c r="O192" i="5"/>
  <c r="P192" i="5"/>
  <c r="Q192" i="5"/>
  <c r="R192" i="5"/>
  <c r="S192" i="5"/>
  <c r="T192" i="5"/>
  <c r="O193" i="5"/>
  <c r="P193" i="5"/>
  <c r="Q193" i="5"/>
  <c r="R193" i="5"/>
  <c r="S193" i="5"/>
  <c r="T193" i="5"/>
  <c r="O194" i="5"/>
  <c r="P194" i="5"/>
  <c r="Q194" i="5"/>
  <c r="R194" i="5"/>
  <c r="S194" i="5"/>
  <c r="T194" i="5"/>
  <c r="O195" i="5"/>
  <c r="P195" i="5"/>
  <c r="Q195" i="5"/>
  <c r="R195" i="5"/>
  <c r="S195" i="5"/>
  <c r="T195" i="5"/>
  <c r="O196" i="5"/>
  <c r="P196" i="5"/>
  <c r="Q196" i="5"/>
  <c r="R196" i="5"/>
  <c r="S196" i="5"/>
  <c r="T196" i="5"/>
  <c r="O197" i="5"/>
  <c r="P197" i="5"/>
  <c r="Q197" i="5"/>
  <c r="R197" i="5"/>
  <c r="S197" i="5"/>
  <c r="T197" i="5"/>
  <c r="O198" i="5"/>
  <c r="P198" i="5"/>
  <c r="Q198" i="5"/>
  <c r="R198" i="5"/>
  <c r="S198" i="5"/>
  <c r="T198" i="5"/>
  <c r="O199" i="5"/>
  <c r="P199" i="5"/>
  <c r="Q199" i="5"/>
  <c r="R199" i="5"/>
  <c r="S199" i="5"/>
  <c r="T199" i="5"/>
  <c r="O200" i="5"/>
  <c r="P200" i="5"/>
  <c r="Q200" i="5"/>
  <c r="R200" i="5"/>
  <c r="S200" i="5"/>
  <c r="T200" i="5"/>
  <c r="O201" i="5"/>
  <c r="P201" i="5"/>
  <c r="Q201" i="5"/>
  <c r="R201" i="5"/>
  <c r="S201" i="5"/>
  <c r="T201" i="5"/>
  <c r="O202" i="5"/>
  <c r="P202" i="5"/>
  <c r="Q202" i="5"/>
  <c r="R202" i="5"/>
  <c r="S202" i="5"/>
  <c r="T202" i="5"/>
  <c r="O203" i="5"/>
  <c r="P203" i="5"/>
  <c r="Q203" i="5"/>
  <c r="R203" i="5"/>
  <c r="S203" i="5"/>
  <c r="T203" i="5"/>
  <c r="O204" i="5"/>
  <c r="P204" i="5"/>
  <c r="Q204" i="5"/>
  <c r="R204" i="5"/>
  <c r="S204" i="5"/>
  <c r="T204" i="5"/>
  <c r="O205" i="5"/>
  <c r="P205" i="5"/>
  <c r="Q205" i="5"/>
  <c r="R205" i="5"/>
  <c r="S205" i="5"/>
  <c r="T205" i="5"/>
  <c r="O206" i="5"/>
  <c r="P206" i="5"/>
  <c r="Q206" i="5"/>
  <c r="R206" i="5"/>
  <c r="S206" i="5"/>
  <c r="T206" i="5"/>
  <c r="O207" i="5"/>
  <c r="P207" i="5"/>
  <c r="Q207" i="5"/>
  <c r="R207" i="5"/>
  <c r="S207" i="5"/>
  <c r="T207" i="5"/>
  <c r="O208" i="5"/>
  <c r="P208" i="5"/>
  <c r="Q208" i="5"/>
  <c r="R208" i="5"/>
  <c r="S208" i="5"/>
  <c r="T208" i="5"/>
  <c r="O209" i="5"/>
  <c r="P209" i="5"/>
  <c r="Q209" i="5"/>
  <c r="R209" i="5"/>
  <c r="S209" i="5"/>
  <c r="T209" i="5"/>
  <c r="O210" i="5"/>
  <c r="P210" i="5"/>
  <c r="Q210" i="5"/>
  <c r="R210" i="5"/>
  <c r="S210" i="5"/>
  <c r="T210" i="5"/>
  <c r="O211" i="5"/>
  <c r="P211" i="5"/>
  <c r="Q211" i="5"/>
  <c r="R211" i="5"/>
  <c r="S211" i="5"/>
  <c r="T211" i="5"/>
  <c r="O212" i="5"/>
  <c r="P212" i="5"/>
  <c r="Q212" i="5"/>
  <c r="R212" i="5"/>
  <c r="S212" i="5"/>
  <c r="T212" i="5"/>
  <c r="O213" i="5"/>
  <c r="P213" i="5"/>
  <c r="Q213" i="5"/>
  <c r="R213" i="5"/>
  <c r="S213" i="5"/>
  <c r="T213" i="5"/>
  <c r="O214" i="5"/>
  <c r="P214" i="5"/>
  <c r="Q214" i="5"/>
  <c r="R214" i="5"/>
  <c r="S214" i="5"/>
  <c r="T214" i="5"/>
  <c r="O215" i="5"/>
  <c r="P215" i="5"/>
  <c r="Q215" i="5"/>
  <c r="R215" i="5"/>
  <c r="S215" i="5"/>
  <c r="T215" i="5"/>
  <c r="O216" i="5"/>
  <c r="P216" i="5"/>
  <c r="Q216" i="5"/>
  <c r="R216" i="5"/>
  <c r="S216" i="5"/>
  <c r="T216" i="5"/>
  <c r="O217" i="5"/>
  <c r="P217" i="5"/>
  <c r="Q217" i="5"/>
  <c r="R217" i="5"/>
  <c r="S217" i="5"/>
  <c r="T217" i="5"/>
  <c r="O218" i="5"/>
  <c r="P218" i="5"/>
  <c r="Q218" i="5"/>
  <c r="R218" i="5"/>
  <c r="S218" i="5"/>
  <c r="T218" i="5"/>
  <c r="O219" i="5"/>
  <c r="P219" i="5"/>
  <c r="Q219" i="5"/>
  <c r="R219" i="5"/>
  <c r="S219" i="5"/>
  <c r="T219" i="5"/>
  <c r="O220" i="5"/>
  <c r="P220" i="5"/>
  <c r="Q220" i="5"/>
  <c r="R220" i="5"/>
  <c r="S220" i="5"/>
  <c r="T220" i="5"/>
  <c r="O221" i="5"/>
  <c r="P221" i="5"/>
  <c r="Q221" i="5"/>
  <c r="R221" i="5"/>
  <c r="S221" i="5"/>
  <c r="T221" i="5"/>
  <c r="O222" i="5"/>
  <c r="P222" i="5"/>
  <c r="Q222" i="5"/>
  <c r="R222" i="5"/>
  <c r="S222" i="5"/>
  <c r="T222" i="5"/>
  <c r="O223" i="5"/>
  <c r="P223" i="5"/>
  <c r="Q223" i="5"/>
  <c r="R223" i="5"/>
  <c r="S223" i="5"/>
  <c r="T223" i="5"/>
  <c r="O224" i="5"/>
  <c r="P224" i="5"/>
  <c r="Q224" i="5"/>
  <c r="R224" i="5"/>
  <c r="S224" i="5"/>
  <c r="T224" i="5"/>
  <c r="O225" i="5"/>
  <c r="P225" i="5"/>
  <c r="Q225" i="5"/>
  <c r="R225" i="5"/>
  <c r="S225" i="5"/>
  <c r="T225" i="5"/>
  <c r="O226" i="5"/>
  <c r="P226" i="5"/>
  <c r="Q226" i="5"/>
  <c r="R226" i="5"/>
  <c r="S226" i="5"/>
  <c r="T226" i="5"/>
  <c r="O227" i="5"/>
  <c r="P227" i="5"/>
  <c r="Q227" i="5"/>
  <c r="R227" i="5"/>
  <c r="S227" i="5"/>
  <c r="T227" i="5"/>
  <c r="O228" i="5"/>
  <c r="P228" i="5"/>
  <c r="Q228" i="5"/>
  <c r="R228" i="5"/>
  <c r="S228" i="5"/>
  <c r="T228" i="5"/>
  <c r="O229" i="5"/>
  <c r="P229" i="5"/>
  <c r="Q229" i="5"/>
  <c r="R229" i="5"/>
  <c r="S229" i="5"/>
  <c r="T229" i="5"/>
  <c r="O230" i="5"/>
  <c r="P230" i="5"/>
  <c r="Q230" i="5"/>
  <c r="R230" i="5"/>
  <c r="S230" i="5"/>
  <c r="T230" i="5"/>
  <c r="O231" i="5"/>
  <c r="P231" i="5"/>
  <c r="Q231" i="5"/>
  <c r="R231" i="5"/>
  <c r="S231" i="5"/>
  <c r="T231" i="5"/>
  <c r="O232" i="5"/>
  <c r="P232" i="5"/>
  <c r="Q232" i="5"/>
  <c r="R232" i="5"/>
  <c r="S232" i="5"/>
  <c r="T232" i="5"/>
  <c r="O233" i="5"/>
  <c r="P233" i="5"/>
  <c r="Q233" i="5"/>
  <c r="R233" i="5"/>
  <c r="S233" i="5"/>
  <c r="T233" i="5"/>
  <c r="O234" i="5"/>
  <c r="P234" i="5"/>
  <c r="Q234" i="5"/>
  <c r="R234" i="5"/>
  <c r="S234" i="5"/>
  <c r="T234" i="5"/>
  <c r="O235" i="5"/>
  <c r="P235" i="5"/>
  <c r="Q235" i="5"/>
  <c r="R235" i="5"/>
  <c r="S235" i="5"/>
  <c r="T235" i="5"/>
  <c r="O236" i="5"/>
  <c r="P236" i="5"/>
  <c r="Q236" i="5"/>
  <c r="R236" i="5"/>
  <c r="S236" i="5"/>
  <c r="T236" i="5"/>
  <c r="O237" i="5"/>
  <c r="P237" i="5"/>
  <c r="Q237" i="5"/>
  <c r="R237" i="5"/>
  <c r="S237" i="5"/>
  <c r="T237" i="5"/>
  <c r="O238" i="5"/>
  <c r="P238" i="5"/>
  <c r="Q238" i="5"/>
  <c r="R238" i="5"/>
  <c r="S238" i="5"/>
  <c r="T238" i="5"/>
  <c r="O239" i="5"/>
  <c r="P239" i="5"/>
  <c r="Q239" i="5"/>
  <c r="R239" i="5"/>
  <c r="S239" i="5"/>
  <c r="T239" i="5"/>
  <c r="O240" i="5"/>
  <c r="P240" i="5"/>
  <c r="Q240" i="5"/>
  <c r="R240" i="5"/>
  <c r="S240" i="5"/>
  <c r="T240" i="5"/>
  <c r="O241" i="5"/>
  <c r="P241" i="5"/>
  <c r="Q241" i="5"/>
  <c r="R241" i="5"/>
  <c r="S241" i="5"/>
  <c r="T241" i="5"/>
  <c r="O242" i="5"/>
  <c r="P242" i="5"/>
  <c r="Q242" i="5"/>
  <c r="R242" i="5"/>
  <c r="S242" i="5"/>
  <c r="T242" i="5"/>
  <c r="O243" i="5"/>
  <c r="P243" i="5"/>
  <c r="Q243" i="5"/>
  <c r="R243" i="5"/>
  <c r="S243" i="5"/>
  <c r="T243" i="5"/>
  <c r="O244" i="5"/>
  <c r="P244" i="5"/>
  <c r="Q244" i="5"/>
  <c r="R244" i="5"/>
  <c r="S244" i="5"/>
  <c r="T244" i="5"/>
  <c r="O245" i="5"/>
  <c r="P245" i="5"/>
  <c r="Q245" i="5"/>
  <c r="R245" i="5"/>
  <c r="S245" i="5"/>
  <c r="T245" i="5"/>
  <c r="O246" i="5"/>
  <c r="P246" i="5"/>
  <c r="Q246" i="5"/>
  <c r="R246" i="5"/>
  <c r="S246" i="5"/>
  <c r="T246" i="5"/>
  <c r="O247" i="5"/>
  <c r="P247" i="5"/>
  <c r="Q247" i="5"/>
  <c r="R247" i="5"/>
  <c r="S247" i="5"/>
  <c r="T247" i="5"/>
  <c r="O248" i="5"/>
  <c r="P248" i="5"/>
  <c r="Q248" i="5"/>
  <c r="R248" i="5"/>
  <c r="S248" i="5"/>
  <c r="T248" i="5"/>
  <c r="O249" i="5"/>
  <c r="P249" i="5"/>
  <c r="Q249" i="5"/>
  <c r="R249" i="5"/>
  <c r="S249" i="5"/>
  <c r="T249" i="5"/>
  <c r="O250" i="5"/>
  <c r="P250" i="5"/>
  <c r="Q250" i="5"/>
  <c r="R250" i="5"/>
  <c r="S250" i="5"/>
  <c r="T250" i="5"/>
  <c r="O251" i="5"/>
  <c r="P251" i="5"/>
  <c r="Q251" i="5"/>
  <c r="R251" i="5"/>
  <c r="S251" i="5"/>
  <c r="T251" i="5"/>
  <c r="O252" i="5"/>
  <c r="P252" i="5"/>
  <c r="Q252" i="5"/>
  <c r="R252" i="5"/>
  <c r="S252" i="5"/>
  <c r="T252" i="5"/>
  <c r="O253" i="5"/>
  <c r="P253" i="5"/>
  <c r="Q253" i="5"/>
  <c r="R253" i="5"/>
  <c r="S253" i="5"/>
  <c r="T253" i="5"/>
  <c r="O254" i="5"/>
  <c r="P254" i="5"/>
  <c r="Q254" i="5"/>
  <c r="R254" i="5"/>
  <c r="S254" i="5"/>
  <c r="T254" i="5"/>
  <c r="O255" i="5"/>
  <c r="P255" i="5"/>
  <c r="Q255" i="5"/>
  <c r="R255" i="5"/>
  <c r="S255" i="5"/>
  <c r="T255" i="5"/>
  <c r="O256" i="5"/>
  <c r="P256" i="5"/>
  <c r="Q256" i="5"/>
  <c r="R256" i="5"/>
  <c r="S256" i="5"/>
  <c r="T256" i="5"/>
  <c r="O257" i="5"/>
  <c r="P257" i="5"/>
  <c r="Q257" i="5"/>
  <c r="R257" i="5"/>
  <c r="S257" i="5"/>
  <c r="T257" i="5"/>
  <c r="O258" i="5"/>
  <c r="P258" i="5"/>
  <c r="Q258" i="5"/>
  <c r="R258" i="5"/>
  <c r="S258" i="5"/>
  <c r="T258" i="5"/>
  <c r="O259" i="5"/>
  <c r="P259" i="5"/>
  <c r="Q259" i="5"/>
  <c r="R259" i="5"/>
  <c r="S259" i="5"/>
  <c r="T259" i="5"/>
  <c r="O260" i="5"/>
  <c r="P260" i="5"/>
  <c r="Q260" i="5"/>
  <c r="R260" i="5"/>
  <c r="S260" i="5"/>
  <c r="T260" i="5"/>
  <c r="O261" i="5"/>
  <c r="P261" i="5"/>
  <c r="Q261" i="5"/>
  <c r="R261" i="5"/>
  <c r="S261" i="5"/>
  <c r="T261" i="5"/>
  <c r="O262" i="5"/>
  <c r="P262" i="5"/>
  <c r="Q262" i="5"/>
  <c r="R262" i="5"/>
  <c r="S262" i="5"/>
  <c r="T262" i="5"/>
  <c r="O263" i="5"/>
  <c r="P263" i="5"/>
  <c r="Q263" i="5"/>
  <c r="R263" i="5"/>
  <c r="S263" i="5"/>
  <c r="T263" i="5"/>
  <c r="O264" i="5"/>
  <c r="P264" i="5"/>
  <c r="Q264" i="5"/>
  <c r="R264" i="5"/>
  <c r="S264" i="5"/>
  <c r="T264" i="5"/>
  <c r="O265" i="5"/>
  <c r="P265" i="5"/>
  <c r="Q265" i="5"/>
  <c r="R265" i="5"/>
  <c r="S265" i="5"/>
  <c r="T265" i="5"/>
  <c r="O266" i="5"/>
  <c r="P266" i="5"/>
  <c r="Q266" i="5"/>
  <c r="R266" i="5"/>
  <c r="S266" i="5"/>
  <c r="T266" i="5"/>
  <c r="O267" i="5"/>
  <c r="P267" i="5"/>
  <c r="Q267" i="5"/>
  <c r="R267" i="5"/>
  <c r="S267" i="5"/>
  <c r="T267" i="5"/>
  <c r="O268" i="5"/>
  <c r="P268" i="5"/>
  <c r="Q268" i="5"/>
  <c r="R268" i="5"/>
  <c r="S268" i="5"/>
  <c r="T268" i="5"/>
  <c r="O269" i="5"/>
  <c r="P269" i="5"/>
  <c r="Q269" i="5"/>
  <c r="R269" i="5"/>
  <c r="S269" i="5"/>
  <c r="T269" i="5"/>
  <c r="O270" i="5"/>
  <c r="P270" i="5"/>
  <c r="Q270" i="5"/>
  <c r="R270" i="5"/>
  <c r="S270" i="5"/>
  <c r="T270" i="5"/>
  <c r="O271" i="5"/>
  <c r="P271" i="5"/>
  <c r="Q271" i="5"/>
  <c r="R271" i="5"/>
  <c r="S271" i="5"/>
  <c r="T271" i="5"/>
  <c r="O272" i="5"/>
  <c r="P272" i="5"/>
  <c r="Q272" i="5"/>
  <c r="R272" i="5"/>
  <c r="S272" i="5"/>
  <c r="T272" i="5"/>
  <c r="O273" i="5"/>
  <c r="P273" i="5"/>
  <c r="Q273" i="5"/>
  <c r="R273" i="5"/>
  <c r="S273" i="5"/>
  <c r="T273" i="5"/>
  <c r="O274" i="5"/>
  <c r="P274" i="5"/>
  <c r="Q274" i="5"/>
  <c r="R274" i="5"/>
  <c r="S274" i="5"/>
  <c r="T274" i="5"/>
  <c r="O275" i="5"/>
  <c r="P275" i="5"/>
  <c r="Q275" i="5"/>
  <c r="R275" i="5"/>
  <c r="S275" i="5"/>
  <c r="T275" i="5"/>
  <c r="O276" i="5"/>
  <c r="P276" i="5"/>
  <c r="Q276" i="5"/>
  <c r="R276" i="5"/>
  <c r="S276" i="5"/>
  <c r="T276" i="5"/>
  <c r="O277" i="5"/>
  <c r="P277" i="5"/>
  <c r="Q277" i="5"/>
  <c r="R277" i="5"/>
  <c r="S277" i="5"/>
  <c r="T277" i="5"/>
  <c r="O278" i="5"/>
  <c r="P278" i="5"/>
  <c r="Q278" i="5"/>
  <c r="R278" i="5"/>
  <c r="S278" i="5"/>
  <c r="T278" i="5"/>
  <c r="O279" i="5"/>
  <c r="P279" i="5"/>
  <c r="Q279" i="5"/>
  <c r="R279" i="5"/>
  <c r="S279" i="5"/>
  <c r="T279" i="5"/>
  <c r="O280" i="5"/>
  <c r="P280" i="5"/>
  <c r="Q280" i="5"/>
  <c r="R280" i="5"/>
  <c r="S280" i="5"/>
  <c r="T280" i="5"/>
  <c r="O281" i="5"/>
  <c r="P281" i="5"/>
  <c r="Q281" i="5"/>
  <c r="R281" i="5"/>
  <c r="S281" i="5"/>
  <c r="T281" i="5"/>
  <c r="O282" i="5"/>
  <c r="P282" i="5"/>
  <c r="Q282" i="5"/>
  <c r="R282" i="5"/>
  <c r="S282" i="5"/>
  <c r="T282" i="5"/>
  <c r="T56" i="5"/>
  <c r="S56" i="5"/>
  <c r="R56" i="5"/>
  <c r="Q56" i="5"/>
  <c r="P56" i="5"/>
  <c r="O56" i="5"/>
  <c r="O55" i="5"/>
  <c r="O54" i="5"/>
  <c r="O53" i="5"/>
  <c r="O52" i="5"/>
  <c r="H53" i="5"/>
  <c r="I53" i="5"/>
  <c r="J53" i="5" a="1"/>
  <c r="K53" i="5" a="1"/>
  <c r="K53" i="5"/>
  <c r="L53" i="5"/>
  <c r="M53" i="5"/>
  <c r="H54" i="5"/>
  <c r="I54" i="5"/>
  <c r="J54" i="5" a="1"/>
  <c r="J54" i="5"/>
  <c r="K54" i="5" a="1"/>
  <c r="K54" i="5"/>
  <c r="L54" i="5"/>
  <c r="M54" i="5"/>
  <c r="H55" i="5"/>
  <c r="I55" i="5"/>
  <c r="J55" i="5" a="1"/>
  <c r="J55" i="5"/>
  <c r="K55" i="5" a="1"/>
  <c r="L55" i="5"/>
  <c r="M55" i="5"/>
  <c r="H56" i="5"/>
  <c r="I56" i="5"/>
  <c r="J56" i="5" a="1"/>
  <c r="K56" i="5" a="1"/>
  <c r="K56" i="5"/>
  <c r="L56" i="5"/>
  <c r="M56" i="5"/>
  <c r="H57" i="5"/>
  <c r="I57" i="5"/>
  <c r="J57" i="5" a="1"/>
  <c r="K57" i="5" a="1"/>
  <c r="L57" i="5"/>
  <c r="M57" i="5"/>
  <c r="H58" i="5"/>
  <c r="I58" i="5"/>
  <c r="J58" i="5" a="1"/>
  <c r="K58" i="5" a="1"/>
  <c r="L58" i="5"/>
  <c r="M58" i="5"/>
  <c r="H59" i="5"/>
  <c r="I59" i="5"/>
  <c r="J59" i="5" a="1"/>
  <c r="K59" i="5" a="1"/>
  <c r="L59" i="5"/>
  <c r="M59" i="5"/>
  <c r="H60" i="5"/>
  <c r="I60" i="5"/>
  <c r="J60" i="5" a="1"/>
  <c r="K60" i="5" a="1"/>
  <c r="L60" i="5"/>
  <c r="M60" i="5"/>
  <c r="H61" i="5"/>
  <c r="I61" i="5"/>
  <c r="J61" i="5" a="1"/>
  <c r="K61" i="5" a="1"/>
  <c r="L61" i="5"/>
  <c r="M61" i="5"/>
  <c r="H62" i="5"/>
  <c r="I62" i="5"/>
  <c r="J62" i="5" a="1"/>
  <c r="K62" i="5" a="1"/>
  <c r="L62" i="5"/>
  <c r="M62" i="5"/>
  <c r="H63" i="5"/>
  <c r="I63" i="5"/>
  <c r="J63" i="5" a="1"/>
  <c r="K63" i="5" a="1"/>
  <c r="L63" i="5"/>
  <c r="M63" i="5"/>
  <c r="H64" i="5"/>
  <c r="I64" i="5"/>
  <c r="J64" i="5" a="1"/>
  <c r="K64" i="5" a="1"/>
  <c r="L64" i="5"/>
  <c r="M64" i="5"/>
  <c r="H65" i="5"/>
  <c r="I65" i="5"/>
  <c r="J65" i="5" a="1"/>
  <c r="K65" i="5" a="1"/>
  <c r="L65" i="5"/>
  <c r="M65" i="5"/>
  <c r="H66" i="5"/>
  <c r="I66" i="5"/>
  <c r="J66" i="5" a="1"/>
  <c r="K66" i="5" a="1"/>
  <c r="L66" i="5"/>
  <c r="M66" i="5"/>
  <c r="H67" i="5"/>
  <c r="I67" i="5"/>
  <c r="J67" i="5" a="1"/>
  <c r="K67" i="5" a="1"/>
  <c r="L67" i="5"/>
  <c r="M67" i="5"/>
  <c r="H68" i="5"/>
  <c r="I68" i="5"/>
  <c r="J68" i="5" a="1"/>
  <c r="K68" i="5" a="1"/>
  <c r="L68" i="5"/>
  <c r="M68" i="5"/>
  <c r="H69" i="5"/>
  <c r="I69" i="5"/>
  <c r="J69" i="5" a="1"/>
  <c r="K69" i="5" a="1"/>
  <c r="L69" i="5"/>
  <c r="M69" i="5"/>
  <c r="H70" i="5"/>
  <c r="I70" i="5"/>
  <c r="J70" i="5" a="1"/>
  <c r="K70" i="5" a="1"/>
  <c r="L70" i="5"/>
  <c r="M70" i="5"/>
  <c r="H71" i="5"/>
  <c r="I71" i="5"/>
  <c r="J71" i="5" a="1"/>
  <c r="K71" i="5" a="1"/>
  <c r="L71" i="5"/>
  <c r="M71" i="5"/>
  <c r="H72" i="5"/>
  <c r="I72" i="5"/>
  <c r="J72" i="5" a="1"/>
  <c r="K72" i="5" a="1"/>
  <c r="L72" i="5"/>
  <c r="M72" i="5"/>
  <c r="H73" i="5"/>
  <c r="I73" i="5"/>
  <c r="J73" i="5" a="1"/>
  <c r="K73" i="5" a="1"/>
  <c r="L73" i="5"/>
  <c r="M73" i="5"/>
  <c r="H74" i="5"/>
  <c r="I74" i="5"/>
  <c r="J74" i="5" a="1"/>
  <c r="K74" i="5" a="1"/>
  <c r="L74" i="5"/>
  <c r="M74" i="5"/>
  <c r="H75" i="5"/>
  <c r="I75" i="5"/>
  <c r="J75" i="5" a="1"/>
  <c r="K75" i="5" a="1"/>
  <c r="L75" i="5"/>
  <c r="M75" i="5"/>
  <c r="H76" i="5"/>
  <c r="I76" i="5"/>
  <c r="J76" i="5" a="1"/>
  <c r="K76" i="5" a="1"/>
  <c r="L76" i="5"/>
  <c r="M76" i="5"/>
  <c r="H77" i="5"/>
  <c r="I77" i="5"/>
  <c r="J77" i="5" a="1"/>
  <c r="K77" i="5" a="1"/>
  <c r="L77" i="5"/>
  <c r="M77" i="5"/>
  <c r="H78" i="5"/>
  <c r="I78" i="5"/>
  <c r="J78" i="5" a="1"/>
  <c r="K78" i="5" a="1"/>
  <c r="L78" i="5"/>
  <c r="M78" i="5"/>
  <c r="H79" i="5"/>
  <c r="I79" i="5"/>
  <c r="J79" i="5" a="1"/>
  <c r="K79" i="5" a="1"/>
  <c r="L79" i="5"/>
  <c r="M79" i="5"/>
  <c r="H80" i="5"/>
  <c r="I80" i="5"/>
  <c r="J80" i="5" a="1"/>
  <c r="K80" i="5" a="1"/>
  <c r="L80" i="5"/>
  <c r="M80" i="5"/>
  <c r="H81" i="5"/>
  <c r="I81" i="5"/>
  <c r="J81" i="5" a="1"/>
  <c r="K81" i="5" a="1"/>
  <c r="L81" i="5"/>
  <c r="M81" i="5"/>
  <c r="H82" i="5"/>
  <c r="I82" i="5"/>
  <c r="J82" i="5" a="1"/>
  <c r="K82" i="5" a="1"/>
  <c r="L82" i="5"/>
  <c r="M82" i="5"/>
  <c r="H83" i="5"/>
  <c r="I83" i="5"/>
  <c r="J83" i="5" a="1"/>
  <c r="K83" i="5" a="1"/>
  <c r="L83" i="5"/>
  <c r="M83" i="5"/>
  <c r="H84" i="5"/>
  <c r="I84" i="5"/>
  <c r="J84" i="5" a="1"/>
  <c r="K84" i="5" a="1"/>
  <c r="L84" i="5"/>
  <c r="M84" i="5"/>
  <c r="H85" i="5"/>
  <c r="I85" i="5"/>
  <c r="J85" i="5" a="1"/>
  <c r="K85" i="5" a="1"/>
  <c r="L85" i="5"/>
  <c r="M85" i="5"/>
  <c r="H86" i="5"/>
  <c r="I86" i="5"/>
  <c r="J86" i="5" a="1"/>
  <c r="K86" i="5" a="1"/>
  <c r="L86" i="5"/>
  <c r="M86" i="5"/>
  <c r="H87" i="5"/>
  <c r="I87" i="5"/>
  <c r="J87" i="5" a="1"/>
  <c r="K87" i="5" a="1"/>
  <c r="L87" i="5"/>
  <c r="M87" i="5"/>
  <c r="H88" i="5"/>
  <c r="I88" i="5"/>
  <c r="J88" i="5" a="1"/>
  <c r="K88" i="5" a="1"/>
  <c r="L88" i="5"/>
  <c r="M88" i="5"/>
  <c r="H89" i="5"/>
  <c r="I89" i="5"/>
  <c r="J89" i="5" a="1"/>
  <c r="K89" i="5" a="1"/>
  <c r="L89" i="5"/>
  <c r="M89" i="5"/>
  <c r="H90" i="5"/>
  <c r="I90" i="5"/>
  <c r="J90" i="5" a="1"/>
  <c r="K90" i="5" a="1"/>
  <c r="L90" i="5"/>
  <c r="M90" i="5"/>
  <c r="H91" i="5"/>
  <c r="I91" i="5"/>
  <c r="J91" i="5" a="1"/>
  <c r="K91" i="5" a="1"/>
  <c r="L91" i="5"/>
  <c r="M91" i="5"/>
  <c r="H92" i="5"/>
  <c r="I92" i="5"/>
  <c r="J92" i="5" a="1"/>
  <c r="K92" i="5" a="1"/>
  <c r="L92" i="5"/>
  <c r="M92" i="5"/>
  <c r="H93" i="5"/>
  <c r="I93" i="5"/>
  <c r="J93" i="5" a="1"/>
  <c r="K93" i="5" a="1"/>
  <c r="L93" i="5"/>
  <c r="M93" i="5"/>
  <c r="H94" i="5"/>
  <c r="I94" i="5"/>
  <c r="J94" i="5" a="1"/>
  <c r="K94" i="5" a="1"/>
  <c r="L94" i="5"/>
  <c r="M94" i="5"/>
  <c r="H95" i="5"/>
  <c r="I95" i="5"/>
  <c r="J95" i="5" a="1"/>
  <c r="K95" i="5" a="1"/>
  <c r="L95" i="5"/>
  <c r="M95" i="5"/>
  <c r="H96" i="5"/>
  <c r="I96" i="5"/>
  <c r="J96" i="5" a="1"/>
  <c r="K96" i="5" a="1"/>
  <c r="L96" i="5"/>
  <c r="M96" i="5"/>
  <c r="H97" i="5"/>
  <c r="I97" i="5"/>
  <c r="J97" i="5" a="1"/>
  <c r="K97" i="5" a="1"/>
  <c r="L97" i="5"/>
  <c r="M97" i="5"/>
  <c r="H98" i="5"/>
  <c r="I98" i="5"/>
  <c r="J98" i="5" a="1"/>
  <c r="K98" i="5" a="1"/>
  <c r="L98" i="5"/>
  <c r="M98" i="5"/>
  <c r="H99" i="5"/>
  <c r="I99" i="5"/>
  <c r="J99" i="5" a="1"/>
  <c r="K99" i="5" a="1"/>
  <c r="L99" i="5"/>
  <c r="M99" i="5"/>
  <c r="H100" i="5"/>
  <c r="I100" i="5"/>
  <c r="J100" i="5" a="1"/>
  <c r="K100" i="5" a="1"/>
  <c r="L100" i="5"/>
  <c r="M100" i="5"/>
  <c r="H101" i="5"/>
  <c r="I101" i="5"/>
  <c r="J101" i="5" a="1"/>
  <c r="K101" i="5" a="1"/>
  <c r="L101" i="5"/>
  <c r="M101" i="5"/>
  <c r="H102" i="5"/>
  <c r="I102" i="5"/>
  <c r="J102" i="5" a="1"/>
  <c r="K102" i="5" a="1"/>
  <c r="L102" i="5"/>
  <c r="M102" i="5"/>
  <c r="H103" i="5"/>
  <c r="I103" i="5"/>
  <c r="J103" i="5" a="1"/>
  <c r="K103" i="5" a="1"/>
  <c r="L103" i="5"/>
  <c r="M103" i="5"/>
  <c r="H104" i="5"/>
  <c r="I104" i="5"/>
  <c r="J104" i="5" a="1"/>
  <c r="K104" i="5" a="1"/>
  <c r="L104" i="5"/>
  <c r="M104" i="5"/>
  <c r="H105" i="5"/>
  <c r="I105" i="5"/>
  <c r="J105" i="5" a="1"/>
  <c r="K105" i="5" a="1"/>
  <c r="L105" i="5"/>
  <c r="M105" i="5"/>
  <c r="H106" i="5"/>
  <c r="I106" i="5"/>
  <c r="J106" i="5" a="1"/>
  <c r="K106" i="5" a="1"/>
  <c r="L106" i="5"/>
  <c r="M106" i="5"/>
  <c r="H107" i="5"/>
  <c r="I107" i="5"/>
  <c r="J107" i="5" a="1"/>
  <c r="K107" i="5" a="1"/>
  <c r="L107" i="5"/>
  <c r="M107" i="5"/>
  <c r="H108" i="5"/>
  <c r="I108" i="5"/>
  <c r="J108" i="5" a="1"/>
  <c r="K108" i="5" a="1"/>
  <c r="L108" i="5"/>
  <c r="M108" i="5"/>
  <c r="H109" i="5"/>
  <c r="I109" i="5"/>
  <c r="J109" i="5" a="1"/>
  <c r="K109" i="5" a="1"/>
  <c r="L109" i="5"/>
  <c r="M109" i="5"/>
  <c r="H110" i="5"/>
  <c r="I110" i="5"/>
  <c r="J110" i="5" a="1"/>
  <c r="K110" i="5" a="1"/>
  <c r="L110" i="5"/>
  <c r="M110" i="5"/>
  <c r="H111" i="5"/>
  <c r="I111" i="5"/>
  <c r="J111" i="5" a="1"/>
  <c r="K111" i="5" a="1"/>
  <c r="L111" i="5"/>
  <c r="M111" i="5"/>
  <c r="H112" i="5"/>
  <c r="I112" i="5"/>
  <c r="J112" i="5" a="1"/>
  <c r="K112" i="5" a="1"/>
  <c r="L112" i="5"/>
  <c r="M112" i="5"/>
  <c r="H113" i="5"/>
  <c r="I113" i="5"/>
  <c r="J113" i="5" a="1"/>
  <c r="K113" i="5" a="1"/>
  <c r="L113" i="5"/>
  <c r="M113" i="5"/>
  <c r="H114" i="5"/>
  <c r="I114" i="5"/>
  <c r="J114" i="5" a="1"/>
  <c r="K114" i="5" a="1"/>
  <c r="L114" i="5"/>
  <c r="M114" i="5"/>
  <c r="H115" i="5"/>
  <c r="I115" i="5"/>
  <c r="J115" i="5" a="1"/>
  <c r="K115" i="5" a="1"/>
  <c r="L115" i="5"/>
  <c r="M115" i="5"/>
  <c r="H116" i="5"/>
  <c r="I116" i="5"/>
  <c r="J116" i="5" a="1"/>
  <c r="K116" i="5" a="1"/>
  <c r="L116" i="5"/>
  <c r="M116" i="5"/>
  <c r="H117" i="5"/>
  <c r="I117" i="5"/>
  <c r="J117" i="5" a="1"/>
  <c r="K117" i="5" a="1"/>
  <c r="L117" i="5"/>
  <c r="M117" i="5"/>
  <c r="H118" i="5"/>
  <c r="I118" i="5"/>
  <c r="J118" i="5" a="1"/>
  <c r="K118" i="5" a="1"/>
  <c r="L118" i="5"/>
  <c r="M118" i="5"/>
  <c r="H119" i="5"/>
  <c r="I119" i="5"/>
  <c r="J119" i="5" a="1"/>
  <c r="K119" i="5" a="1"/>
  <c r="L119" i="5"/>
  <c r="M119" i="5"/>
  <c r="H120" i="5"/>
  <c r="I120" i="5"/>
  <c r="J120" i="5" a="1"/>
  <c r="J120" i="5"/>
  <c r="K120" i="5" a="1"/>
  <c r="K120" i="5"/>
  <c r="L120" i="5"/>
  <c r="M120" i="5"/>
  <c r="H121" i="5"/>
  <c r="I121" i="5"/>
  <c r="J121" i="5" a="1"/>
  <c r="J121" i="5"/>
  <c r="K121" i="5" a="1"/>
  <c r="K121" i="5"/>
  <c r="L121" i="5"/>
  <c r="M121" i="5"/>
  <c r="H122" i="5"/>
  <c r="I122" i="5"/>
  <c r="J122" i="5" a="1"/>
  <c r="J122" i="5"/>
  <c r="K122" i="5" a="1"/>
  <c r="K122" i="5"/>
  <c r="L122" i="5"/>
  <c r="M122" i="5"/>
  <c r="H123" i="5"/>
  <c r="I123" i="5"/>
  <c r="J123" i="5" a="1"/>
  <c r="K123" i="5" a="1"/>
  <c r="L123" i="5"/>
  <c r="M123" i="5"/>
  <c r="H124" i="5"/>
  <c r="I124" i="5"/>
  <c r="J124" i="5" a="1"/>
  <c r="K124" i="5" a="1"/>
  <c r="L124" i="5"/>
  <c r="M124" i="5"/>
  <c r="H125" i="5"/>
  <c r="I125" i="5"/>
  <c r="J125" i="5" a="1"/>
  <c r="K125" i="5" a="1"/>
  <c r="L125" i="5"/>
  <c r="M125" i="5"/>
  <c r="H126" i="5"/>
  <c r="I126" i="5"/>
  <c r="J126" i="5" a="1"/>
  <c r="K126" i="5" a="1"/>
  <c r="L126" i="5"/>
  <c r="M126" i="5"/>
  <c r="H127" i="5"/>
  <c r="I127" i="5"/>
  <c r="J127" i="5" a="1"/>
  <c r="K127" i="5" a="1"/>
  <c r="L127" i="5"/>
  <c r="M127" i="5"/>
  <c r="H128" i="5"/>
  <c r="I128" i="5"/>
  <c r="J128" i="5" a="1"/>
  <c r="K128" i="5" a="1"/>
  <c r="L128" i="5"/>
  <c r="M128" i="5"/>
  <c r="H129" i="5"/>
  <c r="I129" i="5"/>
  <c r="J129" i="5" a="1"/>
  <c r="K129" i="5" a="1"/>
  <c r="L129" i="5"/>
  <c r="M129" i="5"/>
  <c r="H130" i="5"/>
  <c r="I130" i="5"/>
  <c r="J130" i="5" a="1"/>
  <c r="K130" i="5" a="1"/>
  <c r="L130" i="5"/>
  <c r="M130" i="5"/>
  <c r="H131" i="5"/>
  <c r="I131" i="5"/>
  <c r="J131" i="5" a="1"/>
  <c r="K131" i="5" a="1"/>
  <c r="L131" i="5"/>
  <c r="M131" i="5"/>
  <c r="H132" i="5"/>
  <c r="I132" i="5"/>
  <c r="J132" i="5" a="1"/>
  <c r="K132" i="5" a="1"/>
  <c r="L132" i="5"/>
  <c r="M132" i="5"/>
  <c r="H133" i="5"/>
  <c r="I133" i="5"/>
  <c r="J133" i="5" a="1"/>
  <c r="K133" i="5" a="1"/>
  <c r="L133" i="5"/>
  <c r="M133" i="5"/>
  <c r="H134" i="5"/>
  <c r="I134" i="5"/>
  <c r="J134" i="5" a="1"/>
  <c r="K134" i="5" a="1"/>
  <c r="L134" i="5"/>
  <c r="M134" i="5"/>
  <c r="H135" i="5"/>
  <c r="I135" i="5"/>
  <c r="J135" i="5" a="1"/>
  <c r="K135" i="5" a="1"/>
  <c r="L135" i="5"/>
  <c r="M135" i="5"/>
  <c r="H136" i="5"/>
  <c r="I136" i="5"/>
  <c r="J136" i="5" a="1"/>
  <c r="K136" i="5" a="1"/>
  <c r="L136" i="5"/>
  <c r="M136" i="5"/>
  <c r="H137" i="5"/>
  <c r="I137" i="5"/>
  <c r="J137" i="5" a="1"/>
  <c r="K137" i="5" a="1"/>
  <c r="L137" i="5"/>
  <c r="M137" i="5"/>
  <c r="H138" i="5"/>
  <c r="I138" i="5"/>
  <c r="J138" i="5" a="1"/>
  <c r="K138" i="5" a="1"/>
  <c r="K138" i="5"/>
  <c r="L138" i="5"/>
  <c r="M138" i="5"/>
  <c r="H139" i="5"/>
  <c r="I139" i="5"/>
  <c r="J139" i="5" a="1"/>
  <c r="K139" i="5" a="1"/>
  <c r="K139" i="5"/>
  <c r="L139" i="5"/>
  <c r="M139" i="5"/>
  <c r="H140" i="5"/>
  <c r="I140" i="5"/>
  <c r="J140" i="5" a="1"/>
  <c r="K140" i="5" a="1"/>
  <c r="K140" i="5"/>
  <c r="L140" i="5"/>
  <c r="M140" i="5"/>
  <c r="H141" i="5"/>
  <c r="I141" i="5"/>
  <c r="J141" i="5" a="1"/>
  <c r="K141" i="5" a="1"/>
  <c r="K141" i="5"/>
  <c r="L141" i="5"/>
  <c r="M141" i="5"/>
  <c r="H142" i="5"/>
  <c r="I142" i="5"/>
  <c r="J142" i="5" a="1"/>
  <c r="K142" i="5" a="1"/>
  <c r="K142" i="5"/>
  <c r="L142" i="5"/>
  <c r="M142" i="5"/>
  <c r="H143" i="5"/>
  <c r="I143" i="5"/>
  <c r="J143" i="5" a="1"/>
  <c r="K143" i="5" a="1"/>
  <c r="K143" i="5"/>
  <c r="L143" i="5"/>
  <c r="M143" i="5"/>
  <c r="H144" i="5"/>
  <c r="I144" i="5"/>
  <c r="J144" i="5" a="1"/>
  <c r="K144" i="5" a="1"/>
  <c r="K144" i="5"/>
  <c r="L144" i="5"/>
  <c r="M144" i="5"/>
  <c r="H145" i="5"/>
  <c r="I145" i="5"/>
  <c r="J145" i="5" a="1"/>
  <c r="K145" i="5" a="1"/>
  <c r="L145" i="5"/>
  <c r="M145" i="5"/>
  <c r="H146" i="5"/>
  <c r="I146" i="5"/>
  <c r="J146" i="5" a="1"/>
  <c r="K146" i="5" a="1"/>
  <c r="L146" i="5"/>
  <c r="M146" i="5"/>
  <c r="H147" i="5"/>
  <c r="I147" i="5"/>
  <c r="J147" i="5" a="1"/>
  <c r="K147" i="5" a="1"/>
  <c r="K147" i="5"/>
  <c r="L147" i="5"/>
  <c r="M147" i="5"/>
  <c r="H148" i="5"/>
  <c r="I148" i="5"/>
  <c r="J148" i="5" a="1"/>
  <c r="K148" i="5" a="1"/>
  <c r="K148" i="5"/>
  <c r="L148" i="5"/>
  <c r="M148" i="5"/>
  <c r="H149" i="5"/>
  <c r="I149" i="5"/>
  <c r="J149" i="5" a="1"/>
  <c r="K149" i="5" a="1"/>
  <c r="L149" i="5"/>
  <c r="M149" i="5"/>
  <c r="H150" i="5"/>
  <c r="I150" i="5"/>
  <c r="J150" i="5" a="1"/>
  <c r="K150" i="5" a="1"/>
  <c r="L150" i="5"/>
  <c r="M150" i="5"/>
  <c r="H151" i="5"/>
  <c r="I151" i="5"/>
  <c r="J151" i="5" a="1"/>
  <c r="K151" i="5" a="1"/>
  <c r="L151" i="5"/>
  <c r="M151" i="5"/>
  <c r="H152" i="5"/>
  <c r="I152" i="5"/>
  <c r="J152" i="5" a="1"/>
  <c r="K152" i="5" a="1"/>
  <c r="K152" i="5"/>
  <c r="L152" i="5"/>
  <c r="M152" i="5"/>
  <c r="H153" i="5"/>
  <c r="I153" i="5"/>
  <c r="J153" i="5" a="1"/>
  <c r="K153" i="5" a="1"/>
  <c r="K153" i="5"/>
  <c r="L153" i="5"/>
  <c r="M153" i="5"/>
  <c r="H154" i="5"/>
  <c r="I154" i="5"/>
  <c r="J154" i="5" a="1"/>
  <c r="K154" i="5" a="1"/>
  <c r="L154" i="5"/>
  <c r="M154" i="5"/>
  <c r="H155" i="5"/>
  <c r="I155" i="5"/>
  <c r="J155" i="5" a="1"/>
  <c r="K155" i="5" a="1"/>
  <c r="K155" i="5"/>
  <c r="L155" i="5"/>
  <c r="M155" i="5"/>
  <c r="H156" i="5"/>
  <c r="I156" i="5"/>
  <c r="J156" i="5" a="1"/>
  <c r="K156" i="5" a="1"/>
  <c r="K156" i="5"/>
  <c r="L156" i="5"/>
  <c r="M156" i="5"/>
  <c r="H157" i="5"/>
  <c r="I157" i="5"/>
  <c r="J157" i="5" a="1"/>
  <c r="K157" i="5" a="1"/>
  <c r="K157" i="5"/>
  <c r="L157" i="5"/>
  <c r="M157" i="5"/>
  <c r="H158" i="5"/>
  <c r="I158" i="5"/>
  <c r="J158" i="5" a="1"/>
  <c r="K158" i="5" a="1"/>
  <c r="L158" i="5"/>
  <c r="M158" i="5"/>
  <c r="H159" i="5"/>
  <c r="I159" i="5"/>
  <c r="J159" i="5" a="1"/>
  <c r="K159" i="5" a="1"/>
  <c r="K159" i="5"/>
  <c r="L159" i="5"/>
  <c r="M159" i="5"/>
  <c r="H160" i="5"/>
  <c r="I160" i="5"/>
  <c r="J160" i="5" a="1"/>
  <c r="K160" i="5" a="1"/>
  <c r="L160" i="5"/>
  <c r="M160" i="5"/>
  <c r="H161" i="5"/>
  <c r="I161" i="5"/>
  <c r="J161" i="5" a="1"/>
  <c r="K161" i="5" a="1"/>
  <c r="L161" i="5"/>
  <c r="M161" i="5"/>
  <c r="H162" i="5"/>
  <c r="I162" i="5"/>
  <c r="J162" i="5" a="1"/>
  <c r="K162" i="5" a="1"/>
  <c r="L162" i="5"/>
  <c r="M162" i="5"/>
  <c r="H163" i="5"/>
  <c r="I163" i="5"/>
  <c r="J163" i="5" a="1"/>
  <c r="K163" i="5" a="1"/>
  <c r="L163" i="5"/>
  <c r="M163" i="5"/>
  <c r="H164" i="5"/>
  <c r="I164" i="5"/>
  <c r="J164" i="5" a="1"/>
  <c r="K164" i="5" a="1"/>
  <c r="K164" i="5"/>
  <c r="L164" i="5"/>
  <c r="M164" i="5"/>
  <c r="H165" i="5"/>
  <c r="I165" i="5"/>
  <c r="J165" i="5" a="1"/>
  <c r="K165" i="5" a="1"/>
  <c r="K165" i="5"/>
  <c r="L165" i="5"/>
  <c r="M165" i="5"/>
  <c r="H166" i="5"/>
  <c r="I166" i="5"/>
  <c r="J166" i="5" a="1"/>
  <c r="K166" i="5" a="1"/>
  <c r="K166" i="5"/>
  <c r="L166" i="5"/>
  <c r="M166" i="5"/>
  <c r="H167" i="5"/>
  <c r="I167" i="5"/>
  <c r="J167" i="5" a="1"/>
  <c r="K167" i="5" a="1"/>
  <c r="K167" i="5"/>
  <c r="L167" i="5"/>
  <c r="M167" i="5"/>
  <c r="H168" i="5"/>
  <c r="I168" i="5"/>
  <c r="J168" i="5" a="1"/>
  <c r="K168" i="5" a="1"/>
  <c r="K168" i="5"/>
  <c r="L168" i="5"/>
  <c r="M168" i="5"/>
  <c r="H169" i="5"/>
  <c r="I169" i="5"/>
  <c r="J169" i="5" a="1"/>
  <c r="K169" i="5" a="1"/>
  <c r="K169" i="5"/>
  <c r="L169" i="5"/>
  <c r="M169" i="5"/>
  <c r="H170" i="5"/>
  <c r="I170" i="5"/>
  <c r="J170" i="5" a="1"/>
  <c r="K170" i="5" a="1"/>
  <c r="K170" i="5"/>
  <c r="L170" i="5"/>
  <c r="M170" i="5"/>
  <c r="H171" i="5"/>
  <c r="I171" i="5"/>
  <c r="J171" i="5" a="1"/>
  <c r="K171" i="5" a="1"/>
  <c r="L171" i="5"/>
  <c r="M171" i="5"/>
  <c r="H172" i="5"/>
  <c r="I172" i="5"/>
  <c r="J172" i="5" a="1"/>
  <c r="K172" i="5" a="1"/>
  <c r="L172" i="5"/>
  <c r="M172" i="5"/>
  <c r="H173" i="5"/>
  <c r="I173" i="5"/>
  <c r="J173" i="5" a="1"/>
  <c r="K173" i="5" a="1"/>
  <c r="K173" i="5"/>
  <c r="L173" i="5"/>
  <c r="M173" i="5"/>
  <c r="H174" i="5"/>
  <c r="I174" i="5"/>
  <c r="J174" i="5" a="1"/>
  <c r="K174" i="5" a="1"/>
  <c r="K174" i="5"/>
  <c r="L174" i="5"/>
  <c r="M174" i="5"/>
  <c r="H175" i="5"/>
  <c r="I175" i="5"/>
  <c r="J175" i="5" a="1"/>
  <c r="K175" i="5" a="1"/>
  <c r="K175" i="5"/>
  <c r="L175" i="5"/>
  <c r="M175" i="5"/>
  <c r="H176" i="5"/>
  <c r="I176" i="5"/>
  <c r="J176" i="5" a="1"/>
  <c r="K176" i="5" a="1"/>
  <c r="K176" i="5"/>
  <c r="L176" i="5"/>
  <c r="M176" i="5"/>
  <c r="H177" i="5"/>
  <c r="I177" i="5"/>
  <c r="J177" i="5" a="1"/>
  <c r="K177" i="5" a="1"/>
  <c r="K177" i="5"/>
  <c r="L177" i="5"/>
  <c r="M177" i="5"/>
  <c r="H178" i="5"/>
  <c r="I178" i="5"/>
  <c r="J178" i="5" a="1"/>
  <c r="K178" i="5" a="1"/>
  <c r="L178" i="5"/>
  <c r="M178" i="5"/>
  <c r="H179" i="5"/>
  <c r="I179" i="5"/>
  <c r="J179" i="5" a="1"/>
  <c r="K179" i="5" a="1"/>
  <c r="K179" i="5"/>
  <c r="L179" i="5"/>
  <c r="M179" i="5"/>
  <c r="H180" i="5"/>
  <c r="I180" i="5"/>
  <c r="J180" i="5" a="1"/>
  <c r="K180" i="5" a="1"/>
  <c r="L180" i="5"/>
  <c r="M180" i="5"/>
  <c r="H181" i="5"/>
  <c r="I181" i="5"/>
  <c r="J181" i="5" a="1"/>
  <c r="K181" i="5" a="1"/>
  <c r="K181" i="5"/>
  <c r="L181" i="5"/>
  <c r="M181" i="5"/>
  <c r="H182" i="5"/>
  <c r="I182" i="5"/>
  <c r="J182" i="5" a="1"/>
  <c r="K182" i="5" a="1"/>
  <c r="L182" i="5"/>
  <c r="M182" i="5"/>
  <c r="H183" i="5"/>
  <c r="I183" i="5"/>
  <c r="J183" i="5" a="1"/>
  <c r="K183" i="5" a="1"/>
  <c r="K183" i="5"/>
  <c r="L183" i="5"/>
  <c r="M183" i="5"/>
  <c r="H184" i="5"/>
  <c r="I184" i="5"/>
  <c r="J184" i="5" a="1"/>
  <c r="K184" i="5" a="1"/>
  <c r="L184" i="5"/>
  <c r="M184" i="5"/>
  <c r="H185" i="5"/>
  <c r="I185" i="5"/>
  <c r="J185" i="5" a="1"/>
  <c r="K185" i="5" a="1"/>
  <c r="L185" i="5"/>
  <c r="M185" i="5"/>
  <c r="H186" i="5"/>
  <c r="I186" i="5"/>
  <c r="J186" i="5" a="1"/>
  <c r="K186" i="5" a="1"/>
  <c r="L186" i="5"/>
  <c r="M186" i="5"/>
  <c r="H187" i="5"/>
  <c r="I187" i="5"/>
  <c r="J187" i="5" a="1"/>
  <c r="J187" i="5"/>
  <c r="K187" i="5" a="1"/>
  <c r="K187" i="5"/>
  <c r="L187" i="5"/>
  <c r="M187" i="5"/>
  <c r="H188" i="5"/>
  <c r="I188" i="5"/>
  <c r="J188" i="5" a="1"/>
  <c r="J188" i="5"/>
  <c r="K188" i="5" a="1"/>
  <c r="K188" i="5"/>
  <c r="L188" i="5"/>
  <c r="M188" i="5"/>
  <c r="H189" i="5"/>
  <c r="I189" i="5"/>
  <c r="J189" i="5" a="1"/>
  <c r="J189" i="5"/>
  <c r="K189" i="5" a="1"/>
  <c r="K189" i="5"/>
  <c r="L189" i="5"/>
  <c r="M189" i="5"/>
  <c r="H190" i="5"/>
  <c r="I190" i="5"/>
  <c r="J190" i="5" a="1"/>
  <c r="K190" i="5" a="1"/>
  <c r="L190" i="5"/>
  <c r="M190" i="5"/>
  <c r="H191" i="5"/>
  <c r="I191" i="5"/>
  <c r="J191" i="5" a="1"/>
  <c r="K191" i="5" a="1"/>
  <c r="L191" i="5"/>
  <c r="M191" i="5"/>
  <c r="H192" i="5"/>
  <c r="I192" i="5"/>
  <c r="J192" i="5" a="1"/>
  <c r="K192" i="5" a="1"/>
  <c r="L192" i="5"/>
  <c r="M192" i="5"/>
  <c r="H193" i="5"/>
  <c r="I193" i="5"/>
  <c r="J193" i="5" a="1"/>
  <c r="K193" i="5" a="1"/>
  <c r="L193" i="5"/>
  <c r="M193" i="5"/>
  <c r="H194" i="5"/>
  <c r="I194" i="5"/>
  <c r="J194" i="5" a="1"/>
  <c r="K194" i="5" a="1"/>
  <c r="L194" i="5"/>
  <c r="M194" i="5"/>
  <c r="H195" i="5"/>
  <c r="I195" i="5"/>
  <c r="J195" i="5" a="1"/>
  <c r="K195" i="5" a="1"/>
  <c r="L195" i="5"/>
  <c r="M195" i="5"/>
  <c r="H196" i="5"/>
  <c r="I196" i="5"/>
  <c r="J196" i="5" a="1"/>
  <c r="K196" i="5" a="1"/>
  <c r="L196" i="5"/>
  <c r="M196" i="5"/>
  <c r="H197" i="5"/>
  <c r="I197" i="5"/>
  <c r="J197" i="5" a="1"/>
  <c r="K197" i="5" a="1"/>
  <c r="L197" i="5"/>
  <c r="M197" i="5"/>
  <c r="H198" i="5"/>
  <c r="I198" i="5"/>
  <c r="J198" i="5" a="1"/>
  <c r="K198" i="5" a="1"/>
  <c r="L198" i="5"/>
  <c r="M198" i="5"/>
  <c r="H199" i="5"/>
  <c r="I199" i="5"/>
  <c r="J199" i="5" a="1"/>
  <c r="K199" i="5" a="1"/>
  <c r="L199" i="5"/>
  <c r="M199" i="5"/>
  <c r="H200" i="5"/>
  <c r="I200" i="5"/>
  <c r="J200" i="5" a="1"/>
  <c r="K200" i="5" a="1"/>
  <c r="L200" i="5"/>
  <c r="M200" i="5"/>
  <c r="H201" i="5"/>
  <c r="I201" i="5"/>
  <c r="J201" i="5" a="1"/>
  <c r="K201" i="5" a="1"/>
  <c r="L201" i="5"/>
  <c r="M201" i="5"/>
  <c r="H202" i="5"/>
  <c r="I202" i="5"/>
  <c r="J202" i="5" a="1"/>
  <c r="K202" i="5" a="1"/>
  <c r="L202" i="5"/>
  <c r="M202" i="5"/>
  <c r="H203" i="5"/>
  <c r="I203" i="5"/>
  <c r="J203" i="5" a="1"/>
  <c r="K203" i="5" a="1"/>
  <c r="L203" i="5"/>
  <c r="M203" i="5"/>
  <c r="H204" i="5"/>
  <c r="I204" i="5"/>
  <c r="J204" i="5" a="1"/>
  <c r="K204" i="5" a="1"/>
  <c r="L204" i="5"/>
  <c r="M204" i="5"/>
  <c r="H205" i="5"/>
  <c r="I205" i="5"/>
  <c r="J205" i="5" a="1"/>
  <c r="K205" i="5" a="1"/>
  <c r="L205" i="5"/>
  <c r="M205" i="5"/>
  <c r="H206" i="5"/>
  <c r="I206" i="5"/>
  <c r="J206" i="5" a="1"/>
  <c r="K206" i="5" a="1"/>
  <c r="L206" i="5"/>
  <c r="M206" i="5"/>
  <c r="H207" i="5"/>
  <c r="I207" i="5"/>
  <c r="J207" i="5" a="1"/>
  <c r="K207" i="5" a="1"/>
  <c r="L207" i="5"/>
  <c r="M207" i="5"/>
  <c r="H208" i="5"/>
  <c r="I208" i="5"/>
  <c r="J208" i="5" a="1"/>
  <c r="K208" i="5" a="1"/>
  <c r="L208" i="5"/>
  <c r="M208" i="5"/>
  <c r="H209" i="5"/>
  <c r="I209" i="5"/>
  <c r="J209" i="5" a="1"/>
  <c r="K209" i="5" a="1"/>
  <c r="L209" i="5"/>
  <c r="M209" i="5"/>
  <c r="H210" i="5"/>
  <c r="I210" i="5"/>
  <c r="J210" i="5" a="1"/>
  <c r="K210" i="5" a="1"/>
  <c r="L210" i="5"/>
  <c r="M210" i="5"/>
  <c r="H211" i="5"/>
  <c r="I211" i="5"/>
  <c r="J211" i="5" a="1"/>
  <c r="K211" i="5" a="1"/>
  <c r="L211" i="5"/>
  <c r="M211" i="5"/>
  <c r="H212" i="5"/>
  <c r="I212" i="5"/>
  <c r="J212" i="5" a="1"/>
  <c r="K212" i="5" a="1"/>
  <c r="L212" i="5"/>
  <c r="M212" i="5"/>
  <c r="H213" i="5"/>
  <c r="I213" i="5"/>
  <c r="J213" i="5" a="1"/>
  <c r="K213" i="5" a="1"/>
  <c r="L213" i="5"/>
  <c r="M213" i="5"/>
  <c r="H214" i="5"/>
  <c r="I214" i="5"/>
  <c r="J214" i="5" a="1"/>
  <c r="K214" i="5" a="1"/>
  <c r="L214" i="5"/>
  <c r="M214" i="5"/>
  <c r="H215" i="5"/>
  <c r="I215" i="5"/>
  <c r="J215" i="5" a="1"/>
  <c r="K215" i="5" a="1"/>
  <c r="L215" i="5"/>
  <c r="M215" i="5"/>
  <c r="H216" i="5"/>
  <c r="I216" i="5"/>
  <c r="J216" i="5" a="1"/>
  <c r="K216" i="5" a="1"/>
  <c r="L216" i="5"/>
  <c r="M216" i="5"/>
  <c r="H217" i="5"/>
  <c r="I217" i="5"/>
  <c r="J217" i="5" a="1"/>
  <c r="K217" i="5" a="1"/>
  <c r="L217" i="5"/>
  <c r="M217" i="5"/>
  <c r="H218" i="5"/>
  <c r="I218" i="5"/>
  <c r="J218" i="5" a="1"/>
  <c r="K218" i="5" a="1"/>
  <c r="L218" i="5"/>
  <c r="M218" i="5"/>
  <c r="H219" i="5"/>
  <c r="I219" i="5"/>
  <c r="J219" i="5" a="1"/>
  <c r="K219" i="5" a="1"/>
  <c r="L219" i="5"/>
  <c r="M219" i="5"/>
  <c r="H220" i="5"/>
  <c r="I220" i="5"/>
  <c r="J220" i="5" a="1"/>
  <c r="K220" i="5" a="1"/>
  <c r="K220" i="5"/>
  <c r="L220" i="5"/>
  <c r="M220" i="5"/>
  <c r="H221" i="5"/>
  <c r="I221" i="5"/>
  <c r="J221" i="5" a="1"/>
  <c r="J221" i="5"/>
  <c r="K221" i="5" a="1"/>
  <c r="K221" i="5"/>
  <c r="L221" i="5"/>
  <c r="M221" i="5"/>
  <c r="H222" i="5"/>
  <c r="I222" i="5"/>
  <c r="J222" i="5" a="1"/>
  <c r="J222" i="5"/>
  <c r="K222" i="5" a="1"/>
  <c r="K222" i="5"/>
  <c r="L222" i="5"/>
  <c r="M222" i="5"/>
  <c r="H223" i="5"/>
  <c r="I223" i="5"/>
  <c r="J223" i="5" a="1"/>
  <c r="J223" i="5"/>
  <c r="K223" i="5" a="1"/>
  <c r="K223" i="5"/>
  <c r="L223" i="5"/>
  <c r="M223" i="5"/>
  <c r="H224" i="5"/>
  <c r="I224" i="5"/>
  <c r="J224" i="5" a="1"/>
  <c r="J224" i="5"/>
  <c r="K224" i="5" a="1"/>
  <c r="K224" i="5"/>
  <c r="L224" i="5"/>
  <c r="M224" i="5"/>
  <c r="H225" i="5"/>
  <c r="I225" i="5"/>
  <c r="J225" i="5" a="1"/>
  <c r="J225" i="5"/>
  <c r="K225" i="5" a="1"/>
  <c r="L225" i="5"/>
  <c r="M225" i="5"/>
  <c r="H226" i="5"/>
  <c r="I226" i="5"/>
  <c r="J226" i="5" a="1"/>
  <c r="K226" i="5" a="1"/>
  <c r="L226" i="5"/>
  <c r="M226" i="5"/>
  <c r="H227" i="5"/>
  <c r="I227" i="5"/>
  <c r="J227" i="5" a="1"/>
  <c r="K227" i="5" a="1"/>
  <c r="L227" i="5"/>
  <c r="M227" i="5"/>
  <c r="H228" i="5"/>
  <c r="I228" i="5"/>
  <c r="J228" i="5" a="1"/>
  <c r="K228" i="5" a="1"/>
  <c r="L228" i="5"/>
  <c r="M228" i="5"/>
  <c r="H229" i="5"/>
  <c r="I229" i="5"/>
  <c r="J229" i="5" a="1"/>
  <c r="K229" i="5" a="1"/>
  <c r="L229" i="5"/>
  <c r="M229" i="5"/>
  <c r="H230" i="5"/>
  <c r="I230" i="5"/>
  <c r="J230" i="5" a="1"/>
  <c r="K230" i="5" a="1"/>
  <c r="L230" i="5"/>
  <c r="M230" i="5"/>
  <c r="H231" i="5"/>
  <c r="I231" i="5"/>
  <c r="J231" i="5" a="1"/>
  <c r="K231" i="5" a="1"/>
  <c r="L231" i="5"/>
  <c r="M231" i="5"/>
  <c r="H232" i="5"/>
  <c r="I232" i="5"/>
  <c r="J232" i="5" a="1"/>
  <c r="K232" i="5" a="1"/>
  <c r="L232" i="5"/>
  <c r="M232" i="5"/>
  <c r="H233" i="5"/>
  <c r="I233" i="5"/>
  <c r="J233" i="5" a="1"/>
  <c r="K233" i="5" a="1"/>
  <c r="L233" i="5"/>
  <c r="M233" i="5"/>
  <c r="H234" i="5"/>
  <c r="I234" i="5"/>
  <c r="J234" i="5" a="1"/>
  <c r="K234" i="5" a="1"/>
  <c r="L234" i="5"/>
  <c r="M234" i="5"/>
  <c r="H235" i="5"/>
  <c r="I235" i="5"/>
  <c r="J235" i="5" a="1"/>
  <c r="K235" i="5" a="1"/>
  <c r="L235" i="5"/>
  <c r="M235" i="5"/>
  <c r="H236" i="5"/>
  <c r="I236" i="5"/>
  <c r="J236" i="5" a="1"/>
  <c r="K236" i="5" a="1"/>
  <c r="L236" i="5"/>
  <c r="M236" i="5"/>
  <c r="H237" i="5"/>
  <c r="I237" i="5"/>
  <c r="J237" i="5" a="1"/>
  <c r="K237" i="5" a="1"/>
  <c r="L237" i="5"/>
  <c r="M237" i="5"/>
  <c r="H238" i="5"/>
  <c r="I238" i="5"/>
  <c r="J238" i="5" a="1"/>
  <c r="K238" i="5" a="1"/>
  <c r="L238" i="5"/>
  <c r="M238" i="5"/>
  <c r="H239" i="5"/>
  <c r="I239" i="5"/>
  <c r="J239" i="5" a="1"/>
  <c r="K239" i="5" a="1"/>
  <c r="L239" i="5"/>
  <c r="M239" i="5"/>
  <c r="H240" i="5"/>
  <c r="I240" i="5"/>
  <c r="J240" i="5" a="1"/>
  <c r="K240" i="5" a="1"/>
  <c r="L240" i="5"/>
  <c r="M240" i="5"/>
  <c r="H241" i="5"/>
  <c r="I241" i="5"/>
  <c r="J241" i="5" a="1"/>
  <c r="K241" i="5" a="1"/>
  <c r="L241" i="5"/>
  <c r="M241" i="5"/>
  <c r="H242" i="5"/>
  <c r="I242" i="5"/>
  <c r="J242" i="5" a="1"/>
  <c r="K242" i="5" a="1"/>
  <c r="L242" i="5"/>
  <c r="M242" i="5"/>
  <c r="H243" i="5"/>
  <c r="I243" i="5"/>
  <c r="J243" i="5" a="1"/>
  <c r="K243" i="5" a="1"/>
  <c r="L243" i="5"/>
  <c r="M243" i="5"/>
  <c r="H244" i="5"/>
  <c r="I244" i="5"/>
  <c r="J244" i="5" a="1"/>
  <c r="K244" i="5" a="1"/>
  <c r="L244" i="5"/>
  <c r="M244" i="5"/>
  <c r="H245" i="5"/>
  <c r="I245" i="5"/>
  <c r="J245" i="5" a="1"/>
  <c r="K245" i="5" a="1"/>
  <c r="L245" i="5"/>
  <c r="M245" i="5"/>
  <c r="H246" i="5"/>
  <c r="I246" i="5"/>
  <c r="J246" i="5" a="1"/>
  <c r="K246" i="5" a="1"/>
  <c r="L246" i="5"/>
  <c r="M246" i="5"/>
  <c r="H247" i="5"/>
  <c r="I247" i="5"/>
  <c r="J247" i="5" a="1"/>
  <c r="K247" i="5" a="1"/>
  <c r="L247" i="5"/>
  <c r="M247" i="5"/>
  <c r="H248" i="5"/>
  <c r="I248" i="5"/>
  <c r="J248" i="5" a="1"/>
  <c r="K248" i="5" a="1"/>
  <c r="L248" i="5"/>
  <c r="M248" i="5"/>
  <c r="H249" i="5"/>
  <c r="I249" i="5"/>
  <c r="J249" i="5" a="1"/>
  <c r="K249" i="5" a="1"/>
  <c r="L249" i="5"/>
  <c r="M249" i="5"/>
  <c r="H250" i="5"/>
  <c r="I250" i="5"/>
  <c r="J250" i="5" a="1"/>
  <c r="K250" i="5" a="1"/>
  <c r="L250" i="5"/>
  <c r="M250" i="5"/>
  <c r="H251" i="5"/>
  <c r="I251" i="5"/>
  <c r="J251" i="5" a="1"/>
  <c r="K251" i="5" a="1"/>
  <c r="L251" i="5"/>
  <c r="M251" i="5"/>
  <c r="H252" i="5"/>
  <c r="I252" i="5"/>
  <c r="J252" i="5" a="1"/>
  <c r="K252" i="5" a="1"/>
  <c r="L252" i="5"/>
  <c r="M252" i="5"/>
  <c r="H253" i="5"/>
  <c r="I253" i="5"/>
  <c r="J253" i="5" a="1"/>
  <c r="K253" i="5" a="1"/>
  <c r="L253" i="5"/>
  <c r="M253" i="5"/>
  <c r="H254" i="5"/>
  <c r="I254" i="5"/>
  <c r="J254" i="5" a="1"/>
  <c r="J254" i="5"/>
  <c r="K254" i="5" a="1"/>
  <c r="K254" i="5"/>
  <c r="L254" i="5"/>
  <c r="M254" i="5"/>
  <c r="H255" i="5"/>
  <c r="I255" i="5"/>
  <c r="J255" i="5" a="1"/>
  <c r="J255" i="5"/>
  <c r="K255" i="5" a="1"/>
  <c r="K255" i="5"/>
  <c r="L255" i="5"/>
  <c r="M255" i="5"/>
  <c r="H256" i="5"/>
  <c r="I256" i="5"/>
  <c r="J256" i="5" a="1"/>
  <c r="J256" i="5"/>
  <c r="K256" i="5" a="1"/>
  <c r="K256" i="5"/>
  <c r="L256" i="5"/>
  <c r="M256" i="5"/>
  <c r="H257" i="5"/>
  <c r="I257" i="5"/>
  <c r="J257" i="5" a="1"/>
  <c r="J257" i="5"/>
  <c r="K257" i="5" a="1"/>
  <c r="K257" i="5"/>
  <c r="L257" i="5"/>
  <c r="M257" i="5"/>
  <c r="H258" i="5"/>
  <c r="I258" i="5"/>
  <c r="J258" i="5" a="1"/>
  <c r="J258" i="5"/>
  <c r="K258" i="5" a="1"/>
  <c r="K258" i="5"/>
  <c r="L258" i="5"/>
  <c r="M258" i="5"/>
  <c r="H259" i="5"/>
  <c r="I259" i="5"/>
  <c r="J259" i="5" a="1"/>
  <c r="J259" i="5"/>
  <c r="K259" i="5" a="1"/>
  <c r="K259" i="5"/>
  <c r="L259" i="5"/>
  <c r="M259" i="5"/>
  <c r="H260" i="5"/>
  <c r="I260" i="5"/>
  <c r="J260" i="5" a="1"/>
  <c r="J260" i="5"/>
  <c r="K260" i="5" a="1"/>
  <c r="L260" i="5"/>
  <c r="M260" i="5"/>
  <c r="H261" i="5"/>
  <c r="I261" i="5"/>
  <c r="J261" i="5" a="1"/>
  <c r="K261" i="5" a="1"/>
  <c r="L261" i="5"/>
  <c r="M261" i="5"/>
  <c r="H262" i="5"/>
  <c r="I262" i="5"/>
  <c r="J262" i="5" a="1"/>
  <c r="K262" i="5" a="1"/>
  <c r="L262" i="5"/>
  <c r="M262" i="5"/>
  <c r="H263" i="5"/>
  <c r="I263" i="5"/>
  <c r="J263" i="5" a="1"/>
  <c r="K263" i="5" a="1"/>
  <c r="L263" i="5"/>
  <c r="M263" i="5"/>
  <c r="H264" i="5"/>
  <c r="I264" i="5"/>
  <c r="J264" i="5" a="1"/>
  <c r="K264" i="5" a="1"/>
  <c r="L264" i="5"/>
  <c r="M264" i="5"/>
  <c r="H265" i="5"/>
  <c r="I265" i="5"/>
  <c r="J265" i="5" a="1"/>
  <c r="K265" i="5" a="1"/>
  <c r="L265" i="5"/>
  <c r="M265" i="5"/>
  <c r="H266" i="5"/>
  <c r="I266" i="5"/>
  <c r="J266" i="5" a="1"/>
  <c r="K266" i="5" a="1"/>
  <c r="L266" i="5"/>
  <c r="M266" i="5"/>
  <c r="H267" i="5"/>
  <c r="I267" i="5"/>
  <c r="J267" i="5" a="1"/>
  <c r="K267" i="5" a="1"/>
  <c r="L267" i="5"/>
  <c r="M267" i="5"/>
  <c r="H268" i="5"/>
  <c r="I268" i="5"/>
  <c r="J268" i="5" a="1"/>
  <c r="K268" i="5" a="1"/>
  <c r="L268" i="5"/>
  <c r="M268" i="5"/>
  <c r="H269" i="5"/>
  <c r="I269" i="5"/>
  <c r="J269" i="5" a="1"/>
  <c r="K269" i="5" a="1"/>
  <c r="L269" i="5"/>
  <c r="M269" i="5"/>
  <c r="H270" i="5"/>
  <c r="I270" i="5"/>
  <c r="J270" i="5" a="1"/>
  <c r="K270" i="5" a="1"/>
  <c r="L270" i="5"/>
  <c r="M270" i="5"/>
  <c r="H271" i="5"/>
  <c r="I271" i="5"/>
  <c r="J271" i="5" a="1"/>
  <c r="K271" i="5" a="1"/>
  <c r="L271" i="5"/>
  <c r="M271" i="5"/>
  <c r="H272" i="5"/>
  <c r="I272" i="5"/>
  <c r="J272" i="5" a="1"/>
  <c r="K272" i="5" a="1"/>
  <c r="L272" i="5"/>
  <c r="M272" i="5"/>
  <c r="H273" i="5"/>
  <c r="I273" i="5"/>
  <c r="J273" i="5" a="1"/>
  <c r="K273" i="5" a="1"/>
  <c r="L273" i="5"/>
  <c r="M273" i="5"/>
  <c r="H274" i="5"/>
  <c r="I274" i="5"/>
  <c r="J274" i="5" a="1"/>
  <c r="K274" i="5" a="1"/>
  <c r="L274" i="5"/>
  <c r="M274" i="5"/>
  <c r="H275" i="5"/>
  <c r="I275" i="5"/>
  <c r="J275" i="5" a="1"/>
  <c r="K275" i="5" a="1"/>
  <c r="L275" i="5"/>
  <c r="M275" i="5"/>
  <c r="H276" i="5"/>
  <c r="I276" i="5"/>
  <c r="J276" i="5" a="1"/>
  <c r="K276" i="5" a="1"/>
  <c r="L276" i="5"/>
  <c r="M276" i="5"/>
  <c r="H277" i="5"/>
  <c r="I277" i="5"/>
  <c r="J277" i="5" a="1"/>
  <c r="K277" i="5" a="1"/>
  <c r="L277" i="5"/>
  <c r="M277" i="5"/>
  <c r="H278" i="5"/>
  <c r="I278" i="5"/>
  <c r="J278" i="5" a="1"/>
  <c r="K278" i="5" a="1"/>
  <c r="L278" i="5"/>
  <c r="M278" i="5"/>
  <c r="H279" i="5"/>
  <c r="I279" i="5"/>
  <c r="J279" i="5" a="1"/>
  <c r="K279" i="5" a="1"/>
  <c r="L279" i="5"/>
  <c r="M279" i="5"/>
  <c r="H280" i="5"/>
  <c r="I280" i="5"/>
  <c r="J280" i="5" a="1"/>
  <c r="K280" i="5" a="1"/>
  <c r="L280" i="5"/>
  <c r="M280" i="5"/>
  <c r="H281" i="5"/>
  <c r="I281" i="5"/>
  <c r="J281" i="5" a="1"/>
  <c r="K281" i="5" a="1"/>
  <c r="L281" i="5"/>
  <c r="M281" i="5"/>
  <c r="H282" i="5"/>
  <c r="I282" i="5"/>
  <c r="J282" i="5" a="1"/>
  <c r="K282" i="5" a="1"/>
  <c r="L282" i="5"/>
  <c r="M282" i="5"/>
  <c r="M52" i="5"/>
  <c r="L52" i="5"/>
  <c r="K52" i="5" a="1"/>
  <c r="J52" i="5" a="1"/>
  <c r="I52" i="5"/>
  <c r="H52" i="5"/>
  <c r="F282" i="5"/>
  <c r="E282" i="5"/>
  <c r="D282" i="5"/>
  <c r="C282" i="5"/>
  <c r="B282" i="5"/>
  <c r="A282" i="5"/>
  <c r="F281" i="5"/>
  <c r="E281" i="5"/>
  <c r="D281" i="5"/>
  <c r="C281" i="5"/>
  <c r="B281" i="5"/>
  <c r="A281" i="5"/>
  <c r="F280" i="5"/>
  <c r="E280" i="5"/>
  <c r="D280" i="5"/>
  <c r="C280" i="5"/>
  <c r="B280" i="5"/>
  <c r="A280" i="5"/>
  <c r="F279" i="5"/>
  <c r="E279" i="5"/>
  <c r="D279" i="5"/>
  <c r="C279" i="5"/>
  <c r="B279" i="5"/>
  <c r="A279" i="5"/>
  <c r="F278" i="5"/>
  <c r="E278" i="5"/>
  <c r="D278" i="5"/>
  <c r="C278" i="5"/>
  <c r="B278" i="5"/>
  <c r="A278" i="5"/>
  <c r="F277" i="5"/>
  <c r="E277" i="5"/>
  <c r="D277" i="5"/>
  <c r="C277" i="5"/>
  <c r="B277" i="5"/>
  <c r="A277" i="5"/>
  <c r="F276" i="5"/>
  <c r="E276" i="5"/>
  <c r="D276" i="5"/>
  <c r="C276" i="5"/>
  <c r="B276" i="5"/>
  <c r="A276" i="5"/>
  <c r="F275" i="5"/>
  <c r="E275" i="5"/>
  <c r="D275" i="5"/>
  <c r="C275" i="5"/>
  <c r="B275" i="5"/>
  <c r="A275" i="5"/>
  <c r="F274" i="5"/>
  <c r="E274" i="5"/>
  <c r="D274" i="5"/>
  <c r="C274" i="5"/>
  <c r="B274" i="5"/>
  <c r="A274" i="5"/>
  <c r="F273" i="5"/>
  <c r="E273" i="5"/>
  <c r="D273" i="5"/>
  <c r="C273" i="5"/>
  <c r="B273" i="5"/>
  <c r="A273" i="5"/>
  <c r="F272" i="5"/>
  <c r="E272" i="5"/>
  <c r="D272" i="5"/>
  <c r="C272" i="5"/>
  <c r="B272" i="5"/>
  <c r="A272" i="5"/>
  <c r="F271" i="5"/>
  <c r="E271" i="5"/>
  <c r="D271" i="5"/>
  <c r="C271" i="5"/>
  <c r="B271" i="5"/>
  <c r="A271" i="5"/>
  <c r="F270" i="5"/>
  <c r="E270" i="5"/>
  <c r="D270" i="5"/>
  <c r="C270" i="5"/>
  <c r="B270" i="5"/>
  <c r="A270" i="5"/>
  <c r="F269" i="5"/>
  <c r="E269" i="5"/>
  <c r="D269" i="5"/>
  <c r="C269" i="5"/>
  <c r="B269" i="5"/>
  <c r="A269" i="5"/>
  <c r="F268" i="5"/>
  <c r="E268" i="5"/>
  <c r="D268" i="5"/>
  <c r="C268" i="5"/>
  <c r="B268" i="5"/>
  <c r="A268" i="5"/>
  <c r="F267" i="5"/>
  <c r="E267" i="5"/>
  <c r="D267" i="5"/>
  <c r="C267" i="5"/>
  <c r="B267" i="5"/>
  <c r="A267" i="5"/>
  <c r="F266" i="5"/>
  <c r="E266" i="5"/>
  <c r="D266" i="5"/>
  <c r="C266" i="5"/>
  <c r="B266" i="5"/>
  <c r="A266" i="5"/>
  <c r="F265" i="5"/>
  <c r="E265" i="5"/>
  <c r="D265" i="5"/>
  <c r="C265" i="5"/>
  <c r="B265" i="5"/>
  <c r="A265" i="5"/>
  <c r="F264" i="5"/>
  <c r="E264" i="5"/>
  <c r="D264" i="5"/>
  <c r="C264" i="5"/>
  <c r="B264" i="5"/>
  <c r="A264" i="5"/>
  <c r="F263" i="5"/>
  <c r="E263" i="5"/>
  <c r="D263" i="5"/>
  <c r="C263" i="5"/>
  <c r="B263" i="5"/>
  <c r="A263" i="5"/>
  <c r="F262" i="5"/>
  <c r="E262" i="5"/>
  <c r="D262" i="5"/>
  <c r="C262" i="5"/>
  <c r="B262" i="5"/>
  <c r="A262" i="5"/>
  <c r="F261" i="5"/>
  <c r="E261" i="5"/>
  <c r="D261" i="5"/>
  <c r="C261" i="5"/>
  <c r="B261" i="5"/>
  <c r="A261" i="5"/>
  <c r="F260" i="5"/>
  <c r="E260" i="5"/>
  <c r="D260" i="5"/>
  <c r="C260" i="5"/>
  <c r="B260" i="5"/>
  <c r="A260" i="5"/>
  <c r="F259" i="5"/>
  <c r="E259" i="5"/>
  <c r="D259" i="5"/>
  <c r="C259" i="5"/>
  <c r="B259" i="5"/>
  <c r="A259" i="5"/>
  <c r="F258" i="5"/>
  <c r="E258" i="5"/>
  <c r="D258" i="5"/>
  <c r="C258" i="5"/>
  <c r="B258" i="5"/>
  <c r="A258" i="5"/>
  <c r="F257" i="5"/>
  <c r="E257" i="5"/>
  <c r="D257" i="5"/>
  <c r="C257" i="5"/>
  <c r="B257" i="5"/>
  <c r="A257" i="5"/>
  <c r="F256" i="5"/>
  <c r="E256" i="5"/>
  <c r="D256" i="5"/>
  <c r="C256" i="5"/>
  <c r="B256" i="5"/>
  <c r="A256" i="5"/>
  <c r="F255" i="5"/>
  <c r="E255" i="5"/>
  <c r="D255" i="5"/>
  <c r="C255" i="5"/>
  <c r="B255" i="5"/>
  <c r="A255" i="5"/>
  <c r="F254" i="5"/>
  <c r="E254" i="5"/>
  <c r="D254" i="5"/>
  <c r="C254" i="5"/>
  <c r="B254" i="5"/>
  <c r="A254" i="5"/>
  <c r="F253" i="5"/>
  <c r="E253" i="5"/>
  <c r="D253" i="5"/>
  <c r="C253" i="5"/>
  <c r="B253" i="5"/>
  <c r="A253" i="5"/>
  <c r="F252" i="5"/>
  <c r="E252" i="5"/>
  <c r="D252" i="5"/>
  <c r="C252" i="5"/>
  <c r="B252" i="5"/>
  <c r="A252" i="5"/>
  <c r="F251" i="5"/>
  <c r="E251" i="5"/>
  <c r="D251" i="5"/>
  <c r="C251" i="5"/>
  <c r="B251" i="5"/>
  <c r="A251" i="5"/>
  <c r="F250" i="5"/>
  <c r="E250" i="5"/>
  <c r="D250" i="5"/>
  <c r="C250" i="5"/>
  <c r="B250" i="5"/>
  <c r="A250" i="5"/>
  <c r="F249" i="5"/>
  <c r="E249" i="5"/>
  <c r="D249" i="5"/>
  <c r="C249" i="5"/>
  <c r="B249" i="5"/>
  <c r="A249" i="5"/>
  <c r="F248" i="5"/>
  <c r="E248" i="5"/>
  <c r="D248" i="5"/>
  <c r="C248" i="5"/>
  <c r="B248" i="5"/>
  <c r="A248" i="5"/>
  <c r="F247" i="5"/>
  <c r="E247" i="5"/>
  <c r="D247" i="5"/>
  <c r="C247" i="5"/>
  <c r="B247" i="5"/>
  <c r="A247" i="5"/>
  <c r="F246" i="5"/>
  <c r="E246" i="5"/>
  <c r="D246" i="5"/>
  <c r="C246" i="5"/>
  <c r="B246" i="5"/>
  <c r="A246" i="5"/>
  <c r="F245" i="5"/>
  <c r="E245" i="5"/>
  <c r="D245" i="5"/>
  <c r="C245" i="5"/>
  <c r="B245" i="5"/>
  <c r="A245" i="5"/>
  <c r="F244" i="5"/>
  <c r="E244" i="5"/>
  <c r="D244" i="5"/>
  <c r="C244" i="5"/>
  <c r="B244" i="5"/>
  <c r="A244" i="5"/>
  <c r="F243" i="5"/>
  <c r="E243" i="5"/>
  <c r="D243" i="5"/>
  <c r="C243" i="5"/>
  <c r="B243" i="5"/>
  <c r="A243" i="5"/>
  <c r="F242" i="5"/>
  <c r="E242" i="5"/>
  <c r="D242" i="5"/>
  <c r="C242" i="5"/>
  <c r="B242" i="5"/>
  <c r="A242" i="5"/>
  <c r="F241" i="5"/>
  <c r="E241" i="5"/>
  <c r="D241" i="5"/>
  <c r="C241" i="5"/>
  <c r="B241" i="5"/>
  <c r="A241" i="5"/>
  <c r="F240" i="5"/>
  <c r="E240" i="5"/>
  <c r="D240" i="5"/>
  <c r="C240" i="5"/>
  <c r="B240" i="5"/>
  <c r="A240" i="5"/>
  <c r="F239" i="5"/>
  <c r="E239" i="5"/>
  <c r="D239" i="5"/>
  <c r="C239" i="5"/>
  <c r="B239" i="5"/>
  <c r="A239" i="5"/>
  <c r="F238" i="5"/>
  <c r="E238" i="5"/>
  <c r="D238" i="5"/>
  <c r="C238" i="5"/>
  <c r="B238" i="5"/>
  <c r="A238" i="5"/>
  <c r="F237" i="5"/>
  <c r="E237" i="5"/>
  <c r="D237" i="5"/>
  <c r="C237" i="5"/>
  <c r="B237" i="5"/>
  <c r="A237" i="5"/>
  <c r="F236" i="5"/>
  <c r="E236" i="5"/>
  <c r="D236" i="5"/>
  <c r="C236" i="5"/>
  <c r="B236" i="5"/>
  <c r="A236" i="5"/>
  <c r="F235" i="5"/>
  <c r="E235" i="5"/>
  <c r="D235" i="5"/>
  <c r="C235" i="5"/>
  <c r="B235" i="5"/>
  <c r="A235" i="5"/>
  <c r="F234" i="5"/>
  <c r="E234" i="5"/>
  <c r="D234" i="5"/>
  <c r="C234" i="5"/>
  <c r="B234" i="5"/>
  <c r="A234" i="5"/>
  <c r="F233" i="5"/>
  <c r="E233" i="5"/>
  <c r="D233" i="5"/>
  <c r="C233" i="5"/>
  <c r="B233" i="5"/>
  <c r="A233" i="5"/>
  <c r="F232" i="5"/>
  <c r="E232" i="5"/>
  <c r="D232" i="5"/>
  <c r="C232" i="5"/>
  <c r="B232" i="5"/>
  <c r="A232" i="5"/>
  <c r="F231" i="5"/>
  <c r="E231" i="5"/>
  <c r="D231" i="5"/>
  <c r="C231" i="5"/>
  <c r="B231" i="5"/>
  <c r="A231" i="5"/>
  <c r="F230" i="5"/>
  <c r="E230" i="5"/>
  <c r="D230" i="5"/>
  <c r="C230" i="5"/>
  <c r="B230" i="5"/>
  <c r="A230" i="5"/>
  <c r="F229" i="5"/>
  <c r="E229" i="5"/>
  <c r="D229" i="5"/>
  <c r="C229" i="5"/>
  <c r="B229" i="5"/>
  <c r="A229" i="5"/>
  <c r="F228" i="5"/>
  <c r="E228" i="5"/>
  <c r="D228" i="5"/>
  <c r="C228" i="5"/>
  <c r="B228" i="5"/>
  <c r="A228" i="5"/>
  <c r="F227" i="5"/>
  <c r="E227" i="5"/>
  <c r="D227" i="5"/>
  <c r="C227" i="5"/>
  <c r="B227" i="5"/>
  <c r="A227" i="5"/>
  <c r="F226" i="5"/>
  <c r="E226" i="5"/>
  <c r="D226" i="5"/>
  <c r="C226" i="5"/>
  <c r="B226" i="5"/>
  <c r="A226" i="5"/>
  <c r="F225" i="5"/>
  <c r="E225" i="5"/>
  <c r="D225" i="5"/>
  <c r="C225" i="5"/>
  <c r="B225" i="5"/>
  <c r="A225" i="5"/>
  <c r="F224" i="5"/>
  <c r="E224" i="5"/>
  <c r="D224" i="5"/>
  <c r="C224" i="5"/>
  <c r="B224" i="5"/>
  <c r="A224" i="5"/>
  <c r="F223" i="5"/>
  <c r="E223" i="5"/>
  <c r="D223" i="5"/>
  <c r="C223" i="5"/>
  <c r="B223" i="5"/>
  <c r="A223" i="5"/>
  <c r="F222" i="5"/>
  <c r="E222" i="5"/>
  <c r="D222" i="5"/>
  <c r="C222" i="5"/>
  <c r="B222" i="5"/>
  <c r="A222" i="5"/>
  <c r="F221" i="5"/>
  <c r="E221" i="5"/>
  <c r="D221" i="5"/>
  <c r="C221" i="5"/>
  <c r="B221" i="5"/>
  <c r="A221" i="5"/>
  <c r="F220" i="5"/>
  <c r="E220" i="5"/>
  <c r="D220" i="5"/>
  <c r="C220" i="5"/>
  <c r="B220" i="5"/>
  <c r="A220" i="5"/>
  <c r="F219" i="5"/>
  <c r="E219" i="5"/>
  <c r="D219" i="5"/>
  <c r="C219" i="5"/>
  <c r="B219" i="5"/>
  <c r="A219" i="5"/>
  <c r="F218" i="5"/>
  <c r="E218" i="5"/>
  <c r="D218" i="5"/>
  <c r="C218" i="5"/>
  <c r="B218" i="5"/>
  <c r="A218" i="5"/>
  <c r="F217" i="5"/>
  <c r="E217" i="5"/>
  <c r="D217" i="5"/>
  <c r="C217" i="5"/>
  <c r="B217" i="5"/>
  <c r="A217" i="5"/>
  <c r="F216" i="5"/>
  <c r="E216" i="5"/>
  <c r="D216" i="5"/>
  <c r="C216" i="5"/>
  <c r="B216" i="5"/>
  <c r="A216" i="5"/>
  <c r="F215" i="5"/>
  <c r="E215" i="5"/>
  <c r="D215" i="5"/>
  <c r="C215" i="5"/>
  <c r="B215" i="5"/>
  <c r="A215" i="5"/>
  <c r="F214" i="5"/>
  <c r="E214" i="5"/>
  <c r="D214" i="5"/>
  <c r="C214" i="5"/>
  <c r="B214" i="5"/>
  <c r="A214" i="5"/>
  <c r="F213" i="5"/>
  <c r="E213" i="5"/>
  <c r="D213" i="5"/>
  <c r="C213" i="5"/>
  <c r="B213" i="5"/>
  <c r="A213" i="5"/>
  <c r="F212" i="5"/>
  <c r="E212" i="5"/>
  <c r="D212" i="5"/>
  <c r="C212" i="5"/>
  <c r="B212" i="5"/>
  <c r="A212" i="5"/>
  <c r="F211" i="5"/>
  <c r="E211" i="5"/>
  <c r="D211" i="5"/>
  <c r="C211" i="5"/>
  <c r="B211" i="5"/>
  <c r="A211" i="5"/>
  <c r="F210" i="5"/>
  <c r="E210" i="5"/>
  <c r="D210" i="5"/>
  <c r="C210" i="5"/>
  <c r="B210" i="5"/>
  <c r="A210" i="5"/>
  <c r="F209" i="5"/>
  <c r="E209" i="5"/>
  <c r="D209" i="5"/>
  <c r="C209" i="5"/>
  <c r="B209" i="5"/>
  <c r="A209" i="5"/>
  <c r="F208" i="5"/>
  <c r="E208" i="5"/>
  <c r="D208" i="5"/>
  <c r="C208" i="5"/>
  <c r="B208" i="5"/>
  <c r="A208" i="5"/>
  <c r="F207" i="5"/>
  <c r="E207" i="5"/>
  <c r="D207" i="5"/>
  <c r="C207" i="5"/>
  <c r="B207" i="5"/>
  <c r="A207" i="5"/>
  <c r="F206" i="5"/>
  <c r="E206" i="5"/>
  <c r="D206" i="5"/>
  <c r="C206" i="5"/>
  <c r="B206" i="5"/>
  <c r="A206" i="5"/>
  <c r="F205" i="5"/>
  <c r="E205" i="5"/>
  <c r="D205" i="5"/>
  <c r="C205" i="5"/>
  <c r="B205" i="5"/>
  <c r="A205" i="5"/>
  <c r="F204" i="5"/>
  <c r="E204" i="5"/>
  <c r="D204" i="5"/>
  <c r="C204" i="5"/>
  <c r="B204" i="5"/>
  <c r="A204" i="5"/>
  <c r="F203" i="5"/>
  <c r="E203" i="5"/>
  <c r="D203" i="5"/>
  <c r="C203" i="5"/>
  <c r="B203" i="5"/>
  <c r="A203" i="5"/>
  <c r="F202" i="5"/>
  <c r="E202" i="5"/>
  <c r="D202" i="5"/>
  <c r="C202" i="5"/>
  <c r="B202" i="5"/>
  <c r="A202" i="5"/>
  <c r="F201" i="5"/>
  <c r="E201" i="5"/>
  <c r="D201" i="5"/>
  <c r="C201" i="5"/>
  <c r="B201" i="5"/>
  <c r="A201" i="5"/>
  <c r="F200" i="5"/>
  <c r="E200" i="5"/>
  <c r="D200" i="5"/>
  <c r="C200" i="5"/>
  <c r="B200" i="5"/>
  <c r="A200" i="5"/>
  <c r="F199" i="5"/>
  <c r="E199" i="5"/>
  <c r="D199" i="5"/>
  <c r="C199" i="5"/>
  <c r="B199" i="5"/>
  <c r="A199" i="5"/>
  <c r="F198" i="5"/>
  <c r="E198" i="5"/>
  <c r="D198" i="5"/>
  <c r="C198" i="5"/>
  <c r="B198" i="5"/>
  <c r="A198" i="5"/>
  <c r="F197" i="5"/>
  <c r="E197" i="5"/>
  <c r="D197" i="5"/>
  <c r="C197" i="5"/>
  <c r="B197" i="5"/>
  <c r="A197" i="5"/>
  <c r="F196" i="5"/>
  <c r="E196" i="5"/>
  <c r="D196" i="5"/>
  <c r="C196" i="5"/>
  <c r="B196" i="5"/>
  <c r="A196" i="5"/>
  <c r="F195" i="5"/>
  <c r="E195" i="5"/>
  <c r="D195" i="5"/>
  <c r="C195" i="5"/>
  <c r="B195" i="5"/>
  <c r="A195" i="5"/>
  <c r="F194" i="5"/>
  <c r="E194" i="5"/>
  <c r="D194" i="5"/>
  <c r="C194" i="5"/>
  <c r="B194" i="5"/>
  <c r="A194" i="5"/>
  <c r="F193" i="5"/>
  <c r="E193" i="5"/>
  <c r="D193" i="5"/>
  <c r="C193" i="5"/>
  <c r="B193" i="5"/>
  <c r="A193" i="5"/>
  <c r="F192" i="5"/>
  <c r="E192" i="5"/>
  <c r="D192" i="5"/>
  <c r="C192" i="5"/>
  <c r="B192" i="5"/>
  <c r="A192" i="5"/>
  <c r="F191" i="5"/>
  <c r="E191" i="5"/>
  <c r="D191" i="5"/>
  <c r="C191" i="5"/>
  <c r="B191" i="5"/>
  <c r="A191" i="5"/>
  <c r="F190" i="5"/>
  <c r="E190" i="5"/>
  <c r="D190" i="5"/>
  <c r="C190" i="5"/>
  <c r="B190" i="5"/>
  <c r="A190" i="5"/>
  <c r="F189" i="5"/>
  <c r="E189" i="5"/>
  <c r="D189" i="5"/>
  <c r="C189" i="5"/>
  <c r="B189" i="5"/>
  <c r="A189" i="5"/>
  <c r="F188" i="5"/>
  <c r="E188" i="5"/>
  <c r="D188" i="5"/>
  <c r="C188" i="5"/>
  <c r="B188" i="5"/>
  <c r="A188" i="5"/>
  <c r="F187" i="5"/>
  <c r="E187" i="5"/>
  <c r="D187" i="5"/>
  <c r="C187" i="5"/>
  <c r="B187" i="5"/>
  <c r="A187" i="5"/>
  <c r="F186" i="5"/>
  <c r="E186" i="5"/>
  <c r="D186" i="5"/>
  <c r="C186" i="5"/>
  <c r="B186" i="5"/>
  <c r="A186" i="5"/>
  <c r="F185" i="5"/>
  <c r="E185" i="5"/>
  <c r="D185" i="5"/>
  <c r="C185" i="5"/>
  <c r="B185" i="5"/>
  <c r="A185" i="5"/>
  <c r="F184" i="5"/>
  <c r="E184" i="5"/>
  <c r="D184" i="5"/>
  <c r="C184" i="5"/>
  <c r="B184" i="5"/>
  <c r="A184" i="5"/>
  <c r="F183" i="5"/>
  <c r="E183" i="5"/>
  <c r="D183" i="5"/>
  <c r="C183" i="5"/>
  <c r="B183" i="5"/>
  <c r="A183" i="5"/>
  <c r="F182" i="5"/>
  <c r="E182" i="5"/>
  <c r="D182" i="5"/>
  <c r="C182" i="5"/>
  <c r="B182" i="5"/>
  <c r="A182" i="5"/>
  <c r="F181" i="5"/>
  <c r="E181" i="5"/>
  <c r="D181" i="5"/>
  <c r="C181" i="5"/>
  <c r="B181" i="5"/>
  <c r="A181" i="5"/>
  <c r="F180" i="5"/>
  <c r="E180" i="5"/>
  <c r="D180" i="5"/>
  <c r="C180" i="5"/>
  <c r="B180" i="5"/>
  <c r="A180" i="5"/>
  <c r="F179" i="5"/>
  <c r="E179" i="5"/>
  <c r="D179" i="5"/>
  <c r="C179" i="5"/>
  <c r="B179" i="5"/>
  <c r="A179" i="5"/>
  <c r="F178" i="5"/>
  <c r="E178" i="5"/>
  <c r="D178" i="5"/>
  <c r="C178" i="5"/>
  <c r="B178" i="5"/>
  <c r="A178" i="5"/>
  <c r="F177" i="5"/>
  <c r="E177" i="5"/>
  <c r="D177" i="5"/>
  <c r="C177" i="5"/>
  <c r="B177" i="5"/>
  <c r="A177" i="5"/>
  <c r="F176" i="5"/>
  <c r="E176" i="5"/>
  <c r="D176" i="5"/>
  <c r="C176" i="5"/>
  <c r="B176" i="5"/>
  <c r="A176" i="5"/>
  <c r="F175" i="5"/>
  <c r="E175" i="5"/>
  <c r="D175" i="5"/>
  <c r="C175" i="5"/>
  <c r="B175" i="5"/>
  <c r="A175" i="5"/>
  <c r="F174" i="5"/>
  <c r="E174" i="5"/>
  <c r="D174" i="5"/>
  <c r="C174" i="5"/>
  <c r="B174" i="5"/>
  <c r="A174" i="5"/>
  <c r="F173" i="5"/>
  <c r="E173" i="5"/>
  <c r="D173" i="5"/>
  <c r="C173" i="5"/>
  <c r="B173" i="5"/>
  <c r="A173" i="5"/>
  <c r="F172" i="5"/>
  <c r="E172" i="5"/>
  <c r="D172" i="5"/>
  <c r="C172" i="5"/>
  <c r="B172" i="5"/>
  <c r="A172" i="5"/>
  <c r="F171" i="5"/>
  <c r="E171" i="5"/>
  <c r="D171" i="5"/>
  <c r="C171" i="5"/>
  <c r="B171" i="5"/>
  <c r="A171" i="5"/>
  <c r="F170" i="5"/>
  <c r="E170" i="5"/>
  <c r="D170" i="5"/>
  <c r="C170" i="5"/>
  <c r="B170" i="5"/>
  <c r="A170" i="5"/>
  <c r="F169" i="5"/>
  <c r="E169" i="5"/>
  <c r="D169" i="5"/>
  <c r="C169" i="5"/>
  <c r="B169" i="5"/>
  <c r="A169" i="5"/>
  <c r="F168" i="5"/>
  <c r="E168" i="5"/>
  <c r="D168" i="5"/>
  <c r="C168" i="5"/>
  <c r="B168" i="5"/>
  <c r="A168" i="5"/>
  <c r="F167" i="5"/>
  <c r="E167" i="5"/>
  <c r="D167" i="5"/>
  <c r="C167" i="5"/>
  <c r="B167" i="5"/>
  <c r="A167" i="5"/>
  <c r="F166" i="5"/>
  <c r="E166" i="5"/>
  <c r="D166" i="5"/>
  <c r="C166" i="5"/>
  <c r="B166" i="5"/>
  <c r="A166" i="5"/>
  <c r="F165" i="5"/>
  <c r="E165" i="5"/>
  <c r="D165" i="5"/>
  <c r="C165" i="5"/>
  <c r="B165" i="5"/>
  <c r="A165" i="5"/>
  <c r="F164" i="5"/>
  <c r="E164" i="5"/>
  <c r="D164" i="5"/>
  <c r="C164" i="5"/>
  <c r="B164" i="5"/>
  <c r="A164" i="5"/>
  <c r="F163" i="5"/>
  <c r="E163" i="5"/>
  <c r="D163" i="5"/>
  <c r="C163" i="5"/>
  <c r="B163" i="5"/>
  <c r="A163" i="5"/>
  <c r="F162" i="5"/>
  <c r="E162" i="5"/>
  <c r="D162" i="5"/>
  <c r="C162" i="5"/>
  <c r="B162" i="5"/>
  <c r="A162" i="5"/>
  <c r="F161" i="5"/>
  <c r="E161" i="5"/>
  <c r="D161" i="5"/>
  <c r="C161" i="5"/>
  <c r="B161" i="5"/>
  <c r="A161" i="5"/>
  <c r="F160" i="5"/>
  <c r="E160" i="5"/>
  <c r="D160" i="5"/>
  <c r="C160" i="5"/>
  <c r="B160" i="5"/>
  <c r="A160" i="5"/>
  <c r="F159" i="5"/>
  <c r="E159" i="5"/>
  <c r="D159" i="5"/>
  <c r="C159" i="5"/>
  <c r="B159" i="5"/>
  <c r="A159" i="5"/>
  <c r="F158" i="5"/>
  <c r="E158" i="5"/>
  <c r="D158" i="5"/>
  <c r="C158" i="5"/>
  <c r="B158" i="5"/>
  <c r="A158" i="5"/>
  <c r="F157" i="5"/>
  <c r="E157" i="5"/>
  <c r="D157" i="5"/>
  <c r="C157" i="5"/>
  <c r="B157" i="5"/>
  <c r="A157" i="5"/>
  <c r="F156" i="5"/>
  <c r="E156" i="5"/>
  <c r="D156" i="5"/>
  <c r="C156" i="5"/>
  <c r="B156" i="5"/>
  <c r="A156" i="5"/>
  <c r="F155" i="5"/>
  <c r="E155" i="5"/>
  <c r="D155" i="5"/>
  <c r="C155" i="5"/>
  <c r="B155" i="5"/>
  <c r="A155" i="5"/>
  <c r="F154" i="5"/>
  <c r="E154" i="5"/>
  <c r="D154" i="5"/>
  <c r="C154" i="5"/>
  <c r="B154" i="5"/>
  <c r="A154" i="5"/>
  <c r="F153" i="5"/>
  <c r="E153" i="5"/>
  <c r="D153" i="5"/>
  <c r="C153" i="5"/>
  <c r="B153" i="5"/>
  <c r="A153" i="5"/>
  <c r="F152" i="5"/>
  <c r="E152" i="5"/>
  <c r="D152" i="5"/>
  <c r="C152" i="5"/>
  <c r="B152" i="5"/>
  <c r="A152" i="5"/>
  <c r="F151" i="5"/>
  <c r="E151" i="5"/>
  <c r="D151" i="5"/>
  <c r="C151" i="5"/>
  <c r="B151" i="5"/>
  <c r="A151" i="5"/>
  <c r="F150" i="5"/>
  <c r="E150" i="5"/>
  <c r="D150" i="5"/>
  <c r="C150" i="5"/>
  <c r="B150" i="5"/>
  <c r="A150" i="5"/>
  <c r="F149" i="5"/>
  <c r="E149" i="5"/>
  <c r="D149" i="5"/>
  <c r="C149" i="5"/>
  <c r="B149" i="5"/>
  <c r="A149" i="5"/>
  <c r="F148" i="5"/>
  <c r="E148" i="5"/>
  <c r="D148" i="5"/>
  <c r="C148" i="5"/>
  <c r="B148" i="5"/>
  <c r="A148" i="5"/>
  <c r="F147" i="5"/>
  <c r="E147" i="5"/>
  <c r="D147" i="5"/>
  <c r="C147" i="5"/>
  <c r="B147" i="5"/>
  <c r="A147" i="5"/>
  <c r="F146" i="5"/>
  <c r="E146" i="5"/>
  <c r="D146" i="5"/>
  <c r="C146" i="5"/>
  <c r="B146" i="5"/>
  <c r="A146" i="5"/>
  <c r="F145" i="5"/>
  <c r="E145" i="5"/>
  <c r="D145" i="5"/>
  <c r="C145" i="5"/>
  <c r="B145" i="5"/>
  <c r="A145" i="5"/>
  <c r="F144" i="5"/>
  <c r="E144" i="5"/>
  <c r="D144" i="5"/>
  <c r="C144" i="5"/>
  <c r="B144" i="5"/>
  <c r="A144" i="5"/>
  <c r="F143" i="5"/>
  <c r="E143" i="5"/>
  <c r="D143" i="5"/>
  <c r="C143" i="5"/>
  <c r="B143" i="5"/>
  <c r="A143" i="5"/>
  <c r="F142" i="5"/>
  <c r="E142" i="5"/>
  <c r="D142" i="5"/>
  <c r="C142" i="5"/>
  <c r="B142" i="5"/>
  <c r="A142" i="5"/>
  <c r="F141" i="5"/>
  <c r="E141" i="5"/>
  <c r="D141" i="5"/>
  <c r="C141" i="5"/>
  <c r="B141" i="5"/>
  <c r="A141" i="5"/>
  <c r="F140" i="5"/>
  <c r="E140" i="5"/>
  <c r="D140" i="5"/>
  <c r="C140" i="5"/>
  <c r="B140" i="5"/>
  <c r="A140" i="5"/>
  <c r="F139" i="5"/>
  <c r="E139" i="5"/>
  <c r="D139" i="5"/>
  <c r="C139" i="5"/>
  <c r="B139" i="5"/>
  <c r="A139" i="5"/>
  <c r="F138" i="5"/>
  <c r="E138" i="5"/>
  <c r="D138" i="5"/>
  <c r="C138" i="5"/>
  <c r="B138" i="5"/>
  <c r="A138" i="5"/>
  <c r="F137" i="5"/>
  <c r="E137" i="5"/>
  <c r="D137" i="5"/>
  <c r="C137" i="5"/>
  <c r="B137" i="5"/>
  <c r="A137" i="5"/>
  <c r="F136" i="5"/>
  <c r="E136" i="5"/>
  <c r="D136" i="5"/>
  <c r="C136" i="5"/>
  <c r="B136" i="5"/>
  <c r="A136" i="5"/>
  <c r="F135" i="5"/>
  <c r="E135" i="5"/>
  <c r="D135" i="5"/>
  <c r="C135" i="5"/>
  <c r="B135" i="5"/>
  <c r="A135" i="5"/>
  <c r="F134" i="5"/>
  <c r="E134" i="5"/>
  <c r="D134" i="5"/>
  <c r="C134" i="5"/>
  <c r="B134" i="5"/>
  <c r="A134" i="5"/>
  <c r="F133" i="5"/>
  <c r="E133" i="5"/>
  <c r="D133" i="5"/>
  <c r="C133" i="5"/>
  <c r="B133" i="5"/>
  <c r="A133" i="5"/>
  <c r="F132" i="5"/>
  <c r="E132" i="5"/>
  <c r="D132" i="5"/>
  <c r="C132" i="5"/>
  <c r="B132" i="5"/>
  <c r="A132" i="5"/>
  <c r="F131" i="5"/>
  <c r="E131" i="5"/>
  <c r="D131" i="5"/>
  <c r="C131" i="5"/>
  <c r="B131" i="5"/>
  <c r="A131" i="5"/>
  <c r="F130" i="5"/>
  <c r="E130" i="5"/>
  <c r="D130" i="5"/>
  <c r="C130" i="5"/>
  <c r="B130" i="5"/>
  <c r="A130" i="5"/>
  <c r="F129" i="5"/>
  <c r="E129" i="5"/>
  <c r="D129" i="5"/>
  <c r="C129" i="5"/>
  <c r="B129" i="5"/>
  <c r="A129" i="5"/>
  <c r="F128" i="5"/>
  <c r="E128" i="5"/>
  <c r="D128" i="5"/>
  <c r="C128" i="5"/>
  <c r="B128" i="5"/>
  <c r="A128" i="5"/>
  <c r="F127" i="5"/>
  <c r="E127" i="5"/>
  <c r="D127" i="5"/>
  <c r="C127" i="5"/>
  <c r="B127" i="5"/>
  <c r="A127" i="5"/>
  <c r="F126" i="5"/>
  <c r="E126" i="5"/>
  <c r="D126" i="5"/>
  <c r="C126" i="5"/>
  <c r="B126" i="5"/>
  <c r="A126" i="5"/>
  <c r="F125" i="5"/>
  <c r="E125" i="5"/>
  <c r="D125" i="5"/>
  <c r="C125" i="5"/>
  <c r="B125" i="5"/>
  <c r="A125" i="5"/>
  <c r="F124" i="5"/>
  <c r="E124" i="5"/>
  <c r="D124" i="5"/>
  <c r="C124" i="5"/>
  <c r="B124" i="5"/>
  <c r="A124" i="5"/>
  <c r="F123" i="5"/>
  <c r="E123" i="5"/>
  <c r="D123" i="5"/>
  <c r="C123" i="5"/>
  <c r="B123" i="5"/>
  <c r="A123" i="5"/>
  <c r="F122" i="5"/>
  <c r="E122" i="5"/>
  <c r="D122" i="5"/>
  <c r="C122" i="5"/>
  <c r="B122" i="5"/>
  <c r="A122" i="5"/>
  <c r="F121" i="5"/>
  <c r="E121" i="5"/>
  <c r="D121" i="5"/>
  <c r="C121" i="5"/>
  <c r="B121" i="5"/>
  <c r="A121" i="5"/>
  <c r="F120" i="5"/>
  <c r="E120" i="5"/>
  <c r="D120" i="5"/>
  <c r="C120" i="5"/>
  <c r="B120" i="5"/>
  <c r="A120" i="5"/>
  <c r="F119" i="5"/>
  <c r="E119" i="5"/>
  <c r="D119" i="5"/>
  <c r="C119" i="5"/>
  <c r="B119" i="5"/>
  <c r="A119" i="5"/>
  <c r="F118" i="5"/>
  <c r="E118" i="5"/>
  <c r="D118" i="5"/>
  <c r="C118" i="5"/>
  <c r="B118" i="5"/>
  <c r="A118" i="5"/>
  <c r="F117" i="5"/>
  <c r="E117" i="5"/>
  <c r="D117" i="5"/>
  <c r="C117" i="5"/>
  <c r="B117" i="5"/>
  <c r="A117" i="5"/>
  <c r="F116" i="5"/>
  <c r="E116" i="5"/>
  <c r="D116" i="5"/>
  <c r="C116" i="5"/>
  <c r="B116" i="5"/>
  <c r="A116" i="5"/>
  <c r="F115" i="5"/>
  <c r="E115" i="5"/>
  <c r="D115" i="5"/>
  <c r="C115" i="5"/>
  <c r="B115" i="5"/>
  <c r="A115" i="5"/>
  <c r="F114" i="5"/>
  <c r="E114" i="5"/>
  <c r="D114" i="5"/>
  <c r="C114" i="5"/>
  <c r="B114" i="5"/>
  <c r="A114" i="5"/>
  <c r="F113" i="5"/>
  <c r="E113" i="5"/>
  <c r="D113" i="5"/>
  <c r="C113" i="5"/>
  <c r="B113" i="5"/>
  <c r="A113" i="5"/>
  <c r="F112" i="5"/>
  <c r="E112" i="5"/>
  <c r="D112" i="5"/>
  <c r="C112" i="5"/>
  <c r="B112" i="5"/>
  <c r="A112" i="5"/>
  <c r="F111" i="5"/>
  <c r="E111" i="5"/>
  <c r="D111" i="5"/>
  <c r="C111" i="5"/>
  <c r="B111" i="5"/>
  <c r="A111" i="5"/>
  <c r="F110" i="5"/>
  <c r="E110" i="5"/>
  <c r="D110" i="5"/>
  <c r="C110" i="5"/>
  <c r="B110" i="5"/>
  <c r="A110" i="5"/>
  <c r="F109" i="5"/>
  <c r="E109" i="5"/>
  <c r="D109" i="5"/>
  <c r="C109" i="5"/>
  <c r="B109" i="5"/>
  <c r="A109" i="5"/>
  <c r="F108" i="5"/>
  <c r="E108" i="5"/>
  <c r="D108" i="5"/>
  <c r="C108" i="5"/>
  <c r="B108" i="5"/>
  <c r="A108" i="5"/>
  <c r="F107" i="5"/>
  <c r="E107" i="5"/>
  <c r="D107" i="5"/>
  <c r="C107" i="5"/>
  <c r="B107" i="5"/>
  <c r="A107" i="5"/>
  <c r="F106" i="5"/>
  <c r="E106" i="5"/>
  <c r="D106" i="5"/>
  <c r="C106" i="5"/>
  <c r="B106" i="5"/>
  <c r="A106" i="5"/>
  <c r="F105" i="5"/>
  <c r="E105" i="5"/>
  <c r="D105" i="5"/>
  <c r="C105" i="5"/>
  <c r="B105" i="5"/>
  <c r="A105" i="5"/>
  <c r="F104" i="5"/>
  <c r="E104" i="5"/>
  <c r="D104" i="5"/>
  <c r="C104" i="5"/>
  <c r="B104" i="5"/>
  <c r="A104" i="5"/>
  <c r="F103" i="5"/>
  <c r="E103" i="5"/>
  <c r="D103" i="5"/>
  <c r="C103" i="5"/>
  <c r="B103" i="5"/>
  <c r="A103" i="5"/>
  <c r="F102" i="5"/>
  <c r="E102" i="5"/>
  <c r="D102" i="5"/>
  <c r="C102" i="5"/>
  <c r="B102" i="5"/>
  <c r="A102" i="5"/>
  <c r="F101" i="5"/>
  <c r="E101" i="5"/>
  <c r="D101" i="5"/>
  <c r="C101" i="5"/>
  <c r="B101" i="5"/>
  <c r="A101" i="5"/>
  <c r="F100" i="5"/>
  <c r="E100" i="5"/>
  <c r="D100" i="5"/>
  <c r="C100" i="5"/>
  <c r="B100" i="5"/>
  <c r="A100" i="5"/>
  <c r="F99" i="5"/>
  <c r="E99" i="5"/>
  <c r="D99" i="5"/>
  <c r="C99" i="5"/>
  <c r="B99" i="5"/>
  <c r="A99" i="5"/>
  <c r="F98" i="5"/>
  <c r="E98" i="5"/>
  <c r="D98" i="5"/>
  <c r="C98" i="5"/>
  <c r="B98" i="5"/>
  <c r="A98" i="5"/>
  <c r="F97" i="5"/>
  <c r="E97" i="5"/>
  <c r="D97" i="5"/>
  <c r="C97" i="5"/>
  <c r="B97" i="5"/>
  <c r="A97" i="5"/>
  <c r="F96" i="5"/>
  <c r="E96" i="5"/>
  <c r="D96" i="5"/>
  <c r="C96" i="5"/>
  <c r="B96" i="5"/>
  <c r="A96" i="5"/>
  <c r="F95" i="5"/>
  <c r="E95" i="5"/>
  <c r="D95" i="5"/>
  <c r="C95" i="5"/>
  <c r="B95" i="5"/>
  <c r="A95" i="5"/>
  <c r="F94" i="5"/>
  <c r="E94" i="5"/>
  <c r="D94" i="5"/>
  <c r="C94" i="5"/>
  <c r="B94" i="5"/>
  <c r="A94" i="5"/>
  <c r="F93" i="5"/>
  <c r="E93" i="5"/>
  <c r="D93" i="5"/>
  <c r="C93" i="5"/>
  <c r="B93" i="5"/>
  <c r="A93" i="5"/>
  <c r="F92" i="5"/>
  <c r="E92" i="5"/>
  <c r="D92" i="5"/>
  <c r="C92" i="5"/>
  <c r="B92" i="5"/>
  <c r="A92" i="5"/>
  <c r="F91" i="5"/>
  <c r="E91" i="5"/>
  <c r="D91" i="5"/>
  <c r="C91" i="5"/>
  <c r="B91" i="5"/>
  <c r="A91" i="5"/>
  <c r="F90" i="5"/>
  <c r="E90" i="5"/>
  <c r="D90" i="5"/>
  <c r="C90" i="5"/>
  <c r="B90" i="5"/>
  <c r="A90" i="5"/>
  <c r="F89" i="5"/>
  <c r="E89" i="5"/>
  <c r="D89" i="5"/>
  <c r="C89" i="5"/>
  <c r="B89" i="5"/>
  <c r="A89" i="5"/>
  <c r="F88" i="5"/>
  <c r="E88" i="5"/>
  <c r="D88" i="5"/>
  <c r="C88" i="5"/>
  <c r="B88" i="5"/>
  <c r="A88" i="5"/>
  <c r="F87" i="5"/>
  <c r="E87" i="5"/>
  <c r="D87" i="5"/>
  <c r="C87" i="5"/>
  <c r="B87" i="5"/>
  <c r="A87" i="5"/>
  <c r="F86" i="5"/>
  <c r="E86" i="5"/>
  <c r="D86" i="5"/>
  <c r="C86" i="5"/>
  <c r="B86" i="5"/>
  <c r="A86" i="5"/>
  <c r="F85" i="5"/>
  <c r="E85" i="5"/>
  <c r="D85" i="5"/>
  <c r="C85" i="5"/>
  <c r="B85" i="5"/>
  <c r="A85" i="5"/>
  <c r="F84" i="5"/>
  <c r="E84" i="5"/>
  <c r="D84" i="5"/>
  <c r="C84" i="5"/>
  <c r="B84" i="5"/>
  <c r="A84" i="5"/>
  <c r="F83" i="5"/>
  <c r="E83" i="5"/>
  <c r="D83" i="5"/>
  <c r="C83" i="5"/>
  <c r="B83" i="5"/>
  <c r="A83" i="5"/>
  <c r="F82" i="5"/>
  <c r="E82" i="5"/>
  <c r="D82" i="5"/>
  <c r="C82" i="5"/>
  <c r="B82" i="5"/>
  <c r="A82" i="5"/>
  <c r="F81" i="5"/>
  <c r="E81" i="5"/>
  <c r="D81" i="5"/>
  <c r="C81" i="5"/>
  <c r="B81" i="5"/>
  <c r="A81" i="5"/>
  <c r="F80" i="5"/>
  <c r="E80" i="5"/>
  <c r="D80" i="5"/>
  <c r="C80" i="5"/>
  <c r="B80" i="5"/>
  <c r="A80" i="5"/>
  <c r="F79" i="5"/>
  <c r="E79" i="5"/>
  <c r="D79" i="5"/>
  <c r="C79" i="5"/>
  <c r="B79" i="5"/>
  <c r="A79" i="5"/>
  <c r="F78" i="5"/>
  <c r="E78" i="5"/>
  <c r="D78" i="5"/>
  <c r="C78" i="5"/>
  <c r="B78" i="5"/>
  <c r="A78" i="5"/>
  <c r="F77" i="5"/>
  <c r="E77" i="5"/>
  <c r="D77" i="5"/>
  <c r="C77" i="5"/>
  <c r="B77" i="5"/>
  <c r="A77" i="5"/>
  <c r="F76" i="5"/>
  <c r="E76" i="5"/>
  <c r="D76" i="5"/>
  <c r="C76" i="5"/>
  <c r="B76" i="5"/>
  <c r="A76" i="5"/>
  <c r="F75" i="5"/>
  <c r="E75" i="5"/>
  <c r="D75" i="5"/>
  <c r="C75" i="5"/>
  <c r="B75" i="5"/>
  <c r="A75" i="5"/>
  <c r="F74" i="5"/>
  <c r="E74" i="5"/>
  <c r="D74" i="5"/>
  <c r="C74" i="5"/>
  <c r="B74" i="5"/>
  <c r="A74" i="5"/>
  <c r="F73" i="5"/>
  <c r="E73" i="5"/>
  <c r="D73" i="5"/>
  <c r="C73" i="5"/>
  <c r="B73" i="5"/>
  <c r="A73" i="5"/>
  <c r="F72" i="5"/>
  <c r="E72" i="5"/>
  <c r="D72" i="5"/>
  <c r="C72" i="5"/>
  <c r="B72" i="5"/>
  <c r="A72" i="5"/>
  <c r="F71" i="5"/>
  <c r="E71" i="5"/>
  <c r="D71" i="5"/>
  <c r="C71" i="5"/>
  <c r="B71" i="5"/>
  <c r="A71" i="5"/>
  <c r="F70" i="5"/>
  <c r="E70" i="5"/>
  <c r="D70" i="5"/>
  <c r="C70" i="5"/>
  <c r="B70" i="5"/>
  <c r="A70" i="5"/>
  <c r="F69" i="5"/>
  <c r="E69" i="5"/>
  <c r="D69" i="5"/>
  <c r="C69" i="5"/>
  <c r="B69" i="5"/>
  <c r="A69" i="5"/>
  <c r="F68" i="5"/>
  <c r="E68" i="5"/>
  <c r="D68" i="5"/>
  <c r="C68" i="5"/>
  <c r="B68" i="5"/>
  <c r="A68" i="5"/>
  <c r="F67" i="5"/>
  <c r="E67" i="5"/>
  <c r="D67" i="5"/>
  <c r="C67" i="5"/>
  <c r="B67" i="5"/>
  <c r="A67" i="5"/>
  <c r="F66" i="5"/>
  <c r="E66" i="5"/>
  <c r="D66" i="5"/>
  <c r="C66" i="5"/>
  <c r="B66" i="5"/>
  <c r="A66" i="5"/>
  <c r="F65" i="5"/>
  <c r="E65" i="5"/>
  <c r="D65" i="5"/>
  <c r="C65" i="5"/>
  <c r="B65" i="5"/>
  <c r="A65" i="5"/>
  <c r="F64" i="5"/>
  <c r="E64" i="5"/>
  <c r="D64" i="5"/>
  <c r="C64" i="5"/>
  <c r="B64" i="5"/>
  <c r="A64" i="5"/>
  <c r="F63" i="5"/>
  <c r="E63" i="5"/>
  <c r="D63" i="5"/>
  <c r="C63" i="5"/>
  <c r="B63" i="5"/>
  <c r="A63" i="5"/>
  <c r="F62" i="5"/>
  <c r="E62" i="5"/>
  <c r="D62" i="5"/>
  <c r="C62" i="5"/>
  <c r="B62" i="5"/>
  <c r="A62" i="5"/>
  <c r="F61" i="5"/>
  <c r="E61" i="5"/>
  <c r="D61" i="5"/>
  <c r="C61" i="5"/>
  <c r="B61" i="5"/>
  <c r="A61" i="5"/>
  <c r="F60" i="5"/>
  <c r="E60" i="5"/>
  <c r="D60" i="5"/>
  <c r="C60" i="5"/>
  <c r="B60" i="5"/>
  <c r="A60" i="5"/>
  <c r="F59" i="5"/>
  <c r="E59" i="5"/>
  <c r="D59" i="5"/>
  <c r="C59" i="5"/>
  <c r="B59" i="5"/>
  <c r="A59" i="5"/>
  <c r="F58" i="5"/>
  <c r="E58" i="5"/>
  <c r="D58" i="5"/>
  <c r="C58" i="5"/>
  <c r="B58" i="5"/>
  <c r="A58" i="5"/>
  <c r="F57" i="5"/>
  <c r="E57" i="5"/>
  <c r="D57" i="5"/>
  <c r="C57" i="5"/>
  <c r="B57" i="5"/>
  <c r="A57" i="5"/>
  <c r="F56" i="5"/>
  <c r="E56" i="5"/>
  <c r="D56" i="5"/>
  <c r="C56" i="5"/>
  <c r="B56" i="5"/>
  <c r="A56" i="5"/>
  <c r="F55" i="5"/>
  <c r="E55" i="5"/>
  <c r="D55" i="5"/>
  <c r="C55" i="5"/>
  <c r="B55" i="5"/>
  <c r="A55" i="5"/>
  <c r="F54" i="5"/>
  <c r="E54" i="5"/>
  <c r="D54" i="5"/>
  <c r="C54" i="5"/>
  <c r="B54" i="5"/>
  <c r="A54" i="5"/>
  <c r="F53" i="5"/>
  <c r="E53" i="5"/>
  <c r="D53" i="5"/>
  <c r="C53" i="5"/>
  <c r="B53" i="5"/>
  <c r="A53" i="5"/>
  <c r="F52" i="5"/>
  <c r="E52" i="5"/>
  <c r="D52" i="5"/>
  <c r="C52" i="5"/>
  <c r="B52" i="5"/>
  <c r="A52" i="5"/>
  <c r="H33" i="4" a="1"/>
  <c r="G33" i="4" a="1"/>
  <c r="E32" i="4" a="1"/>
  <c r="E31" i="4" a="1"/>
  <c r="E30" i="4" a="1"/>
  <c r="H35" i="4" a="1"/>
  <c r="H34" i="4" a="1"/>
  <c r="G34" i="4" a="1"/>
  <c r="F33" i="4" a="1"/>
  <c r="H32" i="4" a="1"/>
  <c r="G32" i="4" a="1"/>
  <c r="F32" i="4" a="1"/>
  <c r="H31" i="4" a="1"/>
  <c r="G31" i="4" a="1"/>
  <c r="F31" i="4" a="1"/>
  <c r="D31" i="4" a="1"/>
  <c r="H30" i="4" a="1"/>
  <c r="G30" i="4" a="1"/>
  <c r="F30" i="4" a="1"/>
  <c r="D30" i="4" a="1"/>
  <c r="C30" i="4" a="1"/>
  <c r="I24" i="4" a="1"/>
  <c r="H24" i="4" a="1"/>
  <c r="G24" i="4" a="1"/>
  <c r="F24" i="4" a="1"/>
  <c r="E24" i="4" a="1"/>
  <c r="D24" i="4" a="1"/>
  <c r="C24" i="4" a="1"/>
  <c r="B24" i="4"/>
  <c r="I23" i="4" a="1"/>
  <c r="H23" i="4" a="1"/>
  <c r="G23" i="4" a="1"/>
  <c r="F23" i="4" a="1"/>
  <c r="E23" i="4" a="1"/>
  <c r="D23" i="4" a="1"/>
  <c r="C23" i="4" a="1"/>
  <c r="B23" i="4"/>
  <c r="I22" i="4" a="1"/>
  <c r="H22" i="4" a="1"/>
  <c r="G22" i="4" a="1"/>
  <c r="F22" i="4" a="1"/>
  <c r="E22" i="4" a="1"/>
  <c r="D22" i="4" a="1"/>
  <c r="C22" i="4" a="1"/>
  <c r="B22" i="4"/>
  <c r="I21" i="4" a="1"/>
  <c r="H21" i="4" a="1"/>
  <c r="G21" i="4" a="1"/>
  <c r="F21" i="4" a="1"/>
  <c r="E21" i="4" a="1"/>
  <c r="D21" i="4" a="1"/>
  <c r="C21" i="4" a="1"/>
  <c r="B21" i="4"/>
  <c r="I20" i="4" a="1"/>
  <c r="H20" i="4" a="1"/>
  <c r="G20" i="4" a="1"/>
  <c r="F20" i="4" a="1"/>
  <c r="E20" i="4" a="1"/>
  <c r="D20" i="4" a="1"/>
  <c r="C20" i="4" a="1"/>
  <c r="B20" i="4"/>
  <c r="I19" i="4" a="1"/>
  <c r="H19" i="4" a="1"/>
  <c r="G19" i="4" a="1"/>
  <c r="F19" i="4" a="1"/>
  <c r="E19" i="4" a="1"/>
  <c r="D19" i="4" a="1"/>
  <c r="C19" i="4" a="1"/>
  <c r="B19" i="4"/>
  <c r="I18" i="4" a="1"/>
  <c r="H18" i="4" a="1"/>
  <c r="G18" i="4" a="1"/>
  <c r="F18" i="4" a="1"/>
  <c r="E18" i="4" a="1"/>
  <c r="D18" i="4" a="1"/>
  <c r="C18" i="4" a="1"/>
  <c r="B18" i="4"/>
  <c r="H12" i="4"/>
  <c r="G12" i="4"/>
  <c r="F12" i="4"/>
  <c r="E12" i="4"/>
  <c r="D12" i="4"/>
  <c r="C12" i="4" a="1"/>
  <c r="H11" i="4"/>
  <c r="G11" i="4"/>
  <c r="F11" i="4"/>
  <c r="E11" i="4"/>
  <c r="D11" i="4"/>
  <c r="C11" i="4" a="1"/>
  <c r="H10" i="4"/>
  <c r="G10" i="4"/>
  <c r="F10" i="4"/>
  <c r="E10" i="4"/>
  <c r="D10" i="4"/>
  <c r="C10" i="4" a="1"/>
  <c r="H9" i="4"/>
  <c r="G9" i="4"/>
  <c r="F9" i="4"/>
  <c r="E9" i="4"/>
  <c r="D9" i="4"/>
  <c r="C9" i="4" a="1"/>
  <c r="H8" i="4"/>
  <c r="G8" i="4"/>
  <c r="F8" i="4"/>
  <c r="E8" i="4"/>
  <c r="D8" i="4"/>
  <c r="C8" i="4" a="1"/>
  <c r="H7" i="4"/>
  <c r="G7" i="4"/>
  <c r="F7" i="4"/>
  <c r="E7" i="4"/>
  <c r="D7" i="4"/>
  <c r="C7" i="4" a="1"/>
  <c r="H6" i="4"/>
  <c r="G6" i="4"/>
  <c r="F6" i="4"/>
  <c r="E6" i="4"/>
  <c r="D6" i="4"/>
  <c r="C6" i="4" a="1"/>
  <c r="B12" i="4"/>
  <c r="B11" i="4"/>
  <c r="B10" i="4"/>
  <c r="B9" i="4"/>
  <c r="B8" i="4"/>
  <c r="B7" i="4"/>
  <c r="B6" i="4"/>
  <c r="I10" i="4" l="1"/>
  <c r="I6" i="4"/>
  <c r="K7" i="4"/>
  <c r="I12" i="4"/>
  <c r="I7" i="4"/>
  <c r="I11" i="4"/>
  <c r="I9" i="4"/>
  <c r="I8" i="4"/>
  <c r="K12" i="4"/>
  <c r="J12" i="4"/>
  <c r="J11" i="4"/>
  <c r="K6" i="4"/>
  <c r="K11" i="4"/>
  <c r="J10" i="4"/>
  <c r="K9" i="4"/>
  <c r="J9" i="4"/>
  <c r="K10" i="4"/>
  <c r="K8" i="4"/>
  <c r="J8" i="4"/>
  <c r="J7" i="4"/>
  <c r="J6" i="4"/>
  <c r="K62" i="5"/>
  <c r="K64" i="5"/>
  <c r="K65" i="5"/>
  <c r="J66" i="5"/>
  <c r="J67" i="5"/>
  <c r="J68" i="5"/>
  <c r="J70" i="5"/>
  <c r="K70" i="5"/>
  <c r="J72" i="5"/>
  <c r="J75" i="5"/>
  <c r="J78" i="5"/>
  <c r="K78" i="5"/>
  <c r="K79" i="5"/>
  <c r="J80" i="5"/>
  <c r="K80" i="5"/>
  <c r="J82" i="5"/>
  <c r="K82" i="5"/>
  <c r="J83" i="5"/>
  <c r="K88" i="5"/>
  <c r="K89" i="5"/>
  <c r="K90" i="5"/>
  <c r="J92" i="5"/>
  <c r="K93" i="5"/>
  <c r="K94" i="5"/>
  <c r="J96" i="5"/>
  <c r="J101" i="5"/>
  <c r="J102" i="5"/>
  <c r="K102" i="5"/>
  <c r="J107" i="5"/>
  <c r="J111" i="5"/>
  <c r="K115" i="5"/>
  <c r="J119" i="5"/>
  <c r="K124" i="5"/>
  <c r="K130" i="5"/>
  <c r="J148" i="5"/>
  <c r="K160" i="5"/>
  <c r="J170" i="5"/>
  <c r="K182" i="5"/>
  <c r="J183" i="5"/>
  <c r="J184" i="5"/>
  <c r="K193" i="5"/>
  <c r="K207" i="5"/>
  <c r="J208" i="5"/>
  <c r="J226" i="5"/>
  <c r="K226" i="5"/>
  <c r="K233" i="5"/>
  <c r="K240" i="5"/>
  <c r="J241" i="5"/>
  <c r="K270" i="5"/>
  <c r="K271" i="5"/>
  <c r="K272" i="5"/>
  <c r="K279" i="5"/>
  <c r="J103" i="5"/>
  <c r="K103" i="5"/>
  <c r="J105" i="5"/>
  <c r="K112" i="5"/>
  <c r="K123" i="5"/>
  <c r="J126" i="5"/>
  <c r="K129" i="5"/>
  <c r="J131" i="5"/>
  <c r="J132" i="5"/>
  <c r="K132" i="5"/>
  <c r="J133" i="5"/>
  <c r="K134" i="5"/>
  <c r="J135" i="5"/>
  <c r="J139" i="5"/>
  <c r="J140" i="5"/>
  <c r="J143" i="5"/>
  <c r="J144" i="5"/>
  <c r="K149" i="5"/>
  <c r="J150" i="5"/>
  <c r="J161" i="5"/>
  <c r="K161" i="5"/>
  <c r="K162" i="5"/>
  <c r="J171" i="5"/>
  <c r="K200" i="5"/>
  <c r="K201" i="5"/>
  <c r="J202" i="5"/>
  <c r="J209" i="5"/>
  <c r="J215" i="5"/>
  <c r="J233" i="5"/>
  <c r="J240" i="5"/>
  <c r="K247" i="5"/>
  <c r="J262" i="5"/>
  <c r="J270" i="5"/>
  <c r="J124" i="5"/>
  <c r="J127" i="5"/>
  <c r="J129" i="5"/>
  <c r="J158" i="5"/>
  <c r="J160" i="5"/>
  <c r="J178" i="5"/>
  <c r="K178" i="5"/>
  <c r="J179" i="5"/>
  <c r="K191" i="5"/>
  <c r="K198" i="5"/>
  <c r="K205" i="5"/>
  <c r="K212" i="5"/>
  <c r="K219" i="5"/>
  <c r="K231" i="5"/>
  <c r="K238" i="5"/>
  <c r="J239" i="5"/>
  <c r="K246" i="5"/>
  <c r="J261" i="5"/>
  <c r="K276" i="5"/>
  <c r="J277" i="5"/>
  <c r="J159" i="5"/>
  <c r="J191" i="5"/>
  <c r="J198" i="5"/>
  <c r="J205" i="5"/>
  <c r="J212" i="5"/>
  <c r="J219" i="5"/>
  <c r="K237" i="5"/>
  <c r="J238" i="5"/>
  <c r="K245" i="5"/>
  <c r="J253" i="5"/>
  <c r="J268" i="5"/>
  <c r="J276" i="5"/>
  <c r="J193" i="5"/>
  <c r="J200" i="5"/>
  <c r="K213" i="5"/>
  <c r="J214" i="5"/>
  <c r="K228" i="5"/>
  <c r="K234" i="5"/>
  <c r="J236" i="5"/>
  <c r="K242" i="5"/>
  <c r="J243" i="5"/>
  <c r="K249" i="5"/>
  <c r="J250" i="5"/>
  <c r="K264" i="5"/>
  <c r="J272" i="5"/>
  <c r="J280" i="5"/>
  <c r="J232" i="5"/>
  <c r="J246" i="5"/>
  <c r="K253" i="5"/>
  <c r="K260" i="5"/>
  <c r="K268" i="5"/>
  <c r="J269" i="5"/>
  <c r="J263" i="5"/>
  <c r="K101" i="5"/>
  <c r="K111" i="5"/>
  <c r="J112" i="5"/>
  <c r="J114" i="5"/>
  <c r="K117" i="5"/>
  <c r="J125" i="5"/>
  <c r="J128" i="5"/>
  <c r="K133" i="5"/>
  <c r="J134" i="5"/>
  <c r="J153" i="5"/>
  <c r="J169" i="5"/>
  <c r="K192" i="5"/>
  <c r="K199" i="5"/>
  <c r="K206" i="5"/>
  <c r="J207" i="5"/>
  <c r="J220" i="5"/>
  <c r="K225" i="5"/>
  <c r="K232" i="5"/>
  <c r="K239" i="5"/>
  <c r="J247" i="5"/>
  <c r="K261" i="5"/>
  <c r="K269" i="5"/>
  <c r="K277" i="5"/>
  <c r="J278" i="5"/>
  <c r="K106" i="5"/>
  <c r="K109" i="5"/>
  <c r="J110" i="5"/>
  <c r="K113" i="5"/>
  <c r="K114" i="5"/>
  <c r="J117" i="5"/>
  <c r="J123" i="5"/>
  <c r="J157" i="5"/>
  <c r="K171" i="5"/>
  <c r="J172" i="5"/>
  <c r="K172" i="5"/>
  <c r="J173" i="5"/>
  <c r="J180" i="5"/>
  <c r="J181" i="5"/>
  <c r="J182" i="5"/>
  <c r="J194" i="5"/>
  <c r="K194" i="5"/>
  <c r="J201" i="5"/>
  <c r="K214" i="5"/>
  <c r="K215" i="5"/>
  <c r="J216" i="5"/>
  <c r="J227" i="5"/>
  <c r="J234" i="5"/>
  <c r="J248" i="5"/>
  <c r="K248" i="5"/>
  <c r="K262" i="5"/>
  <c r="K278" i="5"/>
  <c r="J279" i="5"/>
  <c r="K55" i="5"/>
  <c r="J57" i="5"/>
  <c r="K58" i="5"/>
  <c r="K59" i="5"/>
  <c r="K61" i="5"/>
  <c r="K63" i="5"/>
  <c r="K66" i="5"/>
  <c r="K68" i="5"/>
  <c r="K69" i="5"/>
  <c r="J71" i="5"/>
  <c r="K72" i="5"/>
  <c r="J74" i="5"/>
  <c r="K75" i="5"/>
  <c r="J79" i="5"/>
  <c r="K81" i="5"/>
  <c r="K84" i="5"/>
  <c r="K85" i="5"/>
  <c r="J86" i="5"/>
  <c r="K86" i="5"/>
  <c r="J87" i="5"/>
  <c r="J88" i="5"/>
  <c r="J89" i="5"/>
  <c r="J91" i="5"/>
  <c r="K135" i="5"/>
  <c r="J136" i="5"/>
  <c r="J145" i="5"/>
  <c r="K145" i="5"/>
  <c r="J147" i="5"/>
  <c r="J167" i="5"/>
  <c r="J177" i="5"/>
  <c r="K190" i="5"/>
  <c r="K229" i="5"/>
  <c r="J230" i="5"/>
  <c r="J237" i="5"/>
  <c r="K244" i="5"/>
  <c r="J245" i="5"/>
  <c r="K252" i="5"/>
  <c r="K267" i="5"/>
  <c r="K275" i="5"/>
  <c r="J104" i="5"/>
  <c r="K136" i="5"/>
  <c r="K137" i="5"/>
  <c r="J154" i="5"/>
  <c r="K154" i="5"/>
  <c r="J155" i="5"/>
  <c r="J165" i="5"/>
  <c r="J166" i="5"/>
  <c r="J176" i="5"/>
  <c r="K186" i="5"/>
  <c r="J190" i="5"/>
  <c r="J197" i="5"/>
  <c r="K197" i="5"/>
  <c r="J204" i="5"/>
  <c r="K204" i="5"/>
  <c r="J211" i="5"/>
  <c r="K211" i="5"/>
  <c r="K217" i="5"/>
  <c r="J218" i="5"/>
  <c r="K236" i="5"/>
  <c r="J244" i="5"/>
  <c r="K251" i="5"/>
  <c r="K266" i="5"/>
  <c r="K274" i="5"/>
  <c r="K282" i="5"/>
  <c r="J115" i="5"/>
  <c r="J146" i="5"/>
  <c r="K146" i="5"/>
  <c r="K150" i="5"/>
  <c r="J151" i="5"/>
  <c r="J152" i="5"/>
  <c r="J168" i="5"/>
  <c r="K180" i="5"/>
  <c r="J192" i="5"/>
  <c r="J199" i="5"/>
  <c r="J206" i="5"/>
  <c r="J213" i="5"/>
  <c r="K243" i="5"/>
  <c r="J251" i="5"/>
  <c r="J266" i="5"/>
  <c r="J274" i="5"/>
  <c r="J100" i="5"/>
  <c r="K105" i="5"/>
  <c r="K107" i="5"/>
  <c r="J116" i="5"/>
  <c r="K116" i="5"/>
  <c r="K118" i="5"/>
  <c r="K125" i="5"/>
  <c r="K128" i="5"/>
  <c r="J130" i="5"/>
  <c r="K131" i="5"/>
  <c r="K158" i="5"/>
  <c r="K184" i="5"/>
  <c r="J195" i="5"/>
  <c r="K208" i="5"/>
  <c r="K216" i="5"/>
  <c r="J229" i="5"/>
  <c r="J235" i="5"/>
  <c r="K250" i="5"/>
  <c r="J265" i="5"/>
  <c r="K265" i="5"/>
  <c r="K273" i="5"/>
  <c r="K281" i="5"/>
  <c r="J282" i="5"/>
  <c r="K110" i="5"/>
  <c r="J137" i="5"/>
  <c r="J138" i="5"/>
  <c r="J141" i="5"/>
  <c r="J156" i="5"/>
  <c r="K185" i="5"/>
  <c r="K202" i="5"/>
  <c r="K209" i="5"/>
  <c r="J210" i="5"/>
  <c r="K218" i="5"/>
  <c r="K230" i="5"/>
  <c r="J231" i="5"/>
  <c r="J252" i="5"/>
  <c r="J267" i="5"/>
  <c r="J275" i="5"/>
  <c r="J53" i="5"/>
  <c r="J60" i="5"/>
  <c r="K60" i="5"/>
  <c r="J62" i="5"/>
  <c r="J65" i="5"/>
  <c r="K67" i="5"/>
  <c r="K76" i="5"/>
  <c r="J77" i="5"/>
  <c r="K77" i="5"/>
  <c r="J84" i="5"/>
  <c r="J85" i="5"/>
  <c r="J90" i="5"/>
  <c r="J93" i="5"/>
  <c r="J94" i="5"/>
  <c r="K97" i="5"/>
  <c r="J98" i="5"/>
  <c r="J99" i="5"/>
  <c r="K100" i="5"/>
  <c r="K104" i="5"/>
  <c r="J108" i="5"/>
  <c r="K108" i="5"/>
  <c r="J109" i="5"/>
  <c r="J113" i="5"/>
  <c r="J118" i="5"/>
  <c r="K127" i="5"/>
  <c r="K151" i="5"/>
  <c r="J163" i="5"/>
  <c r="K163" i="5"/>
  <c r="J164" i="5"/>
  <c r="J174" i="5"/>
  <c r="J175" i="5"/>
  <c r="J186" i="5"/>
  <c r="K196" i="5"/>
  <c r="K203" i="5"/>
  <c r="K210" i="5"/>
  <c r="J217" i="5"/>
  <c r="K241" i="5"/>
  <c r="J242" i="5"/>
  <c r="J264" i="5"/>
  <c r="J273" i="5"/>
  <c r="J56" i="5"/>
  <c r="K57" i="5"/>
  <c r="J58" i="5"/>
  <c r="J59" i="5"/>
  <c r="J61" i="5"/>
  <c r="J63" i="5"/>
  <c r="J64" i="5"/>
  <c r="J69" i="5"/>
  <c r="K71" i="5"/>
  <c r="J73" i="5"/>
  <c r="K73" i="5"/>
  <c r="K74" i="5"/>
  <c r="J76" i="5"/>
  <c r="J81" i="5"/>
  <c r="K83" i="5"/>
  <c r="K87" i="5"/>
  <c r="K91" i="5"/>
  <c r="K92" i="5"/>
  <c r="J95" i="5"/>
  <c r="K95" i="5"/>
  <c r="K96" i="5"/>
  <c r="J97" i="5"/>
  <c r="K98" i="5"/>
  <c r="K99" i="5"/>
  <c r="J106" i="5"/>
  <c r="K119" i="5"/>
  <c r="K126" i="5"/>
  <c r="J142" i="5"/>
  <c r="J149" i="5"/>
  <c r="J162" i="5"/>
  <c r="J185" i="5"/>
  <c r="K195" i="5"/>
  <c r="J196" i="5"/>
  <c r="J203" i="5"/>
  <c r="K227" i="5"/>
  <c r="J228" i="5"/>
  <c r="K235" i="5"/>
  <c r="J249" i="5"/>
  <c r="K263" i="5"/>
  <c r="J271" i="5"/>
  <c r="K280" i="5"/>
  <c r="J281" i="5"/>
  <c r="K52" i="5"/>
  <c r="J52" i="5"/>
  <c r="H33" i="4"/>
  <c r="G33" i="4"/>
  <c r="E32" i="4"/>
  <c r="E31" i="4"/>
  <c r="E30" i="4"/>
  <c r="H35" i="4"/>
  <c r="H34" i="4"/>
  <c r="G34" i="4"/>
  <c r="F33" i="4"/>
  <c r="H32" i="4"/>
  <c r="G32" i="4"/>
  <c r="F32" i="4"/>
  <c r="H31" i="4"/>
  <c r="G31" i="4"/>
  <c r="F31" i="4"/>
  <c r="D31" i="4"/>
  <c r="H30" i="4"/>
  <c r="G30" i="4"/>
  <c r="F30" i="4"/>
  <c r="D30" i="4"/>
  <c r="C30" i="4"/>
  <c r="I24" i="4"/>
  <c r="H24" i="4"/>
  <c r="G24" i="4"/>
  <c r="F24" i="4"/>
  <c r="E24" i="4"/>
  <c r="D24" i="4"/>
  <c r="C24" i="4"/>
  <c r="I23" i="4"/>
  <c r="H23" i="4"/>
  <c r="G23" i="4"/>
  <c r="F23" i="4"/>
  <c r="E23" i="4"/>
  <c r="D23" i="4"/>
  <c r="C23" i="4"/>
  <c r="I22" i="4"/>
  <c r="H22" i="4"/>
  <c r="G22" i="4"/>
  <c r="F22" i="4"/>
  <c r="E22" i="4"/>
  <c r="D22" i="4"/>
  <c r="C22" i="4"/>
  <c r="I21" i="4"/>
  <c r="H21" i="4"/>
  <c r="G21" i="4"/>
  <c r="F21" i="4"/>
  <c r="E21" i="4"/>
  <c r="D21" i="4"/>
  <c r="C21" i="4"/>
  <c r="I20" i="4"/>
  <c r="H20" i="4"/>
  <c r="G20" i="4"/>
  <c r="F20" i="4"/>
  <c r="E20" i="4"/>
  <c r="D20" i="4"/>
  <c r="C20" i="4"/>
  <c r="I19" i="4"/>
  <c r="H19" i="4"/>
  <c r="G19" i="4"/>
  <c r="F19" i="4"/>
  <c r="E19" i="4"/>
  <c r="D19" i="4"/>
  <c r="C19" i="4"/>
  <c r="I18" i="4"/>
  <c r="H18" i="4"/>
  <c r="G18" i="4"/>
  <c r="F18" i="4"/>
  <c r="E18" i="4"/>
  <c r="D18" i="4"/>
  <c r="C18" i="4"/>
  <c r="C12" i="4"/>
  <c r="C11" i="4"/>
  <c r="C10" i="4"/>
  <c r="C9" i="4"/>
  <c r="C8" i="4"/>
  <c r="C7" i="4"/>
  <c r="C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 shapeId="0" xr:uid="{00000000-0006-0000-0000-000002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13" authorId="0" shapeId="0" xr:uid="{00000000-0006-0000-0000-000003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14" authorId="0" shapeId="0" xr:uid="{00000000-0006-0000-0000-000004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15" authorId="0" shapeId="0" xr:uid="{00000000-0006-0000-0000-000005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16" authorId="0" shapeId="0" xr:uid="{00000000-0006-0000-0000-000006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17" authorId="0" shapeId="0" xr:uid="{00000000-0006-0000-0000-000007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18" authorId="0" shapeId="0" xr:uid="{00000000-0006-0000-0000-000008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19" authorId="0" shapeId="0" xr:uid="{00000000-0006-0000-0000-000009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20" authorId="0" shapeId="0" xr:uid="{00000000-0006-0000-0000-00000A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21" authorId="0" shapeId="0" xr:uid="{00000000-0006-0000-0000-00000B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22" authorId="0" shapeId="0" xr:uid="{00000000-0006-0000-0000-00000C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23" authorId="0" shapeId="0" xr:uid="{00000000-0006-0000-0000-00000D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24" authorId="0" shapeId="0" xr:uid="{00000000-0006-0000-0000-00000E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25" authorId="0" shapeId="0" xr:uid="{00000000-0006-0000-0000-00000F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26" authorId="0" shapeId="0" xr:uid="{00000000-0006-0000-0000-000010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27" authorId="0" shapeId="0" xr:uid="{00000000-0006-0000-0000-000011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28" authorId="0" shapeId="0" xr:uid="{00000000-0006-0000-0000-000012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29" authorId="0" shapeId="0" xr:uid="{00000000-0006-0000-0000-000013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30" authorId="0" shapeId="0" xr:uid="{00000000-0006-0000-0000-000014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31" authorId="0" shapeId="0" xr:uid="{00000000-0006-0000-0000-000015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32" authorId="0" shapeId="0" xr:uid="{00000000-0006-0000-0000-000016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33" authorId="0" shapeId="0" xr:uid="{00000000-0006-0000-0000-000017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34" authorId="0" shapeId="0" xr:uid="{00000000-0006-0000-0000-000018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35" authorId="0" shapeId="0" xr:uid="{00000000-0006-0000-0000-000019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36" authorId="0" shapeId="0" xr:uid="{00000000-0006-0000-0000-00001A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37" authorId="0" shapeId="0" xr:uid="{00000000-0006-0000-0000-00001B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38" authorId="0" shapeId="0" xr:uid="{00000000-0006-0000-0000-00001C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39" authorId="0" shapeId="0" xr:uid="{00000000-0006-0000-0000-00001D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40" authorId="0" shapeId="0" xr:uid="{00000000-0006-0000-0000-00001E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41" authorId="0" shapeId="0" xr:uid="{00000000-0006-0000-0000-00001F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42" authorId="0" shapeId="0" xr:uid="{00000000-0006-0000-0000-000020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43" authorId="0" shapeId="0" xr:uid="{00000000-0006-0000-0000-000021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44" authorId="0" shapeId="0" xr:uid="{00000000-0006-0000-0000-000022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45" authorId="0" shapeId="0" xr:uid="{00000000-0006-0000-0000-000023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46" authorId="0" shapeId="0" xr:uid="{00000000-0006-0000-0000-000024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47" authorId="0" shapeId="0" xr:uid="{00000000-0006-0000-0000-000025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48" authorId="0" shapeId="0" xr:uid="{00000000-0006-0000-0000-000026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49" authorId="0" shapeId="0" xr:uid="{00000000-0006-0000-0000-000027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50" authorId="0" shapeId="0" xr:uid="{00000000-0006-0000-0000-000028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51" authorId="0" shapeId="0" xr:uid="{00000000-0006-0000-0000-000029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52" authorId="0" shapeId="0" xr:uid="{00000000-0006-0000-0000-00002A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53" authorId="0" shapeId="0" xr:uid="{00000000-0006-0000-0000-00002B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54" authorId="0" shapeId="0" xr:uid="{00000000-0006-0000-0000-00002C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55" authorId="0" shapeId="0" xr:uid="{00000000-0006-0000-0000-00002D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56" authorId="0" shapeId="0" xr:uid="{00000000-0006-0000-0000-00002E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57" authorId="0" shapeId="0" xr:uid="{00000000-0006-0000-0000-00002F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58" authorId="0" shapeId="0" xr:uid="{00000000-0006-0000-0000-000030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59" authorId="0" shapeId="0" xr:uid="{00000000-0006-0000-0000-000031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60" authorId="0" shapeId="0" xr:uid="{00000000-0006-0000-0000-000032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61" authorId="0" shapeId="0" xr:uid="{00000000-0006-0000-0000-000033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62" authorId="0" shapeId="0" xr:uid="{00000000-0006-0000-0000-000034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63" authorId="0" shapeId="0" xr:uid="{00000000-0006-0000-0000-000035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64" authorId="0" shapeId="0" xr:uid="{00000000-0006-0000-0000-000036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65" authorId="0" shapeId="0" xr:uid="{00000000-0006-0000-0000-000037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66" authorId="0" shapeId="0" xr:uid="{00000000-0006-0000-0000-000038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67" authorId="0" shapeId="0" xr:uid="{00000000-0006-0000-0000-000039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68" authorId="0" shapeId="0" xr:uid="{00000000-0006-0000-0000-00003A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69" authorId="0" shapeId="0" xr:uid="{00000000-0006-0000-0000-00003B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70" authorId="0" shapeId="0" xr:uid="{00000000-0006-0000-0000-00003C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71" authorId="0" shapeId="0" xr:uid="{00000000-0006-0000-0000-00003D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72" authorId="0" shapeId="0" xr:uid="{00000000-0006-0000-0000-00003E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73" authorId="0" shapeId="0" xr:uid="{00000000-0006-0000-0000-00003F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D1" authorId="0" shapeId="0" xr:uid="{00000000-0006-0000-0100-000003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F1" authorId="0" shapeId="0" xr:uid="{00000000-0006-0000-0100-000005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K1" authorId="0" shapeId="0" xr:uid="{00000000-0006-0000-0100-00000A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L1" authorId="0" shapeId="0" xr:uid="{00000000-0006-0000-0100-00000B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M1" authorId="0" shapeId="0" xr:uid="{00000000-0006-0000-0100-00000C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N1" authorId="0" shapeId="0" xr:uid="{00000000-0006-0000-0100-00000D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O1" authorId="0" shapeId="0" xr:uid="{00000000-0006-0000-0100-00000E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P1" authorId="0" shapeId="0" xr:uid="{00000000-0006-0000-0100-00000F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Q1" authorId="0" shapeId="0" xr:uid="{00000000-0006-0000-0100-000010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R1" authorId="0" shapeId="0" xr:uid="{00000000-0006-0000-0100-000011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S1" authorId="0" shapeId="0" xr:uid="{00000000-0006-0000-0100-000012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T1" authorId="0" shapeId="0" xr:uid="{00000000-0006-0000-0100-000013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U1" authorId="0" shapeId="0" xr:uid="{00000000-0006-0000-0100-000014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V1" authorId="0" shapeId="0" xr:uid="{00000000-0006-0000-0100-000015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W1" authorId="0" shapeId="0" xr:uid="{00000000-0006-0000-0100-000016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X1" authorId="0" shapeId="0" xr:uid="{00000000-0006-0000-0100-000017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Y1" authorId="0" shapeId="0" xr:uid="{00000000-0006-0000-0100-000018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Z1" authorId="0" shapeId="0" xr:uid="{00000000-0006-0000-0100-000019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A1" authorId="0" shapeId="0" xr:uid="{00000000-0006-0000-0100-00001A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B1" authorId="0" shapeId="0" xr:uid="{00000000-0006-0000-0100-00001B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C1" authorId="0" shapeId="0" xr:uid="{00000000-0006-0000-0100-00001C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D1" authorId="0" shapeId="0" xr:uid="{00000000-0006-0000-0100-00001D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E1" authorId="0" shapeId="0" xr:uid="{00000000-0006-0000-0100-00001E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F1" authorId="0" shapeId="0" xr:uid="{00000000-0006-0000-0100-00001F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G1" authorId="0" shapeId="0" xr:uid="{00000000-0006-0000-0100-000020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H1" authorId="0" shapeId="0" xr:uid="{00000000-0006-0000-0100-000021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I1" authorId="0" shapeId="0" xr:uid="{00000000-0006-0000-0100-000022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J1" authorId="0" shapeId="0" xr:uid="{00000000-0006-0000-0100-000023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K1" authorId="0" shapeId="0" xr:uid="{00000000-0006-0000-0100-000024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L1" authorId="0" shapeId="0" xr:uid="{00000000-0006-0000-0100-000025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M1" authorId="0" shapeId="0" xr:uid="{00000000-0006-0000-0100-000026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N1" authorId="0" shapeId="0" xr:uid="{00000000-0006-0000-0100-000027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O1" authorId="0" shapeId="0" xr:uid="{00000000-0006-0000-0100-000028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P1" authorId="0" shapeId="0" xr:uid="{00000000-0006-0000-0100-000029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Q1" authorId="0" shapeId="0" xr:uid="{00000000-0006-0000-0100-00002A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R1" authorId="0" shapeId="0" xr:uid="{00000000-0006-0000-0100-00002B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S1" authorId="0" shapeId="0" xr:uid="{00000000-0006-0000-0100-00002C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T1" authorId="0" shapeId="0" xr:uid="{00000000-0006-0000-0100-00002D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U1" authorId="0" shapeId="0" xr:uid="{00000000-0006-0000-0100-00002E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V1" authorId="0" shapeId="0" xr:uid="{00000000-0006-0000-0100-00002F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W1" authorId="0" shapeId="0" xr:uid="{00000000-0006-0000-0100-000030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X1" authorId="0" shapeId="0" xr:uid="{00000000-0006-0000-0100-000031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Y1" authorId="0" shapeId="0" xr:uid="{00000000-0006-0000-0100-000032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Z1" authorId="0" shapeId="0" xr:uid="{00000000-0006-0000-0100-000033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BA1" authorId="0" shapeId="0" xr:uid="{00000000-0006-0000-0100-000034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BB1" authorId="0" shapeId="0" xr:uid="{00000000-0006-0000-0100-000035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BC1" authorId="0" shapeId="0" xr:uid="{00000000-0006-0000-0100-000036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BD1" authorId="0" shapeId="0" xr:uid="{00000000-0006-0000-0100-000037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BE1" authorId="0" shapeId="0" xr:uid="{00000000-0006-0000-0100-000038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BF1" authorId="0" shapeId="0" xr:uid="{00000000-0006-0000-0100-000039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BG1" authorId="0" shapeId="0" xr:uid="{00000000-0006-0000-0100-00003A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BH1" authorId="0" shapeId="0" xr:uid="{00000000-0006-0000-0100-00003B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BI1" authorId="0" shapeId="0" xr:uid="{00000000-0006-0000-0100-00003C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BJ1" authorId="0" shapeId="0" xr:uid="{00000000-0006-0000-0100-00003D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BK1" authorId="0" shapeId="0" xr:uid="{00000000-0006-0000-0100-00003E000000}">
      <text>
        <r>
          <rPr>
            <sz val="8"/>
            <color indexed="81"/>
            <rFont val="Tahoma"/>
            <family val="2"/>
          </rPr>
          <t>Index reference period: 2011-12 = 100.0.</t>
        </r>
      </text>
    </comment>
    <comment ref="A6" authorId="0" shapeId="0" xr:uid="{00000000-0006-0000-0100-00003F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F128" authorId="0" shapeId="0" xr:uid="{00000000-0006-0000-0100-000046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G128" authorId="0" shapeId="0" xr:uid="{00000000-0006-0000-0100-000047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H128" authorId="0" shapeId="0" xr:uid="{00000000-0006-0000-0100-000048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I128" authorId="0" shapeId="0" xr:uid="{00000000-0006-0000-0100-000049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J128" authorId="0" shapeId="0" xr:uid="{00000000-0006-0000-0100-00004A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K128" authorId="0" shapeId="0" xr:uid="{00000000-0006-0000-0100-00004B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I129" authorId="0" shapeId="0" xr:uid="{00000000-0006-0000-0100-00004D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J129" authorId="0" shapeId="0" xr:uid="{00000000-0006-0000-0100-00004E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K129" authorId="0" shapeId="0" xr:uid="{00000000-0006-0000-0100-00004F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I130" authorId="0" shapeId="0" xr:uid="{00000000-0006-0000-0100-000051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J130" authorId="0" shapeId="0" xr:uid="{00000000-0006-0000-0100-000052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K130" authorId="0" shapeId="0" xr:uid="{00000000-0006-0000-0100-000053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I131" authorId="0" shapeId="0" xr:uid="{00000000-0006-0000-0100-000055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J131" authorId="0" shapeId="0" xr:uid="{00000000-0006-0000-0100-000056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K131" authorId="0" shapeId="0" xr:uid="{00000000-0006-0000-0100-000057000000}">
      <text>
        <r>
          <rPr>
            <sz val="8"/>
            <color indexed="81"/>
            <rFont val="Tahoma"/>
            <family val="2"/>
          </rPr>
          <t>not currently available due to break in time series</t>
        </r>
      </text>
    </comment>
    <comment ref="AD216" authorId="0" shapeId="0" xr:uid="{00000000-0006-0000-0100-00003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16" authorId="0" shapeId="0" xr:uid="{00000000-0006-0000-0100-00004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16" authorId="0" shapeId="0" xr:uid="{00000000-0006-0000-0100-00004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17" authorId="0" shapeId="0" xr:uid="{00000000-0006-0000-0100-00004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17" authorId="0" shapeId="0" xr:uid="{00000000-0006-0000-0100-00004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17" authorId="0" shapeId="0" xr:uid="{00000000-0006-0000-0100-00004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18" authorId="0" shapeId="0" xr:uid="{00000000-0006-0000-0100-00004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18" authorId="0" shapeId="0" xr:uid="{00000000-0006-0000-0100-00004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18" authorId="0" shapeId="0" xr:uid="{00000000-0006-0000-0100-00004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19" authorId="0" shapeId="0" xr:uid="{00000000-0006-0000-0100-00004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19" authorId="0" shapeId="0" xr:uid="{00000000-0006-0000-0100-00004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19" authorId="0" shapeId="0" xr:uid="{00000000-0006-0000-0100-00004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20" authorId="0" shapeId="0" xr:uid="{00000000-0006-0000-0100-00004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20" authorId="0" shapeId="0" xr:uid="{00000000-0006-0000-0100-00004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20" authorId="0" shapeId="0" xr:uid="{00000000-0006-0000-0100-00004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21" authorId="0" shapeId="0" xr:uid="{00000000-0006-0000-0100-00004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21" authorId="0" shapeId="0" xr:uid="{00000000-0006-0000-0100-00004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21" authorId="0" shapeId="0" xr:uid="{00000000-0006-0000-0100-00005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22" authorId="0" shapeId="0" xr:uid="{00000000-0006-0000-0100-00005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22" authorId="0" shapeId="0" xr:uid="{00000000-0006-0000-0100-00005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22" authorId="0" shapeId="0" xr:uid="{00000000-0006-0000-0100-00005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23" authorId="0" shapeId="0" xr:uid="{00000000-0006-0000-0100-00005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23" authorId="0" shapeId="0" xr:uid="{00000000-0006-0000-0100-00005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23" authorId="0" shapeId="0" xr:uid="{00000000-0006-0000-0100-00005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24" authorId="0" shapeId="0" xr:uid="{00000000-0006-0000-0100-00005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24" authorId="0" shapeId="0" xr:uid="{00000000-0006-0000-0100-00005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24" authorId="0" shapeId="0" xr:uid="{00000000-0006-0000-0100-00005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25" authorId="0" shapeId="0" xr:uid="{00000000-0006-0000-0100-00005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25" authorId="0" shapeId="0" xr:uid="{00000000-0006-0000-0100-00005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25" authorId="0" shapeId="0" xr:uid="{00000000-0006-0000-0100-00005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26" authorId="0" shapeId="0" xr:uid="{00000000-0006-0000-0100-00005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26" authorId="0" shapeId="0" xr:uid="{00000000-0006-0000-0100-00005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26" authorId="0" shapeId="0" xr:uid="{00000000-0006-0000-0100-00005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27" authorId="0" shapeId="0" xr:uid="{00000000-0006-0000-0100-00006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27" authorId="0" shapeId="0" xr:uid="{00000000-0006-0000-0100-00006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27" authorId="0" shapeId="0" xr:uid="{00000000-0006-0000-0100-00006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28" authorId="0" shapeId="0" xr:uid="{00000000-0006-0000-0100-00006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28" authorId="0" shapeId="0" xr:uid="{00000000-0006-0000-0100-00006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28" authorId="0" shapeId="0" xr:uid="{00000000-0006-0000-0100-00006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29" authorId="0" shapeId="0" xr:uid="{00000000-0006-0000-0100-000066010000}">
      <text>
        <r>
          <rPr>
            <sz val="8"/>
            <color indexed="81"/>
            <rFont val="Tahoma"/>
            <family val="2"/>
          </rPr>
          <t>revised</t>
        </r>
      </text>
    </comment>
    <comment ref="D229" authorId="0" shapeId="0" xr:uid="{00000000-0006-0000-0100-000067010000}">
      <text>
        <r>
          <rPr>
            <sz val="8"/>
            <color indexed="81"/>
            <rFont val="Tahoma"/>
            <family val="2"/>
          </rPr>
          <t>revised</t>
        </r>
      </text>
    </comment>
    <comment ref="E229" authorId="0" shapeId="0" xr:uid="{00000000-0006-0000-0100-000068010000}">
      <text>
        <r>
          <rPr>
            <sz val="8"/>
            <color indexed="81"/>
            <rFont val="Tahoma"/>
            <family val="2"/>
          </rPr>
          <t>revised</t>
        </r>
      </text>
    </comment>
    <comment ref="F229" authorId="0" shapeId="0" xr:uid="{00000000-0006-0000-0100-000069010000}">
      <text>
        <r>
          <rPr>
            <sz val="8"/>
            <color indexed="81"/>
            <rFont val="Tahoma"/>
            <family val="2"/>
          </rPr>
          <t>revised</t>
        </r>
      </text>
    </comment>
    <comment ref="H229" authorId="0" shapeId="0" xr:uid="{00000000-0006-0000-0100-00006A010000}">
      <text>
        <r>
          <rPr>
            <sz val="8"/>
            <color indexed="81"/>
            <rFont val="Tahoma"/>
            <family val="2"/>
          </rPr>
          <t>revised</t>
        </r>
      </text>
    </comment>
    <comment ref="I229" authorId="0" shapeId="0" xr:uid="{00000000-0006-0000-0100-00006B010000}">
      <text>
        <r>
          <rPr>
            <sz val="8"/>
            <color indexed="81"/>
            <rFont val="Tahoma"/>
            <family val="2"/>
          </rPr>
          <t>revised</t>
        </r>
      </text>
    </comment>
    <comment ref="K229" authorId="0" shapeId="0" xr:uid="{00000000-0006-0000-0100-00006C010000}">
      <text>
        <r>
          <rPr>
            <sz val="8"/>
            <color indexed="81"/>
            <rFont val="Tahoma"/>
            <family val="2"/>
          </rPr>
          <t>revised</t>
        </r>
      </text>
    </comment>
    <comment ref="O229" authorId="0" shapeId="0" xr:uid="{00000000-0006-0000-0100-00006D010000}">
      <text>
        <r>
          <rPr>
            <sz val="8"/>
            <color indexed="81"/>
            <rFont val="Tahoma"/>
            <family val="2"/>
          </rPr>
          <t>revised</t>
        </r>
      </text>
    </comment>
    <comment ref="P229" authorId="0" shapeId="0" xr:uid="{00000000-0006-0000-0100-00006E010000}">
      <text>
        <r>
          <rPr>
            <sz val="8"/>
            <color indexed="81"/>
            <rFont val="Tahoma"/>
            <family val="2"/>
          </rPr>
          <t>revised</t>
        </r>
      </text>
    </comment>
    <comment ref="T229" authorId="0" shapeId="0" xr:uid="{00000000-0006-0000-0100-00006F010000}">
      <text>
        <r>
          <rPr>
            <sz val="8"/>
            <color indexed="81"/>
            <rFont val="Tahoma"/>
            <family val="2"/>
          </rPr>
          <t>revised</t>
        </r>
      </text>
    </comment>
    <comment ref="V229" authorId="0" shapeId="0" xr:uid="{00000000-0006-0000-0100-000070010000}">
      <text>
        <r>
          <rPr>
            <sz val="8"/>
            <color indexed="81"/>
            <rFont val="Tahoma"/>
            <family val="2"/>
          </rPr>
          <t>revised</t>
        </r>
      </text>
    </comment>
    <comment ref="AD229" authorId="0" shapeId="0" xr:uid="{00000000-0006-0000-0100-00007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29" authorId="0" shapeId="0" xr:uid="{00000000-0006-0000-0100-00007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29" authorId="0" shapeId="0" xr:uid="{00000000-0006-0000-0100-00007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229" authorId="0" shapeId="0" xr:uid="{00000000-0006-0000-0100-000074010000}">
      <text>
        <r>
          <rPr>
            <sz val="8"/>
            <color indexed="81"/>
            <rFont val="Tahoma"/>
            <family val="2"/>
          </rPr>
          <t>revised</t>
        </r>
      </text>
    </comment>
    <comment ref="BK229" authorId="0" shapeId="0" xr:uid="{00000000-0006-0000-0100-000075010000}">
      <text>
        <r>
          <rPr>
            <sz val="8"/>
            <color indexed="81"/>
            <rFont val="Tahoma"/>
            <family val="2"/>
          </rPr>
          <t>revised</t>
        </r>
      </text>
    </comment>
    <comment ref="AD230" authorId="0" shapeId="0" xr:uid="{00000000-0006-0000-0100-00007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30" authorId="0" shapeId="0" xr:uid="{00000000-0006-0000-0100-00007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30" authorId="0" shapeId="0" xr:uid="{00000000-0006-0000-0100-00007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31" authorId="0" shapeId="0" xr:uid="{00000000-0006-0000-0100-00007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31" authorId="0" shapeId="0" xr:uid="{00000000-0006-0000-0100-00007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31" authorId="0" shapeId="0" xr:uid="{00000000-0006-0000-0100-00007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32" authorId="0" shapeId="0" xr:uid="{00000000-0006-0000-0100-00007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32" authorId="0" shapeId="0" xr:uid="{00000000-0006-0000-0100-00007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32" authorId="0" shapeId="0" xr:uid="{00000000-0006-0000-0100-00007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33" authorId="0" shapeId="0" xr:uid="{00000000-0006-0000-0100-00007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33" authorId="0" shapeId="0" xr:uid="{00000000-0006-0000-0100-00008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33" authorId="0" shapeId="0" xr:uid="{00000000-0006-0000-0100-00008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34" authorId="0" shapeId="0" xr:uid="{00000000-0006-0000-0100-00008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34" authorId="0" shapeId="0" xr:uid="{00000000-0006-0000-0100-00008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34" authorId="0" shapeId="0" xr:uid="{00000000-0006-0000-0100-00008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35" authorId="0" shapeId="0" xr:uid="{00000000-0006-0000-0100-00008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35" authorId="0" shapeId="0" xr:uid="{00000000-0006-0000-0100-00008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35" authorId="0" shapeId="0" xr:uid="{00000000-0006-0000-0100-00008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36" authorId="0" shapeId="0" xr:uid="{00000000-0006-0000-0100-00008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36" authorId="0" shapeId="0" xr:uid="{00000000-0006-0000-0100-00008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36" authorId="0" shapeId="0" xr:uid="{00000000-0006-0000-0100-00008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37" authorId="0" shapeId="0" xr:uid="{00000000-0006-0000-0100-00008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37" authorId="0" shapeId="0" xr:uid="{00000000-0006-0000-0100-00008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37" authorId="0" shapeId="0" xr:uid="{00000000-0006-0000-0100-00008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38" authorId="0" shapeId="0" xr:uid="{00000000-0006-0000-0100-00008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38" authorId="0" shapeId="0" xr:uid="{00000000-0006-0000-0100-00008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38" authorId="0" shapeId="0" xr:uid="{00000000-0006-0000-0100-00009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39" authorId="0" shapeId="0" xr:uid="{00000000-0006-0000-0100-00009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39" authorId="0" shapeId="0" xr:uid="{00000000-0006-0000-0100-00009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39" authorId="0" shapeId="0" xr:uid="{00000000-0006-0000-0100-00009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40" authorId="0" shapeId="0" xr:uid="{00000000-0006-0000-0100-00009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40" authorId="0" shapeId="0" xr:uid="{00000000-0006-0000-0100-00009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40" authorId="0" shapeId="0" xr:uid="{00000000-0006-0000-0100-00009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41" authorId="0" shapeId="0" xr:uid="{00000000-0006-0000-0100-00009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41" authorId="0" shapeId="0" xr:uid="{00000000-0006-0000-0100-00009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241" authorId="0" shapeId="0" xr:uid="{00000000-0006-0000-0100-00009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<sst xmlns="http://schemas.openxmlformats.org/spreadsheetml/2006/main" count="854" uniqueCount="199">
  <si>
    <t>Index Numbers ;  Manufacturing division ;</t>
  </si>
  <si>
    <t>Index Numbers ;  Imported materials ;</t>
  </si>
  <si>
    <t>Index Numbers ;  Domestic materials ;</t>
  </si>
  <si>
    <t>Index Numbers ;  Manufact. div. less petroleum ;</t>
  </si>
  <si>
    <t>Percentage change from previous quarter ;  Manufacturing division ;</t>
  </si>
  <si>
    <t>Percentage change from previous quarter ;  Imported materials ;</t>
  </si>
  <si>
    <t>Percentage change from previous quarter ;  Domestic materials ;</t>
  </si>
  <si>
    <t>Percentage change from corresponding quarter of previous year ;  Manufacturing division ;</t>
  </si>
  <si>
    <t>Percentage change from corresponding quarter of previous year ;  Imported materials ;</t>
  </si>
  <si>
    <t>Percentage change from corresponding quarter of previous year ;  Domestic materials ;</t>
  </si>
  <si>
    <t>Index Numbers ;  Agriculture to Manufacturing ;</t>
  </si>
  <si>
    <t>Index Numbers ;  Mushroom and vegetable growing ;</t>
  </si>
  <si>
    <t>Index Numbers ;  Fruit and tree nut growing ;</t>
  </si>
  <si>
    <t>Index Numbers ;  Sheep, beef cattle and grain farming ;</t>
  </si>
  <si>
    <t>Index Numbers ;  Other crop growing ;</t>
  </si>
  <si>
    <t>Index Numbers ;  Dairy cattle farming ;</t>
  </si>
  <si>
    <t>Index Numbers ;  Poultry farming ;</t>
  </si>
  <si>
    <t>Index Numbers ;  Other livestock farming ;</t>
  </si>
  <si>
    <t>Index Numbers ;  Forestry and logging ;</t>
  </si>
  <si>
    <t>Index Numbers ;  Coal mining ;</t>
  </si>
  <si>
    <t>Index Numbers ;  Oil and gas extraction ;</t>
  </si>
  <si>
    <t>Index Numbers ;  Metal ore mining ;</t>
  </si>
  <si>
    <t>Index Numbers ;  Non-metallic mineral mining and quarrying ;</t>
  </si>
  <si>
    <t>Index Numbers ;  Construction material mining ;</t>
  </si>
  <si>
    <t>Index Numbers ;  Other non-metallic mineral mining and quarrying ;</t>
  </si>
  <si>
    <t>Index Numbers ;  Textile, leather, clothing and footwear ;</t>
  </si>
  <si>
    <t>Index Numbers ;  Textiles ;</t>
  </si>
  <si>
    <t>Index Numbers ;  Leather tanning, fur dressing and leather products ;</t>
  </si>
  <si>
    <t>Index Numbers ;  Textile products ;</t>
  </si>
  <si>
    <t>Index Numbers ;  Knitted products ;</t>
  </si>
  <si>
    <t>Index Numbers ;  Wood products ;</t>
  </si>
  <si>
    <t>Index Numbers ;  Log sawmilling and timber dressing ;</t>
  </si>
  <si>
    <t>Index Numbers ;  Other wood products ;</t>
  </si>
  <si>
    <t>Index Numbers ;  Pulp, paper and converted paper products ;</t>
  </si>
  <si>
    <t>Index Numbers ;  Petroleum and coal products ;</t>
  </si>
  <si>
    <t>Index Numbers ;  Basic chemical and chemical products ;</t>
  </si>
  <si>
    <t>Index Numbers ;  Basic chemicals ;</t>
  </si>
  <si>
    <t>Index Numbers ;  Other basic chemical products ;</t>
  </si>
  <si>
    <t>Index Numbers ;  Polymer product and rubber products ;</t>
  </si>
  <si>
    <t>Index Numbers ;  Polymer products ;</t>
  </si>
  <si>
    <t>Index Numbers ;  Natural rubber products ;</t>
  </si>
  <si>
    <t>Index Numbers ;  Non-metallic mineral products ;</t>
  </si>
  <si>
    <t>Index Numbers ;  Glass and glass products ;</t>
  </si>
  <si>
    <t>Index Numbers ;  Primary metal and metal products ;</t>
  </si>
  <si>
    <t>Index Numbers ;  Basic ferrous metals ;</t>
  </si>
  <si>
    <t>Index Numbers ;  Basic ferrous metal products ;</t>
  </si>
  <si>
    <t>Index Numbers ;  Basic non-ferrous metals ;</t>
  </si>
  <si>
    <t>Index Numbers ;  Basic non-ferrous metal products ;</t>
  </si>
  <si>
    <t>Index Numbers ;  Fabricated metal products ;</t>
  </si>
  <si>
    <t>Index Numbers ;  Transport equipment ;</t>
  </si>
  <si>
    <t>Index Numbers ;  Motor vehicles and motor vehicle parts ;</t>
  </si>
  <si>
    <t>Index Numbers ;  Other transport equipment ;</t>
  </si>
  <si>
    <t>Index Numbers ;  Machinery and equipment ;</t>
  </si>
  <si>
    <t>Index Numbers ;  Professional and scientific equipment ;</t>
  </si>
  <si>
    <t>Index Numbers ;  Computer and electronic equipment ;</t>
  </si>
  <si>
    <t>Index Numbers ;  Electrical equipment ;</t>
  </si>
  <si>
    <t>Index Numbers ;  Domestic appliances ;</t>
  </si>
  <si>
    <t>Index Numbers ;  Pump, compressor, heating and ventilation equipment ;</t>
  </si>
  <si>
    <t>Index Numbers ;  Specialised machinery and equipment ;</t>
  </si>
  <si>
    <t>Index Numbers ;  Other machinery and equipment ;</t>
  </si>
  <si>
    <t>Index Numbers ;  Natural gas ;</t>
  </si>
  <si>
    <t>Index Numbers ;  Electricity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</si>
  <si>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</si>
  <si>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</si>
  <si>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</si>
  <si>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</si>
  <si>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</si>
  <si>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</si>
  <si>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</si>
  <si>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</si>
  <si>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</si>
  <si>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Index Numbers</t>
  </si>
  <si>
    <t>Original</t>
  </si>
  <si>
    <t>INDEX</t>
  </si>
  <si>
    <t>Quarter</t>
  </si>
  <si>
    <t>A2309054F</t>
  </si>
  <si>
    <t>A2313785L</t>
  </si>
  <si>
    <t>A2313788V</t>
  </si>
  <si>
    <t>A2313704X</t>
  </si>
  <si>
    <t>Percent</t>
  </si>
  <si>
    <t>PERCENT</t>
  </si>
  <si>
    <t>A2309055J</t>
  </si>
  <si>
    <t>A2313786R</t>
  </si>
  <si>
    <t>A2313789W</t>
  </si>
  <si>
    <t>A2309056K</t>
  </si>
  <si>
    <t>A2313787T</t>
  </si>
  <si>
    <t>A2313790F</t>
  </si>
  <si>
    <t>A2309057L</t>
  </si>
  <si>
    <t>A3343966C</t>
  </si>
  <si>
    <t>A3343968J</t>
  </si>
  <si>
    <t>A2309099K</t>
  </si>
  <si>
    <t>A3343970V</t>
  </si>
  <si>
    <t>A2309102L</t>
  </si>
  <si>
    <t>A2309105V</t>
  </si>
  <si>
    <t>A2309108A</t>
  </si>
  <si>
    <t>A2309060A</t>
  </si>
  <si>
    <t>A2309063J</t>
  </si>
  <si>
    <t>A2309066R</t>
  </si>
  <si>
    <t>A2309069W</t>
  </si>
  <si>
    <t>A2309072K</t>
  </si>
  <si>
    <t>A2309126F</t>
  </si>
  <si>
    <t>A2309129L</t>
  </si>
  <si>
    <t>A2309075T</t>
  </si>
  <si>
    <t>A3343972X</t>
  </si>
  <si>
    <t>A2309138R</t>
  </si>
  <si>
    <t>A3343974C</t>
  </si>
  <si>
    <t>A2309135J</t>
  </si>
  <si>
    <t>A3343976J</t>
  </si>
  <si>
    <t>A2309141C</t>
  </si>
  <si>
    <t>A2309144K</t>
  </si>
  <si>
    <t>A2309147T</t>
  </si>
  <si>
    <t>A3343978L</t>
  </si>
  <si>
    <t>A3343980X</t>
  </si>
  <si>
    <t>A2309150F</t>
  </si>
  <si>
    <t>A3343982C</t>
  </si>
  <si>
    <t>A3343984J</t>
  </si>
  <si>
    <t>A3343986L</t>
  </si>
  <si>
    <t>A2309156V</t>
  </si>
  <si>
    <t>A2309084V</t>
  </si>
  <si>
    <t>A2309162R</t>
  </si>
  <si>
    <t>A3343988T</t>
  </si>
  <si>
    <t>A3343990C</t>
  </si>
  <si>
    <t>A3343992J</t>
  </si>
  <si>
    <t>A117729353V</t>
  </si>
  <si>
    <t>A3343994L</t>
  </si>
  <si>
    <t>A2309171T</t>
  </si>
  <si>
    <t>A3343996T</t>
  </si>
  <si>
    <t>A2309174X</t>
  </si>
  <si>
    <t>A2309177F</t>
  </si>
  <si>
    <t>A3343998W</t>
  </si>
  <si>
    <t>A2309180V</t>
  </si>
  <si>
    <t>A2309183A</t>
  </si>
  <si>
    <t>A3344000X</t>
  </si>
  <si>
    <t>A3344002C</t>
  </si>
  <si>
    <t>A3344004J</t>
  </si>
  <si>
    <t>A3344006L</t>
  </si>
  <si>
    <t>A3344008T</t>
  </si>
  <si>
    <t>A2309195K</t>
  </si>
  <si>
    <t>A2309192C</t>
  </si>
  <si>
    <t>Time Series Workbook</t>
  </si>
  <si>
    <t>6427.0 Producer Price Indexes, Australia</t>
  </si>
  <si>
    <t>Table 13. Inputs from selected Subdivisions and Groups to the Manufacturing Division, index numbers and percentage changes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</si>
  <si>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</si>
  <si>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</si>
  <si>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</si>
  <si>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</si>
  <si>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</si>
  <si>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</si>
  <si>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2026</t>
  </si>
  <si>
    <t>Energy Prices vs Manufacturing Input Costs — Summary Statistics</t>
  </si>
  <si>
    <t>Source: ABS 6427.0 Producer Price Indexes, Australia — Table 13. Inputs from selected Subdivisions and Groups to the Manufacturing Division. Index reference period 2011-12 = 100.0.</t>
  </si>
  <si>
    <t>Series</t>
  </si>
  <si>
    <t>Latest (2025-Q3)</t>
  </si>
  <si>
    <t>Min</t>
  </si>
  <si>
    <t>Max</t>
  </si>
  <si>
    <t>Mean</t>
  </si>
  <si>
    <t>Median</t>
  </si>
  <si>
    <t>Std Dev</t>
  </si>
  <si>
    <t>Coeff. of Var.</t>
  </si>
  <si>
    <t>Total change</t>
  </si>
  <si>
    <t>Annualised %</t>
  </si>
  <si>
    <t>Manufacturing division (all inputs)</t>
  </si>
  <si>
    <t xml:space="preserve">  Imported materials</t>
  </si>
  <si>
    <t xml:space="preserve">  Domestic materials</t>
  </si>
  <si>
    <t xml:space="preserve">  Manufact. div. less petroleum</t>
  </si>
  <si>
    <t>Petroleum and coal products</t>
  </si>
  <si>
    <t>Natural gas</t>
  </si>
  <si>
    <t>Electricity</t>
  </si>
  <si>
    <t>Window: full series. Manufacturing/Imported/Domestic from Sep 1968; Less-petroleum from Mar 1988; Natural gas &amp; Electricity from Mar 1970; Petroleum &amp; coal from Sep 2001. Latest = Sep 2025.</t>
  </si>
  <si>
    <t>Year-on-year % change statistics</t>
  </si>
  <si>
    <t>YoY = current quarter index ÷ same quarter prior year − 1.</t>
  </si>
  <si>
    <t>Latest YoY</t>
  </si>
  <si>
    <t>Mean YoY</t>
  </si>
  <si>
    <t>Median YoY</t>
  </si>
  <si>
    <t>Min YoY</t>
  </si>
  <si>
    <t>Max YoY</t>
  </si>
  <si>
    <t>Std Dev (YoY)</t>
  </si>
  <si>
    <t>Qtrs YoY &gt; 5%</t>
  </si>
  <si>
    <t>Qtrs YoY &gt; 10%</t>
  </si>
  <si>
    <t>Correlation matrix — quarterly YoY % changes</t>
  </si>
  <si>
    <t>Pearson correlation of year-on-year % changes. Window: Mar 1970 onward (energy series start) except Petroleum &amp; coal (from Sep 2001).</t>
  </si>
  <si>
    <t>Mfg division</t>
  </si>
  <si>
    <t>Imported mat.</t>
  </si>
  <si>
    <t>Domestic mat.</t>
  </si>
  <si>
    <t>Less petroleum</t>
  </si>
  <si>
    <t>Petroleum &amp; coal</t>
  </si>
  <si>
    <t>Imported materials</t>
  </si>
  <si>
    <t>Domestic materials</t>
  </si>
  <si>
    <t>Energy Prices vs Manufacturing Input Costs — Time Series</t>
  </si>
  <si>
    <t>Source: ABS 6427.0 PPI Table 13. Index reference period 2011-12 = 100.0. Quarterly data, Sep 1968 to Sep 2025.</t>
  </si>
  <si>
    <t>Chart data block (linked to Data1)</t>
  </si>
  <si>
    <t>Manufacturing division</t>
  </si>
  <si>
    <t>Mfg. less petroleum</t>
  </si>
  <si>
    <t>First (start of series)</t>
  </si>
  <si>
    <r>
      <t>Natural gas</t>
    </r>
    <r>
      <rPr>
        <sz val="11"/>
        <color theme="1"/>
        <rFont val="Calibri"/>
        <family val="2"/>
        <scheme val="minor"/>
      </rPr>
      <t xml:space="preserve"> is the most volatile input cost (CV 69%, YoY std dev 11.1%, and 49 quarters with YoY &gt;10% — the worst spike was +48% YoY).</t>
    </r>
  </si>
  <si>
    <r>
      <t>Electricity</t>
    </r>
    <r>
      <rPr>
        <sz val="11"/>
        <color theme="1"/>
        <rFont val="Calibri"/>
        <family val="2"/>
        <scheme val="minor"/>
      </rPr>
      <t xml:space="preserve"> has grown +1190% since 1970, slightly faster than the Manufacturing division (+1521% since 1968) — but with much more volatility (CV 63% vs 57%).</t>
    </r>
  </si>
  <si>
    <r>
      <t>YoY correlation with overall manufacturing inputs</t>
    </r>
    <r>
      <rPr>
        <sz val="11"/>
        <color theme="1"/>
        <rFont val="Calibri"/>
        <family val="2"/>
        <scheme val="minor"/>
      </rPr>
      <t>: Natural gas 0.06, Electricity 0.12 — surprisingly weak at the headline level. Petroleum &amp; coal is far more co-moving (0.72), which is why excluding petroleum (the "Manufact. div. less petroleum" series) materially smooths the headline.</t>
    </r>
  </si>
  <si>
    <r>
      <t xml:space="preserve">In the </t>
    </r>
    <r>
      <rPr>
        <b/>
        <sz val="11"/>
        <color theme="1"/>
        <rFont val="Calibri"/>
        <family val="2"/>
        <scheme val="minor"/>
      </rPr>
      <t>latest quarter (Sep-2025)</t>
    </r>
    <r>
      <rPr>
        <sz val="11"/>
        <color theme="1"/>
        <rFont val="Calibri"/>
        <family val="2"/>
        <scheme val="minor"/>
      </rPr>
      <t>, headline manufacturing inputs rose +11.6% YoY while Electricity (-2.6%) and Natural gas (-1.2%) actually fell — the input-cost pressure right now is coming from non-energy sources.</t>
    </r>
  </si>
  <si>
    <t>What the numbers show: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</si>
</sst>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\-yyyy"/>
    <numFmt numFmtId="165" formatCode="0.0;\-0.0;0.0;@"/>
    <numFmt numFmtId="166" formatCode="0.0"/>
    <numFmt numFmtId="167" formatCode="0.0%"/>
    <numFmt numFmtId="168" formatCode="\+0.0%;\-0.0%"/>
    <numFmt numFmtId="169" formatCode="\+0.00%;\-0.00%"/>
    <numFmt numFmtId="170" formatCode="\+0.0%;\-0.0%;\-"/>
    <numFmt numFmtId="171" formatCode="0.00;\-0.00;&quot;&quot;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8080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1F386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167" fontId="0" fillId="0" borderId="0" xfId="0" applyNumberFormat="1"/>
    <xf numFmtId="0" fontId="13" fillId="0" borderId="0" xfId="0" applyFont="1" applyBorder="1" applyAlignment="1">
      <alignment horizontal="left"/>
    </xf>
    <xf numFmtId="166" fontId="0" fillId="0" borderId="0" xfId="0" applyNumberFormat="1" applyBorder="1"/>
    <xf numFmtId="167" fontId="0" fillId="0" borderId="0" xfId="0" applyNumberFormat="1" applyBorder="1"/>
    <xf numFmtId="168" fontId="0" fillId="0" borderId="0" xfId="0" applyNumberFormat="1" applyBorder="1"/>
    <xf numFmtId="169" fontId="0" fillId="0" borderId="0" xfId="0" applyNumberFormat="1" applyBorder="1"/>
    <xf numFmtId="0" fontId="0" fillId="0" borderId="0" xfId="0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0" fontId="12" fillId="3" borderId="2" xfId="0" applyFont="1" applyFill="1" applyBorder="1" applyAlignment="1">
      <alignment horizontal="left"/>
    </xf>
    <xf numFmtId="0" fontId="12" fillId="3" borderId="2" xfId="0" applyFont="1" applyFill="1" applyBorder="1" applyAlignment="1">
      <alignment horizontal="right"/>
    </xf>
    <xf numFmtId="0" fontId="15" fillId="0" borderId="0" xfId="0" applyFont="1"/>
    <xf numFmtId="0" fontId="13" fillId="0" borderId="0" xfId="0" applyFont="1" applyBorder="1"/>
    <xf numFmtId="170" fontId="0" fillId="0" borderId="0" xfId="0" applyNumberFormat="1" applyBorder="1"/>
    <xf numFmtId="3" fontId="0" fillId="0" borderId="0" xfId="0" applyNumberFormat="1" applyBorder="1"/>
    <xf numFmtId="0" fontId="0" fillId="0" borderId="0" xfId="0" applyBorder="1"/>
    <xf numFmtId="0" fontId="14" fillId="0" borderId="0" xfId="0" applyFont="1" applyBorder="1"/>
    <xf numFmtId="0" fontId="14" fillId="0" borderId="1" xfId="0" applyFont="1" applyBorder="1"/>
    <xf numFmtId="170" fontId="0" fillId="0" borderId="1" xfId="0" applyNumberFormat="1" applyBorder="1"/>
    <xf numFmtId="3" fontId="0" fillId="0" borderId="1" xfId="0" applyNumberFormat="1" applyBorder="1"/>
    <xf numFmtId="0" fontId="0" fillId="3" borderId="2" xfId="0" applyFill="1" applyBorder="1"/>
    <xf numFmtId="0" fontId="12" fillId="3" borderId="2" xfId="0" applyFont="1" applyFill="1" applyBorder="1" applyAlignment="1">
      <alignment horizontal="center"/>
    </xf>
    <xf numFmtId="171" fontId="0" fillId="0" borderId="0" xfId="0" applyNumberFormat="1" applyBorder="1"/>
    <xf numFmtId="171" fontId="0" fillId="0" borderId="1" xfId="0" applyNumberFormat="1" applyBorder="1"/>
    <xf numFmtId="0" fontId="16" fillId="0" borderId="0" xfId="0" applyFont="1"/>
    <xf numFmtId="164" fontId="0" fillId="0" borderId="0" xfId="0" applyNumberFormat="1"/>
    <xf numFmtId="0" fontId="0" fillId="0" borderId="0" xfId="0" applyAlignment="1">
      <alignment horizontal="left" vertical="center" indent="1"/>
    </xf>
    <xf numFmtId="0" fontId="13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Manufacturing input cost indexes — levels (2011-12 =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Charts!$B$51</c:f>
              <c:strCache>
                <c:ptCount val="1"/>
                <c:pt idx="0">
                  <c:v>Manufacturing division</c:v>
                </c:pt>
              </c:strCache>
            </c:strRef>
          </c:tx>
          <c:spPr>
            <a:ln w="22225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Charts!$A$52:$A$282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Charts!$B$52:$B$282</c:f>
              <c:numCache>
                <c:formatCode>General</c:formatCode>
                <c:ptCount val="231"/>
                <c:pt idx="0">
                  <c:v>10.7</c:v>
                </c:pt>
                <c:pt idx="1">
                  <c:v>10.3</c:v>
                </c:pt>
                <c:pt idx="2">
                  <c:v>10.5</c:v>
                </c:pt>
                <c:pt idx="3">
                  <c:v>10.8</c:v>
                </c:pt>
                <c:pt idx="4">
                  <c:v>10.9</c:v>
                </c:pt>
                <c:pt idx="5">
                  <c:v>10.7</c:v>
                </c:pt>
                <c:pt idx="6">
                  <c:v>10.8</c:v>
                </c:pt>
                <c:pt idx="7">
                  <c:v>10.9</c:v>
                </c:pt>
                <c:pt idx="8">
                  <c:v>10.7</c:v>
                </c:pt>
                <c:pt idx="9">
                  <c:v>10.4</c:v>
                </c:pt>
                <c:pt idx="10">
                  <c:v>10.6</c:v>
                </c:pt>
                <c:pt idx="11">
                  <c:v>10.7</c:v>
                </c:pt>
                <c:pt idx="12">
                  <c:v>11</c:v>
                </c:pt>
                <c:pt idx="13">
                  <c:v>10.7</c:v>
                </c:pt>
                <c:pt idx="14">
                  <c:v>10.8</c:v>
                </c:pt>
                <c:pt idx="15">
                  <c:v>10.9</c:v>
                </c:pt>
                <c:pt idx="16">
                  <c:v>11.5</c:v>
                </c:pt>
                <c:pt idx="17">
                  <c:v>11.5</c:v>
                </c:pt>
                <c:pt idx="18">
                  <c:v>12.3</c:v>
                </c:pt>
                <c:pt idx="19">
                  <c:v>12.8</c:v>
                </c:pt>
                <c:pt idx="20">
                  <c:v>13.6</c:v>
                </c:pt>
                <c:pt idx="21">
                  <c:v>13.8</c:v>
                </c:pt>
                <c:pt idx="22">
                  <c:v>14.5</c:v>
                </c:pt>
                <c:pt idx="23">
                  <c:v>15</c:v>
                </c:pt>
                <c:pt idx="24">
                  <c:v>15.3</c:v>
                </c:pt>
                <c:pt idx="25">
                  <c:v>15.1</c:v>
                </c:pt>
                <c:pt idx="26">
                  <c:v>15.3</c:v>
                </c:pt>
                <c:pt idx="27">
                  <c:v>15.6</c:v>
                </c:pt>
                <c:pt idx="28">
                  <c:v>16</c:v>
                </c:pt>
                <c:pt idx="29">
                  <c:v>16.600000000000001</c:v>
                </c:pt>
                <c:pt idx="30">
                  <c:v>17</c:v>
                </c:pt>
                <c:pt idx="31">
                  <c:v>17.3</c:v>
                </c:pt>
                <c:pt idx="32">
                  <c:v>18.3</c:v>
                </c:pt>
                <c:pt idx="33">
                  <c:v>18.5</c:v>
                </c:pt>
                <c:pt idx="34">
                  <c:v>19.8</c:v>
                </c:pt>
                <c:pt idx="35">
                  <c:v>20.399999999999999</c:v>
                </c:pt>
                <c:pt idx="36">
                  <c:v>20.5</c:v>
                </c:pt>
                <c:pt idx="37">
                  <c:v>20.399999999999999</c:v>
                </c:pt>
                <c:pt idx="38">
                  <c:v>21.1</c:v>
                </c:pt>
                <c:pt idx="39">
                  <c:v>21.9</c:v>
                </c:pt>
                <c:pt idx="40">
                  <c:v>23.4</c:v>
                </c:pt>
                <c:pt idx="41">
                  <c:v>24.6</c:v>
                </c:pt>
                <c:pt idx="42">
                  <c:v>26.8</c:v>
                </c:pt>
                <c:pt idx="43">
                  <c:v>30.2</c:v>
                </c:pt>
                <c:pt idx="44">
                  <c:v>31.4</c:v>
                </c:pt>
                <c:pt idx="45">
                  <c:v>33</c:v>
                </c:pt>
                <c:pt idx="46">
                  <c:v>36.1</c:v>
                </c:pt>
                <c:pt idx="47">
                  <c:v>35.299999999999997</c:v>
                </c:pt>
                <c:pt idx="48">
                  <c:v>37</c:v>
                </c:pt>
                <c:pt idx="49">
                  <c:v>37</c:v>
                </c:pt>
                <c:pt idx="50">
                  <c:v>37.700000000000003</c:v>
                </c:pt>
                <c:pt idx="51">
                  <c:v>37.6</c:v>
                </c:pt>
                <c:pt idx="52">
                  <c:v>37.9</c:v>
                </c:pt>
                <c:pt idx="53">
                  <c:v>37.1</c:v>
                </c:pt>
                <c:pt idx="54">
                  <c:v>37.700000000000003</c:v>
                </c:pt>
                <c:pt idx="55">
                  <c:v>38.9</c:v>
                </c:pt>
                <c:pt idx="56">
                  <c:v>39.4</c:v>
                </c:pt>
                <c:pt idx="57">
                  <c:v>39.700000000000003</c:v>
                </c:pt>
                <c:pt idx="58">
                  <c:v>41.2</c:v>
                </c:pt>
                <c:pt idx="59">
                  <c:v>43.5</c:v>
                </c:pt>
                <c:pt idx="60">
                  <c:v>42.7</c:v>
                </c:pt>
                <c:pt idx="61">
                  <c:v>42</c:v>
                </c:pt>
                <c:pt idx="62">
                  <c:v>42.4</c:v>
                </c:pt>
                <c:pt idx="63">
                  <c:v>42.6</c:v>
                </c:pt>
                <c:pt idx="64">
                  <c:v>43.4</c:v>
                </c:pt>
                <c:pt idx="65">
                  <c:v>43</c:v>
                </c:pt>
                <c:pt idx="66">
                  <c:v>44.2</c:v>
                </c:pt>
                <c:pt idx="67">
                  <c:v>47.7</c:v>
                </c:pt>
                <c:pt idx="68">
                  <c:v>49.1</c:v>
                </c:pt>
                <c:pt idx="69">
                  <c:v>48.8</c:v>
                </c:pt>
                <c:pt idx="70">
                  <c:v>47.3</c:v>
                </c:pt>
                <c:pt idx="71">
                  <c:v>42.2</c:v>
                </c:pt>
                <c:pt idx="72">
                  <c:v>44.8</c:v>
                </c:pt>
                <c:pt idx="73">
                  <c:v>47</c:v>
                </c:pt>
                <c:pt idx="74">
                  <c:v>48.1</c:v>
                </c:pt>
                <c:pt idx="75">
                  <c:v>48.3</c:v>
                </c:pt>
                <c:pt idx="76">
                  <c:v>48.8</c:v>
                </c:pt>
                <c:pt idx="77">
                  <c:v>49.1</c:v>
                </c:pt>
                <c:pt idx="78">
                  <c:v>50.1</c:v>
                </c:pt>
                <c:pt idx="79">
                  <c:v>50.6</c:v>
                </c:pt>
                <c:pt idx="80">
                  <c:v>50</c:v>
                </c:pt>
                <c:pt idx="81">
                  <c:v>48.7</c:v>
                </c:pt>
                <c:pt idx="82">
                  <c:v>50</c:v>
                </c:pt>
                <c:pt idx="83">
                  <c:v>52.9</c:v>
                </c:pt>
                <c:pt idx="84">
                  <c:v>53</c:v>
                </c:pt>
                <c:pt idx="85">
                  <c:v>52.6</c:v>
                </c:pt>
                <c:pt idx="86">
                  <c:v>53.7</c:v>
                </c:pt>
                <c:pt idx="87">
                  <c:v>52.8</c:v>
                </c:pt>
                <c:pt idx="88">
                  <c:v>54.5</c:v>
                </c:pt>
                <c:pt idx="89">
                  <c:v>58.9</c:v>
                </c:pt>
                <c:pt idx="90">
                  <c:v>54.4</c:v>
                </c:pt>
                <c:pt idx="91">
                  <c:v>52.9</c:v>
                </c:pt>
                <c:pt idx="92">
                  <c:v>53.3</c:v>
                </c:pt>
                <c:pt idx="93">
                  <c:v>53.5</c:v>
                </c:pt>
                <c:pt idx="94">
                  <c:v>53.7</c:v>
                </c:pt>
                <c:pt idx="95">
                  <c:v>54.6</c:v>
                </c:pt>
                <c:pt idx="96">
                  <c:v>56.5</c:v>
                </c:pt>
                <c:pt idx="97">
                  <c:v>56.9</c:v>
                </c:pt>
                <c:pt idx="98">
                  <c:v>56.4</c:v>
                </c:pt>
                <c:pt idx="99">
                  <c:v>56.1</c:v>
                </c:pt>
                <c:pt idx="100">
                  <c:v>56.8</c:v>
                </c:pt>
                <c:pt idx="101">
                  <c:v>56.1</c:v>
                </c:pt>
                <c:pt idx="102">
                  <c:v>54.4</c:v>
                </c:pt>
                <c:pt idx="103">
                  <c:v>54.8</c:v>
                </c:pt>
                <c:pt idx="104">
                  <c:v>55.7</c:v>
                </c:pt>
                <c:pt idx="105">
                  <c:v>55.7</c:v>
                </c:pt>
                <c:pt idx="106">
                  <c:v>57.3</c:v>
                </c:pt>
                <c:pt idx="107">
                  <c:v>59.6</c:v>
                </c:pt>
                <c:pt idx="108">
                  <c:v>59</c:v>
                </c:pt>
                <c:pt idx="109">
                  <c:v>58.3</c:v>
                </c:pt>
                <c:pt idx="110">
                  <c:v>58.7</c:v>
                </c:pt>
                <c:pt idx="111">
                  <c:v>57.4</c:v>
                </c:pt>
                <c:pt idx="112">
                  <c:v>56.3</c:v>
                </c:pt>
                <c:pt idx="113">
                  <c:v>56.3</c:v>
                </c:pt>
                <c:pt idx="114">
                  <c:v>56.4</c:v>
                </c:pt>
                <c:pt idx="115">
                  <c:v>55.9</c:v>
                </c:pt>
                <c:pt idx="116">
                  <c:v>56.5</c:v>
                </c:pt>
                <c:pt idx="117">
                  <c:v>66.2</c:v>
                </c:pt>
                <c:pt idx="118">
                  <c:v>65.7</c:v>
                </c:pt>
                <c:pt idx="119">
                  <c:v>66.3</c:v>
                </c:pt>
                <c:pt idx="120">
                  <c:v>66.8</c:v>
                </c:pt>
                <c:pt idx="121">
                  <c:v>65.900000000000006</c:v>
                </c:pt>
                <c:pt idx="122">
                  <c:v>64.900000000000006</c:v>
                </c:pt>
                <c:pt idx="123">
                  <c:v>64.7</c:v>
                </c:pt>
                <c:pt idx="124">
                  <c:v>65.099999999999994</c:v>
                </c:pt>
                <c:pt idx="125">
                  <c:v>67.3</c:v>
                </c:pt>
                <c:pt idx="126">
                  <c:v>69.2</c:v>
                </c:pt>
                <c:pt idx="127">
                  <c:v>72.099999999999994</c:v>
                </c:pt>
                <c:pt idx="128">
                  <c:v>73.5</c:v>
                </c:pt>
                <c:pt idx="129">
                  <c:v>76.5</c:v>
                </c:pt>
                <c:pt idx="130">
                  <c:v>75.900000000000006</c:v>
                </c:pt>
                <c:pt idx="131">
                  <c:v>78.099999999999994</c:v>
                </c:pt>
                <c:pt idx="132">
                  <c:v>76.400000000000006</c:v>
                </c:pt>
                <c:pt idx="133">
                  <c:v>75.7</c:v>
                </c:pt>
                <c:pt idx="134">
                  <c:v>74.900000000000006</c:v>
                </c:pt>
                <c:pt idx="135">
                  <c:v>75.400000000000006</c:v>
                </c:pt>
                <c:pt idx="136">
                  <c:v>75.2</c:v>
                </c:pt>
                <c:pt idx="137">
                  <c:v>75.400000000000006</c:v>
                </c:pt>
                <c:pt idx="138">
                  <c:v>76</c:v>
                </c:pt>
                <c:pt idx="139">
                  <c:v>74.599999999999994</c:v>
                </c:pt>
                <c:pt idx="140">
                  <c:v>72.900000000000006</c:v>
                </c:pt>
                <c:pt idx="141">
                  <c:v>72.5</c:v>
                </c:pt>
                <c:pt idx="142">
                  <c:v>71.3</c:v>
                </c:pt>
                <c:pt idx="143">
                  <c:v>73.099999999999994</c:v>
                </c:pt>
                <c:pt idx="144">
                  <c:v>76.5</c:v>
                </c:pt>
                <c:pt idx="145">
                  <c:v>77.8</c:v>
                </c:pt>
                <c:pt idx="146">
                  <c:v>77.099999999999994</c:v>
                </c:pt>
                <c:pt idx="147">
                  <c:v>78.400000000000006</c:v>
                </c:pt>
                <c:pt idx="148">
                  <c:v>80.2</c:v>
                </c:pt>
                <c:pt idx="149">
                  <c:v>80.3</c:v>
                </c:pt>
                <c:pt idx="150">
                  <c:v>82.1</c:v>
                </c:pt>
                <c:pt idx="151">
                  <c:v>85.8</c:v>
                </c:pt>
                <c:pt idx="152">
                  <c:v>87</c:v>
                </c:pt>
                <c:pt idx="153">
                  <c:v>86.3</c:v>
                </c:pt>
                <c:pt idx="154">
                  <c:v>86</c:v>
                </c:pt>
                <c:pt idx="155">
                  <c:v>88</c:v>
                </c:pt>
                <c:pt idx="156">
                  <c:v>87.8</c:v>
                </c:pt>
                <c:pt idx="157">
                  <c:v>89.4</c:v>
                </c:pt>
                <c:pt idx="158">
                  <c:v>91</c:v>
                </c:pt>
                <c:pt idx="159">
                  <c:v>94.6</c:v>
                </c:pt>
                <c:pt idx="160">
                  <c:v>98.8</c:v>
                </c:pt>
                <c:pt idx="161">
                  <c:v>102.3</c:v>
                </c:pt>
                <c:pt idx="162">
                  <c:v>96.4</c:v>
                </c:pt>
                <c:pt idx="163">
                  <c:v>90.9</c:v>
                </c:pt>
                <c:pt idx="164">
                  <c:v>90.5</c:v>
                </c:pt>
                <c:pt idx="165">
                  <c:v>88.5</c:v>
                </c:pt>
                <c:pt idx="166">
                  <c:v>90.3</c:v>
                </c:pt>
                <c:pt idx="167">
                  <c:v>92.7</c:v>
                </c:pt>
                <c:pt idx="168">
                  <c:v>93.6</c:v>
                </c:pt>
                <c:pt idx="169">
                  <c:v>93.8</c:v>
                </c:pt>
                <c:pt idx="170">
                  <c:v>98</c:v>
                </c:pt>
                <c:pt idx="171">
                  <c:v>101.9</c:v>
                </c:pt>
                <c:pt idx="172">
                  <c:v>102.2</c:v>
                </c:pt>
                <c:pt idx="173">
                  <c:v>100.8</c:v>
                </c:pt>
                <c:pt idx="174">
                  <c:v>99.7</c:v>
                </c:pt>
                <c:pt idx="175">
                  <c:v>100.5</c:v>
                </c:pt>
                <c:pt idx="176">
                  <c:v>98.8</c:v>
                </c:pt>
                <c:pt idx="177">
                  <c:v>99.8</c:v>
                </c:pt>
                <c:pt idx="178">
                  <c:v>99.7</c:v>
                </c:pt>
                <c:pt idx="179">
                  <c:v>97.9</c:v>
                </c:pt>
                <c:pt idx="180">
                  <c:v>101</c:v>
                </c:pt>
                <c:pt idx="181">
                  <c:v>100.4</c:v>
                </c:pt>
                <c:pt idx="182">
                  <c:v>102.8</c:v>
                </c:pt>
                <c:pt idx="183">
                  <c:v>101.8</c:v>
                </c:pt>
                <c:pt idx="184">
                  <c:v>100.7</c:v>
                </c:pt>
                <c:pt idx="185">
                  <c:v>100</c:v>
                </c:pt>
                <c:pt idx="186">
                  <c:v>98.1</c:v>
                </c:pt>
                <c:pt idx="187">
                  <c:v>99.9</c:v>
                </c:pt>
                <c:pt idx="188">
                  <c:v>100.1</c:v>
                </c:pt>
                <c:pt idx="189">
                  <c:v>98.1</c:v>
                </c:pt>
                <c:pt idx="190">
                  <c:v>97.1</c:v>
                </c:pt>
                <c:pt idx="191">
                  <c:v>98</c:v>
                </c:pt>
                <c:pt idx="192">
                  <c:v>100</c:v>
                </c:pt>
                <c:pt idx="193">
                  <c:v>100.3</c:v>
                </c:pt>
                <c:pt idx="194">
                  <c:v>102</c:v>
                </c:pt>
                <c:pt idx="195">
                  <c:v>102.1</c:v>
                </c:pt>
                <c:pt idx="196">
                  <c:v>101.5</c:v>
                </c:pt>
                <c:pt idx="197">
                  <c:v>103.3</c:v>
                </c:pt>
                <c:pt idx="198">
                  <c:v>106.2</c:v>
                </c:pt>
                <c:pt idx="199">
                  <c:v>108.6</c:v>
                </c:pt>
                <c:pt idx="200">
                  <c:v>109.5</c:v>
                </c:pt>
                <c:pt idx="201">
                  <c:v>109.7</c:v>
                </c:pt>
                <c:pt idx="202">
                  <c:v>110.4</c:v>
                </c:pt>
                <c:pt idx="203">
                  <c:v>112.8</c:v>
                </c:pt>
                <c:pt idx="204">
                  <c:v>115</c:v>
                </c:pt>
                <c:pt idx="205">
                  <c:v>113.8</c:v>
                </c:pt>
                <c:pt idx="206">
                  <c:v>115.5</c:v>
                </c:pt>
                <c:pt idx="207">
                  <c:v>114.5</c:v>
                </c:pt>
                <c:pt idx="208">
                  <c:v>114.7</c:v>
                </c:pt>
                <c:pt idx="209">
                  <c:v>115.1</c:v>
                </c:pt>
                <c:pt idx="210">
                  <c:v>117.6</c:v>
                </c:pt>
                <c:pt idx="211">
                  <c:v>122</c:v>
                </c:pt>
                <c:pt idx="212">
                  <c:v>127.6</c:v>
                </c:pt>
                <c:pt idx="213">
                  <c:v>131.19999999999999</c:v>
                </c:pt>
                <c:pt idx="214">
                  <c:v>139.30000000000001</c:v>
                </c:pt>
                <c:pt idx="215">
                  <c:v>143.6</c:v>
                </c:pt>
                <c:pt idx="216">
                  <c:v>145.80000000000001</c:v>
                </c:pt>
                <c:pt idx="217">
                  <c:v>145.4</c:v>
                </c:pt>
                <c:pt idx="218">
                  <c:v>144.9</c:v>
                </c:pt>
                <c:pt idx="219">
                  <c:v>144.6</c:v>
                </c:pt>
                <c:pt idx="220">
                  <c:v>142.1</c:v>
                </c:pt>
                <c:pt idx="221">
                  <c:v>142.5</c:v>
                </c:pt>
                <c:pt idx="222">
                  <c:v>143.6</c:v>
                </c:pt>
                <c:pt idx="223">
                  <c:v>146.80000000000001</c:v>
                </c:pt>
                <c:pt idx="224">
                  <c:v>147.5</c:v>
                </c:pt>
                <c:pt idx="225">
                  <c:v>149.6</c:v>
                </c:pt>
                <c:pt idx="226">
                  <c:v>155.4</c:v>
                </c:pt>
                <c:pt idx="227">
                  <c:v>158</c:v>
                </c:pt>
                <c:pt idx="228">
                  <c:v>159.1</c:v>
                </c:pt>
                <c:pt idx="229">
                  <c:v>166.9</c:v>
                </c:pt>
                <c:pt idx="230">
                  <c:v>173.4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D-41DD-9B2A-A4AD6CAE4CCD}"/>
            </c:ext>
          </c:extLst>
        </c:ser>
        <c:ser>
          <c:idx val="1"/>
          <c:order val="1"/>
          <c:tx>
            <c:strRef>
              <c:f>Charts!$C$51</c:f>
              <c:strCache>
                <c:ptCount val="1"/>
                <c:pt idx="0">
                  <c:v>Mfg. less petroleum</c:v>
                </c:pt>
              </c:strCache>
            </c:strRef>
          </c:tx>
          <c:spPr>
            <a:ln w="2222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Charts!$A$52:$A$282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Charts!$C$52:$C$282</c:f>
              <c:numCache>
                <c:formatCode>General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52.5</c:v>
                </c:pt>
                <c:pt idx="77">
                  <c:v>53.1</c:v>
                </c:pt>
                <c:pt idx="78">
                  <c:v>55.1</c:v>
                </c:pt>
                <c:pt idx="79">
                  <c:v>56.6</c:v>
                </c:pt>
                <c:pt idx="80">
                  <c:v>56.9</c:v>
                </c:pt>
                <c:pt idx="81">
                  <c:v>56.9</c:v>
                </c:pt>
                <c:pt idx="82">
                  <c:v>56.9</c:v>
                </c:pt>
                <c:pt idx="83">
                  <c:v>59.3</c:v>
                </c:pt>
                <c:pt idx="84">
                  <c:v>59.2</c:v>
                </c:pt>
                <c:pt idx="85">
                  <c:v>58.5</c:v>
                </c:pt>
                <c:pt idx="86">
                  <c:v>59.2</c:v>
                </c:pt>
                <c:pt idx="87">
                  <c:v>59.6</c:v>
                </c:pt>
                <c:pt idx="88">
                  <c:v>58.5</c:v>
                </c:pt>
                <c:pt idx="89">
                  <c:v>58.2</c:v>
                </c:pt>
                <c:pt idx="90">
                  <c:v>58.6</c:v>
                </c:pt>
                <c:pt idx="91">
                  <c:v>58.3</c:v>
                </c:pt>
                <c:pt idx="92">
                  <c:v>58.3</c:v>
                </c:pt>
                <c:pt idx="93">
                  <c:v>57.7</c:v>
                </c:pt>
                <c:pt idx="94">
                  <c:v>59.2</c:v>
                </c:pt>
                <c:pt idx="95">
                  <c:v>59.8</c:v>
                </c:pt>
                <c:pt idx="96">
                  <c:v>60.6</c:v>
                </c:pt>
                <c:pt idx="97">
                  <c:v>61.4</c:v>
                </c:pt>
                <c:pt idx="98">
                  <c:v>61.5</c:v>
                </c:pt>
                <c:pt idx="99">
                  <c:v>61.2</c:v>
                </c:pt>
                <c:pt idx="100">
                  <c:v>62.6</c:v>
                </c:pt>
                <c:pt idx="101">
                  <c:v>62.6</c:v>
                </c:pt>
                <c:pt idx="102">
                  <c:v>61.9</c:v>
                </c:pt>
                <c:pt idx="103">
                  <c:v>62.2</c:v>
                </c:pt>
                <c:pt idx="104">
                  <c:v>62.8</c:v>
                </c:pt>
                <c:pt idx="105">
                  <c:v>63.5</c:v>
                </c:pt>
                <c:pt idx="106">
                  <c:v>64.7</c:v>
                </c:pt>
                <c:pt idx="107">
                  <c:v>67.3</c:v>
                </c:pt>
                <c:pt idx="108">
                  <c:v>67.400000000000006</c:v>
                </c:pt>
                <c:pt idx="109">
                  <c:v>66.400000000000006</c:v>
                </c:pt>
                <c:pt idx="110">
                  <c:v>65.5</c:v>
                </c:pt>
                <c:pt idx="111">
                  <c:v>64.2</c:v>
                </c:pt>
                <c:pt idx="112">
                  <c:v>62.5</c:v>
                </c:pt>
                <c:pt idx="113">
                  <c:v>61.2</c:v>
                </c:pt>
                <c:pt idx="114">
                  <c:v>61.3</c:v>
                </c:pt>
                <c:pt idx="115">
                  <c:v>62</c:v>
                </c:pt>
                <c:pt idx="116">
                  <c:v>62.9</c:v>
                </c:pt>
                <c:pt idx="117">
                  <c:v>69.400000000000006</c:v>
                </c:pt>
                <c:pt idx="118">
                  <c:v>69.7</c:v>
                </c:pt>
                <c:pt idx="119">
                  <c:v>70.3</c:v>
                </c:pt>
                <c:pt idx="120">
                  <c:v>71.099999999999994</c:v>
                </c:pt>
                <c:pt idx="121">
                  <c:v>70</c:v>
                </c:pt>
                <c:pt idx="122">
                  <c:v>69.3</c:v>
                </c:pt>
                <c:pt idx="123">
                  <c:v>68.400000000000006</c:v>
                </c:pt>
                <c:pt idx="124">
                  <c:v>67.8</c:v>
                </c:pt>
                <c:pt idx="125">
                  <c:v>69.400000000000006</c:v>
                </c:pt>
                <c:pt idx="126">
                  <c:v>70.900000000000006</c:v>
                </c:pt>
                <c:pt idx="127">
                  <c:v>73.099999999999994</c:v>
                </c:pt>
                <c:pt idx="128">
                  <c:v>74.099999999999994</c:v>
                </c:pt>
                <c:pt idx="129">
                  <c:v>76.2</c:v>
                </c:pt>
                <c:pt idx="130">
                  <c:v>77</c:v>
                </c:pt>
                <c:pt idx="131">
                  <c:v>78.900000000000006</c:v>
                </c:pt>
                <c:pt idx="132">
                  <c:v>78</c:v>
                </c:pt>
                <c:pt idx="133">
                  <c:v>78.400000000000006</c:v>
                </c:pt>
                <c:pt idx="134">
                  <c:v>77.900000000000006</c:v>
                </c:pt>
                <c:pt idx="135">
                  <c:v>77.5</c:v>
                </c:pt>
                <c:pt idx="136">
                  <c:v>76.8</c:v>
                </c:pt>
                <c:pt idx="137">
                  <c:v>77.400000000000006</c:v>
                </c:pt>
                <c:pt idx="138">
                  <c:v>77.3</c:v>
                </c:pt>
                <c:pt idx="139">
                  <c:v>76.8</c:v>
                </c:pt>
                <c:pt idx="140">
                  <c:v>75.099999999999994</c:v>
                </c:pt>
                <c:pt idx="141">
                  <c:v>74.5</c:v>
                </c:pt>
                <c:pt idx="142">
                  <c:v>73.3</c:v>
                </c:pt>
                <c:pt idx="143">
                  <c:v>75</c:v>
                </c:pt>
                <c:pt idx="144">
                  <c:v>77.599999999999994</c:v>
                </c:pt>
                <c:pt idx="145">
                  <c:v>78.5</c:v>
                </c:pt>
                <c:pt idx="146">
                  <c:v>78.5</c:v>
                </c:pt>
                <c:pt idx="147">
                  <c:v>79.3</c:v>
                </c:pt>
                <c:pt idx="148">
                  <c:v>80.099999999999994</c:v>
                </c:pt>
                <c:pt idx="149">
                  <c:v>80.900000000000006</c:v>
                </c:pt>
                <c:pt idx="150">
                  <c:v>82.6</c:v>
                </c:pt>
                <c:pt idx="151">
                  <c:v>85.2</c:v>
                </c:pt>
                <c:pt idx="152">
                  <c:v>86.5</c:v>
                </c:pt>
                <c:pt idx="153">
                  <c:v>88.1</c:v>
                </c:pt>
                <c:pt idx="154">
                  <c:v>87.9</c:v>
                </c:pt>
                <c:pt idx="155">
                  <c:v>89.1</c:v>
                </c:pt>
                <c:pt idx="156">
                  <c:v>89</c:v>
                </c:pt>
                <c:pt idx="157">
                  <c:v>89.1</c:v>
                </c:pt>
                <c:pt idx="158">
                  <c:v>89.6</c:v>
                </c:pt>
                <c:pt idx="159">
                  <c:v>91.1</c:v>
                </c:pt>
                <c:pt idx="160">
                  <c:v>94.8</c:v>
                </c:pt>
                <c:pt idx="161">
                  <c:v>103.5</c:v>
                </c:pt>
                <c:pt idx="162">
                  <c:v>100.7</c:v>
                </c:pt>
                <c:pt idx="163">
                  <c:v>95.3</c:v>
                </c:pt>
                <c:pt idx="164">
                  <c:v>92</c:v>
                </c:pt>
                <c:pt idx="165">
                  <c:v>89.5</c:v>
                </c:pt>
                <c:pt idx="166">
                  <c:v>91.7</c:v>
                </c:pt>
                <c:pt idx="167">
                  <c:v>94.1</c:v>
                </c:pt>
                <c:pt idx="168">
                  <c:v>95.2</c:v>
                </c:pt>
                <c:pt idx="169">
                  <c:v>95.4</c:v>
                </c:pt>
                <c:pt idx="170">
                  <c:v>99</c:v>
                </c:pt>
                <c:pt idx="171">
                  <c:v>101.2</c:v>
                </c:pt>
                <c:pt idx="172">
                  <c:v>102.1</c:v>
                </c:pt>
                <c:pt idx="173">
                  <c:v>100.1</c:v>
                </c:pt>
                <c:pt idx="174">
                  <c:v>98.6</c:v>
                </c:pt>
                <c:pt idx="175">
                  <c:v>99</c:v>
                </c:pt>
                <c:pt idx="176">
                  <c:v>98.4</c:v>
                </c:pt>
                <c:pt idx="177">
                  <c:v>99.4</c:v>
                </c:pt>
                <c:pt idx="178">
                  <c:v>98.7</c:v>
                </c:pt>
                <c:pt idx="179">
                  <c:v>97.6</c:v>
                </c:pt>
                <c:pt idx="180">
                  <c:v>99.8</c:v>
                </c:pt>
                <c:pt idx="181">
                  <c:v>99.2</c:v>
                </c:pt>
                <c:pt idx="182">
                  <c:v>101.4</c:v>
                </c:pt>
                <c:pt idx="183">
                  <c:v>100.8</c:v>
                </c:pt>
                <c:pt idx="184">
                  <c:v>100</c:v>
                </c:pt>
                <c:pt idx="185">
                  <c:v>100.9</c:v>
                </c:pt>
                <c:pt idx="186">
                  <c:v>101.3</c:v>
                </c:pt>
                <c:pt idx="187">
                  <c:v>102.3</c:v>
                </c:pt>
                <c:pt idx="188">
                  <c:v>103.3</c:v>
                </c:pt>
                <c:pt idx="189">
                  <c:v>101.6</c:v>
                </c:pt>
                <c:pt idx="190">
                  <c:v>101.8</c:v>
                </c:pt>
                <c:pt idx="191">
                  <c:v>102.1</c:v>
                </c:pt>
                <c:pt idx="192">
                  <c:v>104</c:v>
                </c:pt>
                <c:pt idx="193">
                  <c:v>104</c:v>
                </c:pt>
                <c:pt idx="194">
                  <c:v>105.3</c:v>
                </c:pt>
                <c:pt idx="195">
                  <c:v>105.8</c:v>
                </c:pt>
                <c:pt idx="196">
                  <c:v>105.3</c:v>
                </c:pt>
                <c:pt idx="197">
                  <c:v>106.4</c:v>
                </c:pt>
                <c:pt idx="198">
                  <c:v>109</c:v>
                </c:pt>
                <c:pt idx="199">
                  <c:v>110.7</c:v>
                </c:pt>
                <c:pt idx="200">
                  <c:v>111.4</c:v>
                </c:pt>
                <c:pt idx="201">
                  <c:v>111.7</c:v>
                </c:pt>
                <c:pt idx="202">
                  <c:v>113.2</c:v>
                </c:pt>
                <c:pt idx="203">
                  <c:v>115.2</c:v>
                </c:pt>
                <c:pt idx="204">
                  <c:v>118.2</c:v>
                </c:pt>
                <c:pt idx="205">
                  <c:v>116.7</c:v>
                </c:pt>
                <c:pt idx="206">
                  <c:v>119.3</c:v>
                </c:pt>
                <c:pt idx="207">
                  <c:v>120.5</c:v>
                </c:pt>
                <c:pt idx="208">
                  <c:v>119.8</c:v>
                </c:pt>
                <c:pt idx="209">
                  <c:v>120.3</c:v>
                </c:pt>
                <c:pt idx="210">
                  <c:v>121.8</c:v>
                </c:pt>
                <c:pt idx="211">
                  <c:v>126.1</c:v>
                </c:pt>
                <c:pt idx="212">
                  <c:v>131.30000000000001</c:v>
                </c:pt>
                <c:pt idx="213">
                  <c:v>134.6</c:v>
                </c:pt>
                <c:pt idx="214">
                  <c:v>141.6</c:v>
                </c:pt>
                <c:pt idx="215">
                  <c:v>145.80000000000001</c:v>
                </c:pt>
                <c:pt idx="216">
                  <c:v>147.80000000000001</c:v>
                </c:pt>
                <c:pt idx="217">
                  <c:v>147.6</c:v>
                </c:pt>
                <c:pt idx="218">
                  <c:v>148.19999999999999</c:v>
                </c:pt>
                <c:pt idx="219">
                  <c:v>148.30000000000001</c:v>
                </c:pt>
                <c:pt idx="220">
                  <c:v>145.19999999999999</c:v>
                </c:pt>
                <c:pt idx="221">
                  <c:v>145</c:v>
                </c:pt>
                <c:pt idx="222">
                  <c:v>146.6</c:v>
                </c:pt>
                <c:pt idx="223">
                  <c:v>149.9</c:v>
                </c:pt>
                <c:pt idx="224">
                  <c:v>151.1</c:v>
                </c:pt>
                <c:pt idx="225">
                  <c:v>153.69999999999999</c:v>
                </c:pt>
                <c:pt idx="226">
                  <c:v>159.6</c:v>
                </c:pt>
                <c:pt idx="227">
                  <c:v>163.1</c:v>
                </c:pt>
                <c:pt idx="228">
                  <c:v>164.3</c:v>
                </c:pt>
                <c:pt idx="229">
                  <c:v>172.8</c:v>
                </c:pt>
                <c:pt idx="230">
                  <c:v>179.3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3D-41DD-9B2A-A4AD6CAE4CCD}"/>
            </c:ext>
          </c:extLst>
        </c:ser>
        <c:ser>
          <c:idx val="2"/>
          <c:order val="2"/>
          <c:tx>
            <c:strRef>
              <c:f>Charts!$D$51</c:f>
              <c:strCache>
                <c:ptCount val="1"/>
                <c:pt idx="0">
                  <c:v>Petroleum &amp; coal</c:v>
                </c:pt>
              </c:strCache>
            </c:strRef>
          </c:tx>
          <c:spPr>
            <a:ln w="22225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Charts!$A$52:$A$282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Charts!$D$52:$D$282</c:f>
              <c:numCache>
                <c:formatCode>General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63.4</c:v>
                </c:pt>
                <c:pt idx="133">
                  <c:v>62.2</c:v>
                </c:pt>
                <c:pt idx="134">
                  <c:v>61.5</c:v>
                </c:pt>
                <c:pt idx="135">
                  <c:v>62.4</c:v>
                </c:pt>
                <c:pt idx="136">
                  <c:v>61.5</c:v>
                </c:pt>
                <c:pt idx="137">
                  <c:v>61.9</c:v>
                </c:pt>
                <c:pt idx="138">
                  <c:v>64</c:v>
                </c:pt>
                <c:pt idx="139">
                  <c:v>61.2</c:v>
                </c:pt>
                <c:pt idx="140">
                  <c:v>59.7</c:v>
                </c:pt>
                <c:pt idx="141">
                  <c:v>59.5</c:v>
                </c:pt>
                <c:pt idx="142">
                  <c:v>58.2</c:v>
                </c:pt>
                <c:pt idx="143">
                  <c:v>59.7</c:v>
                </c:pt>
                <c:pt idx="144">
                  <c:v>64.400000000000006</c:v>
                </c:pt>
                <c:pt idx="145">
                  <c:v>65.2</c:v>
                </c:pt>
                <c:pt idx="146">
                  <c:v>63.3</c:v>
                </c:pt>
                <c:pt idx="147">
                  <c:v>65.2</c:v>
                </c:pt>
                <c:pt idx="148">
                  <c:v>70.5</c:v>
                </c:pt>
                <c:pt idx="149">
                  <c:v>70.8</c:v>
                </c:pt>
                <c:pt idx="150">
                  <c:v>72.7</c:v>
                </c:pt>
                <c:pt idx="151">
                  <c:v>77</c:v>
                </c:pt>
                <c:pt idx="152">
                  <c:v>77.599999999999994</c:v>
                </c:pt>
                <c:pt idx="153">
                  <c:v>75.3</c:v>
                </c:pt>
                <c:pt idx="154">
                  <c:v>75.3</c:v>
                </c:pt>
                <c:pt idx="155">
                  <c:v>77.3</c:v>
                </c:pt>
                <c:pt idx="156">
                  <c:v>78.400000000000006</c:v>
                </c:pt>
                <c:pt idx="157">
                  <c:v>81.3</c:v>
                </c:pt>
                <c:pt idx="158">
                  <c:v>84.3</c:v>
                </c:pt>
                <c:pt idx="159">
                  <c:v>89.6</c:v>
                </c:pt>
                <c:pt idx="160">
                  <c:v>95</c:v>
                </c:pt>
                <c:pt idx="161">
                  <c:v>92.5</c:v>
                </c:pt>
                <c:pt idx="162">
                  <c:v>84.9</c:v>
                </c:pt>
                <c:pt idx="163">
                  <c:v>81.3</c:v>
                </c:pt>
                <c:pt idx="164">
                  <c:v>84.6</c:v>
                </c:pt>
                <c:pt idx="165">
                  <c:v>87</c:v>
                </c:pt>
                <c:pt idx="166">
                  <c:v>85.7</c:v>
                </c:pt>
                <c:pt idx="167">
                  <c:v>86.2</c:v>
                </c:pt>
                <c:pt idx="168">
                  <c:v>87.2</c:v>
                </c:pt>
                <c:pt idx="169">
                  <c:v>85.8</c:v>
                </c:pt>
                <c:pt idx="170">
                  <c:v>90.4</c:v>
                </c:pt>
                <c:pt idx="171">
                  <c:v>96.4</c:v>
                </c:pt>
                <c:pt idx="172">
                  <c:v>95.7</c:v>
                </c:pt>
                <c:pt idx="173">
                  <c:v>98.2</c:v>
                </c:pt>
                <c:pt idx="174">
                  <c:v>100.5</c:v>
                </c:pt>
                <c:pt idx="175">
                  <c:v>105.5</c:v>
                </c:pt>
                <c:pt idx="176">
                  <c:v>103.2</c:v>
                </c:pt>
                <c:pt idx="177">
                  <c:v>101.8</c:v>
                </c:pt>
                <c:pt idx="178">
                  <c:v>98.4</c:v>
                </c:pt>
                <c:pt idx="179">
                  <c:v>95.6</c:v>
                </c:pt>
                <c:pt idx="180">
                  <c:v>100.3</c:v>
                </c:pt>
                <c:pt idx="181">
                  <c:v>99.3</c:v>
                </c:pt>
                <c:pt idx="182">
                  <c:v>104.1</c:v>
                </c:pt>
                <c:pt idx="183">
                  <c:v>100.7</c:v>
                </c:pt>
                <c:pt idx="184">
                  <c:v>99.5</c:v>
                </c:pt>
                <c:pt idx="185">
                  <c:v>98.5</c:v>
                </c:pt>
                <c:pt idx="186">
                  <c:v>94.4</c:v>
                </c:pt>
                <c:pt idx="187">
                  <c:v>90.8</c:v>
                </c:pt>
                <c:pt idx="188">
                  <c:v>94.5</c:v>
                </c:pt>
                <c:pt idx="189">
                  <c:v>93.2</c:v>
                </c:pt>
                <c:pt idx="190">
                  <c:v>86.3</c:v>
                </c:pt>
                <c:pt idx="191">
                  <c:v>87.1</c:v>
                </c:pt>
                <c:pt idx="192">
                  <c:v>89.6</c:v>
                </c:pt>
                <c:pt idx="193">
                  <c:v>94</c:v>
                </c:pt>
                <c:pt idx="194">
                  <c:v>96.4</c:v>
                </c:pt>
                <c:pt idx="195">
                  <c:v>96.5</c:v>
                </c:pt>
                <c:pt idx="196">
                  <c:v>97</c:v>
                </c:pt>
                <c:pt idx="197">
                  <c:v>99.4</c:v>
                </c:pt>
                <c:pt idx="198">
                  <c:v>103.4</c:v>
                </c:pt>
                <c:pt idx="199">
                  <c:v>106.8</c:v>
                </c:pt>
                <c:pt idx="200">
                  <c:v>111</c:v>
                </c:pt>
                <c:pt idx="201">
                  <c:v>111.6</c:v>
                </c:pt>
                <c:pt idx="202">
                  <c:v>107.9</c:v>
                </c:pt>
                <c:pt idx="203">
                  <c:v>109.9</c:v>
                </c:pt>
                <c:pt idx="204">
                  <c:v>108.1</c:v>
                </c:pt>
                <c:pt idx="205">
                  <c:v>108.2</c:v>
                </c:pt>
                <c:pt idx="206">
                  <c:v>107.6</c:v>
                </c:pt>
                <c:pt idx="207">
                  <c:v>101.6</c:v>
                </c:pt>
                <c:pt idx="208">
                  <c:v>96</c:v>
                </c:pt>
                <c:pt idx="209">
                  <c:v>96.3</c:v>
                </c:pt>
                <c:pt idx="210">
                  <c:v>101.8</c:v>
                </c:pt>
                <c:pt idx="211">
                  <c:v>100.7</c:v>
                </c:pt>
                <c:pt idx="212">
                  <c:v>105.7</c:v>
                </c:pt>
                <c:pt idx="213">
                  <c:v>110.2</c:v>
                </c:pt>
                <c:pt idx="214">
                  <c:v>116.5</c:v>
                </c:pt>
                <c:pt idx="215">
                  <c:v>118.9</c:v>
                </c:pt>
                <c:pt idx="216">
                  <c:v>123.5</c:v>
                </c:pt>
                <c:pt idx="217">
                  <c:v>134.30000000000001</c:v>
                </c:pt>
                <c:pt idx="218">
                  <c:v>125.8</c:v>
                </c:pt>
                <c:pt idx="219">
                  <c:v>124.7</c:v>
                </c:pt>
                <c:pt idx="220">
                  <c:v>126.8</c:v>
                </c:pt>
                <c:pt idx="221">
                  <c:v>132</c:v>
                </c:pt>
                <c:pt idx="222">
                  <c:v>126.1</c:v>
                </c:pt>
                <c:pt idx="223">
                  <c:v>128</c:v>
                </c:pt>
                <c:pt idx="224">
                  <c:v>124.6</c:v>
                </c:pt>
                <c:pt idx="225">
                  <c:v>126.2</c:v>
                </c:pt>
                <c:pt idx="226">
                  <c:v>131.6</c:v>
                </c:pt>
                <c:pt idx="227">
                  <c:v>129.69999999999999</c:v>
                </c:pt>
                <c:pt idx="228">
                  <c:v>128.9</c:v>
                </c:pt>
                <c:pt idx="229">
                  <c:v>128.9</c:v>
                </c:pt>
                <c:pt idx="230">
                  <c:v>132.6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3D-41DD-9B2A-A4AD6CAE4CCD}"/>
            </c:ext>
          </c:extLst>
        </c:ser>
        <c:ser>
          <c:idx val="3"/>
          <c:order val="3"/>
          <c:tx>
            <c:strRef>
              <c:f>Charts!$E$51</c:f>
              <c:strCache>
                <c:ptCount val="1"/>
                <c:pt idx="0">
                  <c:v>Natural gas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Charts!$A$52:$A$282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Charts!$E$52:$E$282</c:f>
              <c:numCache>
                <c:formatCode>General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17.899999999999999</c:v>
                </c:pt>
                <c:pt idx="7">
                  <c:v>15.6</c:v>
                </c:pt>
                <c:pt idx="8">
                  <c:v>14.7</c:v>
                </c:pt>
                <c:pt idx="9">
                  <c:v>13.7</c:v>
                </c:pt>
                <c:pt idx="10">
                  <c:v>12.9</c:v>
                </c:pt>
                <c:pt idx="11">
                  <c:v>12.7</c:v>
                </c:pt>
                <c:pt idx="12">
                  <c:v>13</c:v>
                </c:pt>
                <c:pt idx="13">
                  <c:v>12.1</c:v>
                </c:pt>
                <c:pt idx="14">
                  <c:v>12.1</c:v>
                </c:pt>
                <c:pt idx="15">
                  <c:v>11.3</c:v>
                </c:pt>
                <c:pt idx="16">
                  <c:v>11.6</c:v>
                </c:pt>
                <c:pt idx="17">
                  <c:v>10.9</c:v>
                </c:pt>
                <c:pt idx="18">
                  <c:v>11.7</c:v>
                </c:pt>
                <c:pt idx="19">
                  <c:v>11.3</c:v>
                </c:pt>
                <c:pt idx="20">
                  <c:v>11.5</c:v>
                </c:pt>
                <c:pt idx="21">
                  <c:v>11.2</c:v>
                </c:pt>
                <c:pt idx="22">
                  <c:v>11.2</c:v>
                </c:pt>
                <c:pt idx="23">
                  <c:v>11.5</c:v>
                </c:pt>
                <c:pt idx="24">
                  <c:v>12.7</c:v>
                </c:pt>
                <c:pt idx="25">
                  <c:v>12.7</c:v>
                </c:pt>
                <c:pt idx="26">
                  <c:v>14.6</c:v>
                </c:pt>
                <c:pt idx="27">
                  <c:v>16.399999999999999</c:v>
                </c:pt>
                <c:pt idx="28">
                  <c:v>16.5</c:v>
                </c:pt>
                <c:pt idx="29">
                  <c:v>16.5</c:v>
                </c:pt>
                <c:pt idx="30">
                  <c:v>17.3</c:v>
                </c:pt>
                <c:pt idx="31">
                  <c:v>16.899999999999999</c:v>
                </c:pt>
                <c:pt idx="32">
                  <c:v>17.600000000000001</c:v>
                </c:pt>
                <c:pt idx="33">
                  <c:v>17.8</c:v>
                </c:pt>
                <c:pt idx="34">
                  <c:v>15.8</c:v>
                </c:pt>
                <c:pt idx="35">
                  <c:v>13.4</c:v>
                </c:pt>
                <c:pt idx="36">
                  <c:v>13.5</c:v>
                </c:pt>
                <c:pt idx="37">
                  <c:v>13.4</c:v>
                </c:pt>
                <c:pt idx="38">
                  <c:v>14.3</c:v>
                </c:pt>
                <c:pt idx="39">
                  <c:v>14.2</c:v>
                </c:pt>
                <c:pt idx="40">
                  <c:v>14.3</c:v>
                </c:pt>
                <c:pt idx="41">
                  <c:v>14.6</c:v>
                </c:pt>
                <c:pt idx="42">
                  <c:v>15</c:v>
                </c:pt>
                <c:pt idx="43">
                  <c:v>15</c:v>
                </c:pt>
                <c:pt idx="44">
                  <c:v>15.3</c:v>
                </c:pt>
                <c:pt idx="45">
                  <c:v>15.3</c:v>
                </c:pt>
                <c:pt idx="46">
                  <c:v>16.2</c:v>
                </c:pt>
                <c:pt idx="47">
                  <c:v>16.2</c:v>
                </c:pt>
                <c:pt idx="48">
                  <c:v>17</c:v>
                </c:pt>
                <c:pt idx="49">
                  <c:v>17</c:v>
                </c:pt>
                <c:pt idx="50">
                  <c:v>17.399999999999999</c:v>
                </c:pt>
                <c:pt idx="51">
                  <c:v>17.3</c:v>
                </c:pt>
                <c:pt idx="52">
                  <c:v>18.399999999999999</c:v>
                </c:pt>
                <c:pt idx="53">
                  <c:v>18.8</c:v>
                </c:pt>
                <c:pt idx="54">
                  <c:v>21.1</c:v>
                </c:pt>
                <c:pt idx="55">
                  <c:v>21.4</c:v>
                </c:pt>
                <c:pt idx="56">
                  <c:v>23</c:v>
                </c:pt>
                <c:pt idx="57">
                  <c:v>24.8</c:v>
                </c:pt>
                <c:pt idx="58">
                  <c:v>28</c:v>
                </c:pt>
                <c:pt idx="59">
                  <c:v>28.2</c:v>
                </c:pt>
                <c:pt idx="60">
                  <c:v>30.5</c:v>
                </c:pt>
                <c:pt idx="61">
                  <c:v>31.1</c:v>
                </c:pt>
                <c:pt idx="62">
                  <c:v>33.1</c:v>
                </c:pt>
                <c:pt idx="63">
                  <c:v>33.799999999999997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35.4</c:v>
                </c:pt>
                <c:pt idx="68">
                  <c:v>36.200000000000003</c:v>
                </c:pt>
                <c:pt idx="69">
                  <c:v>36.799999999999997</c:v>
                </c:pt>
                <c:pt idx="70">
                  <c:v>37.1</c:v>
                </c:pt>
                <c:pt idx="71">
                  <c:v>38.200000000000003</c:v>
                </c:pt>
                <c:pt idx="72">
                  <c:v>39.299999999999997</c:v>
                </c:pt>
                <c:pt idx="73">
                  <c:v>40</c:v>
                </c:pt>
                <c:pt idx="74">
                  <c:v>40.4</c:v>
                </c:pt>
                <c:pt idx="75">
                  <c:v>43.7</c:v>
                </c:pt>
                <c:pt idx="76">
                  <c:v>42.9</c:v>
                </c:pt>
                <c:pt idx="77">
                  <c:v>44.7</c:v>
                </c:pt>
                <c:pt idx="78">
                  <c:v>45.5</c:v>
                </c:pt>
                <c:pt idx="79">
                  <c:v>45.4</c:v>
                </c:pt>
                <c:pt idx="80">
                  <c:v>47.4</c:v>
                </c:pt>
                <c:pt idx="81">
                  <c:v>48.7</c:v>
                </c:pt>
                <c:pt idx="82">
                  <c:v>49.7</c:v>
                </c:pt>
                <c:pt idx="83">
                  <c:v>49.9</c:v>
                </c:pt>
                <c:pt idx="84">
                  <c:v>53.2</c:v>
                </c:pt>
                <c:pt idx="85">
                  <c:v>53.3</c:v>
                </c:pt>
                <c:pt idx="86">
                  <c:v>53.6</c:v>
                </c:pt>
                <c:pt idx="87">
                  <c:v>53.9</c:v>
                </c:pt>
                <c:pt idx="88">
                  <c:v>55.1</c:v>
                </c:pt>
                <c:pt idx="89">
                  <c:v>54.6</c:v>
                </c:pt>
                <c:pt idx="90">
                  <c:v>54.4</c:v>
                </c:pt>
                <c:pt idx="91">
                  <c:v>54.1</c:v>
                </c:pt>
                <c:pt idx="92">
                  <c:v>56</c:v>
                </c:pt>
                <c:pt idx="93">
                  <c:v>56</c:v>
                </c:pt>
                <c:pt idx="94">
                  <c:v>55.8</c:v>
                </c:pt>
                <c:pt idx="95">
                  <c:v>55.7</c:v>
                </c:pt>
                <c:pt idx="96">
                  <c:v>56.4</c:v>
                </c:pt>
                <c:pt idx="97">
                  <c:v>56.6</c:v>
                </c:pt>
                <c:pt idx="98">
                  <c:v>56.6</c:v>
                </c:pt>
                <c:pt idx="99">
                  <c:v>56.5</c:v>
                </c:pt>
                <c:pt idx="100">
                  <c:v>56.7</c:v>
                </c:pt>
                <c:pt idx="101">
                  <c:v>56.6</c:v>
                </c:pt>
                <c:pt idx="102">
                  <c:v>56.2</c:v>
                </c:pt>
                <c:pt idx="103">
                  <c:v>56.5</c:v>
                </c:pt>
                <c:pt idx="104">
                  <c:v>56.1</c:v>
                </c:pt>
                <c:pt idx="105">
                  <c:v>56.2</c:v>
                </c:pt>
                <c:pt idx="106">
                  <c:v>56.5</c:v>
                </c:pt>
                <c:pt idx="107">
                  <c:v>56.9</c:v>
                </c:pt>
                <c:pt idx="108">
                  <c:v>57.6</c:v>
                </c:pt>
                <c:pt idx="109">
                  <c:v>57.5</c:v>
                </c:pt>
                <c:pt idx="110">
                  <c:v>57.9</c:v>
                </c:pt>
                <c:pt idx="111">
                  <c:v>58.1</c:v>
                </c:pt>
                <c:pt idx="112">
                  <c:v>58.6</c:v>
                </c:pt>
                <c:pt idx="113">
                  <c:v>59</c:v>
                </c:pt>
                <c:pt idx="114">
                  <c:v>58.8</c:v>
                </c:pt>
                <c:pt idx="115">
                  <c:v>58.2</c:v>
                </c:pt>
                <c:pt idx="116">
                  <c:v>58.9</c:v>
                </c:pt>
                <c:pt idx="117">
                  <c:v>59.5</c:v>
                </c:pt>
                <c:pt idx="118">
                  <c:v>57.3</c:v>
                </c:pt>
                <c:pt idx="119">
                  <c:v>57.3</c:v>
                </c:pt>
                <c:pt idx="120">
                  <c:v>57</c:v>
                </c:pt>
                <c:pt idx="121">
                  <c:v>57.6</c:v>
                </c:pt>
                <c:pt idx="122">
                  <c:v>57.2</c:v>
                </c:pt>
                <c:pt idx="123">
                  <c:v>57.7</c:v>
                </c:pt>
                <c:pt idx="124">
                  <c:v>57.9</c:v>
                </c:pt>
                <c:pt idx="125">
                  <c:v>61.4</c:v>
                </c:pt>
                <c:pt idx="126">
                  <c:v>64.599999999999994</c:v>
                </c:pt>
                <c:pt idx="127">
                  <c:v>65.5</c:v>
                </c:pt>
                <c:pt idx="128">
                  <c:v>64.099999999999994</c:v>
                </c:pt>
                <c:pt idx="129">
                  <c:v>64.900000000000006</c:v>
                </c:pt>
                <c:pt idx="130">
                  <c:v>64.400000000000006</c:v>
                </c:pt>
                <c:pt idx="131">
                  <c:v>65.099999999999994</c:v>
                </c:pt>
                <c:pt idx="132">
                  <c:v>65.5</c:v>
                </c:pt>
                <c:pt idx="133">
                  <c:v>63.6</c:v>
                </c:pt>
                <c:pt idx="134">
                  <c:v>64.599999999999994</c:v>
                </c:pt>
                <c:pt idx="135">
                  <c:v>66.5</c:v>
                </c:pt>
                <c:pt idx="136">
                  <c:v>66.2</c:v>
                </c:pt>
                <c:pt idx="137">
                  <c:v>63.8</c:v>
                </c:pt>
                <c:pt idx="138">
                  <c:v>67</c:v>
                </c:pt>
                <c:pt idx="139">
                  <c:v>65.8</c:v>
                </c:pt>
                <c:pt idx="140">
                  <c:v>66.400000000000006</c:v>
                </c:pt>
                <c:pt idx="141">
                  <c:v>65.3</c:v>
                </c:pt>
                <c:pt idx="142">
                  <c:v>65.2</c:v>
                </c:pt>
                <c:pt idx="143">
                  <c:v>63.7</c:v>
                </c:pt>
                <c:pt idx="144">
                  <c:v>66.900000000000006</c:v>
                </c:pt>
                <c:pt idx="145">
                  <c:v>67.2</c:v>
                </c:pt>
                <c:pt idx="146">
                  <c:v>67.400000000000006</c:v>
                </c:pt>
                <c:pt idx="147">
                  <c:v>67.5</c:v>
                </c:pt>
                <c:pt idx="148">
                  <c:v>68.599999999999994</c:v>
                </c:pt>
                <c:pt idx="149">
                  <c:v>68.900000000000006</c:v>
                </c:pt>
                <c:pt idx="150">
                  <c:v>69.400000000000006</c:v>
                </c:pt>
                <c:pt idx="151">
                  <c:v>69.5</c:v>
                </c:pt>
                <c:pt idx="152">
                  <c:v>69.900000000000006</c:v>
                </c:pt>
                <c:pt idx="153">
                  <c:v>69.599999999999994</c:v>
                </c:pt>
                <c:pt idx="154">
                  <c:v>70</c:v>
                </c:pt>
                <c:pt idx="155">
                  <c:v>70.8</c:v>
                </c:pt>
                <c:pt idx="156">
                  <c:v>70.599999999999994</c:v>
                </c:pt>
                <c:pt idx="157">
                  <c:v>72</c:v>
                </c:pt>
                <c:pt idx="158">
                  <c:v>70.400000000000006</c:v>
                </c:pt>
                <c:pt idx="159">
                  <c:v>73.5</c:v>
                </c:pt>
                <c:pt idx="160">
                  <c:v>74.2</c:v>
                </c:pt>
                <c:pt idx="161">
                  <c:v>76.7</c:v>
                </c:pt>
                <c:pt idx="162">
                  <c:v>80.2</c:v>
                </c:pt>
                <c:pt idx="163">
                  <c:v>80.5</c:v>
                </c:pt>
                <c:pt idx="164">
                  <c:v>80.7</c:v>
                </c:pt>
                <c:pt idx="165">
                  <c:v>82</c:v>
                </c:pt>
                <c:pt idx="166">
                  <c:v>86.3</c:v>
                </c:pt>
                <c:pt idx="167">
                  <c:v>91</c:v>
                </c:pt>
                <c:pt idx="168">
                  <c:v>92.6</c:v>
                </c:pt>
                <c:pt idx="169">
                  <c:v>92.7</c:v>
                </c:pt>
                <c:pt idx="170">
                  <c:v>95.3</c:v>
                </c:pt>
                <c:pt idx="171">
                  <c:v>99</c:v>
                </c:pt>
                <c:pt idx="172">
                  <c:v>98.4</c:v>
                </c:pt>
                <c:pt idx="173">
                  <c:v>99.4</c:v>
                </c:pt>
                <c:pt idx="174">
                  <c:v>101</c:v>
                </c:pt>
                <c:pt idx="175">
                  <c:v>101.2</c:v>
                </c:pt>
                <c:pt idx="176">
                  <c:v>101.3</c:v>
                </c:pt>
                <c:pt idx="177">
                  <c:v>109.5</c:v>
                </c:pt>
                <c:pt idx="178">
                  <c:v>112.7</c:v>
                </c:pt>
                <c:pt idx="179">
                  <c:v>115.5</c:v>
                </c:pt>
                <c:pt idx="180">
                  <c:v>116.5</c:v>
                </c:pt>
                <c:pt idx="181">
                  <c:v>115.9</c:v>
                </c:pt>
                <c:pt idx="182">
                  <c:v>119.5</c:v>
                </c:pt>
                <c:pt idx="183">
                  <c:v>118.8</c:v>
                </c:pt>
                <c:pt idx="184">
                  <c:v>107.6</c:v>
                </c:pt>
                <c:pt idx="185">
                  <c:v>105.8</c:v>
                </c:pt>
                <c:pt idx="186">
                  <c:v>107.8</c:v>
                </c:pt>
                <c:pt idx="187">
                  <c:v>105.8</c:v>
                </c:pt>
                <c:pt idx="188">
                  <c:v>98.9</c:v>
                </c:pt>
                <c:pt idx="189">
                  <c:v>98.7</c:v>
                </c:pt>
                <c:pt idx="190">
                  <c:v>100.3</c:v>
                </c:pt>
                <c:pt idx="191">
                  <c:v>98.2</c:v>
                </c:pt>
                <c:pt idx="192">
                  <c:v>97</c:v>
                </c:pt>
                <c:pt idx="193">
                  <c:v>99.8</c:v>
                </c:pt>
                <c:pt idx="194">
                  <c:v>104.7</c:v>
                </c:pt>
                <c:pt idx="195">
                  <c:v>107</c:v>
                </c:pt>
                <c:pt idx="196">
                  <c:v>114.5</c:v>
                </c:pt>
                <c:pt idx="197">
                  <c:v>121.6</c:v>
                </c:pt>
                <c:pt idx="198">
                  <c:v>131</c:v>
                </c:pt>
                <c:pt idx="199">
                  <c:v>131.69999999999999</c:v>
                </c:pt>
                <c:pt idx="200">
                  <c:v>130</c:v>
                </c:pt>
                <c:pt idx="201">
                  <c:v>128.19999999999999</c:v>
                </c:pt>
                <c:pt idx="202">
                  <c:v>128.1</c:v>
                </c:pt>
                <c:pt idx="203">
                  <c:v>129.19999999999999</c:v>
                </c:pt>
                <c:pt idx="204">
                  <c:v>128.30000000000001</c:v>
                </c:pt>
                <c:pt idx="205">
                  <c:v>126.9</c:v>
                </c:pt>
                <c:pt idx="206">
                  <c:v>128.1</c:v>
                </c:pt>
                <c:pt idx="207">
                  <c:v>128.1</c:v>
                </c:pt>
                <c:pt idx="208">
                  <c:v>127.5</c:v>
                </c:pt>
                <c:pt idx="209">
                  <c:v>126.4</c:v>
                </c:pt>
                <c:pt idx="210">
                  <c:v>123.1</c:v>
                </c:pt>
                <c:pt idx="211">
                  <c:v>119</c:v>
                </c:pt>
                <c:pt idx="212">
                  <c:v>124.9</c:v>
                </c:pt>
                <c:pt idx="213">
                  <c:v>122.8</c:v>
                </c:pt>
                <c:pt idx="214">
                  <c:v>130.5</c:v>
                </c:pt>
                <c:pt idx="215">
                  <c:v>131.69999999999999</c:v>
                </c:pt>
                <c:pt idx="216">
                  <c:v>182.6</c:v>
                </c:pt>
                <c:pt idx="217">
                  <c:v>148.19999999999999</c:v>
                </c:pt>
                <c:pt idx="218">
                  <c:v>189.8</c:v>
                </c:pt>
                <c:pt idx="219">
                  <c:v>195.3</c:v>
                </c:pt>
                <c:pt idx="220">
                  <c:v>198.2</c:v>
                </c:pt>
                <c:pt idx="221">
                  <c:v>188.4</c:v>
                </c:pt>
                <c:pt idx="222">
                  <c:v>191.9</c:v>
                </c:pt>
                <c:pt idx="223">
                  <c:v>187.8</c:v>
                </c:pt>
                <c:pt idx="224">
                  <c:v>189.9</c:v>
                </c:pt>
                <c:pt idx="225">
                  <c:v>191</c:v>
                </c:pt>
                <c:pt idx="226">
                  <c:v>189.6</c:v>
                </c:pt>
                <c:pt idx="227">
                  <c:v>185.3</c:v>
                </c:pt>
                <c:pt idx="228">
                  <c:v>187.3</c:v>
                </c:pt>
                <c:pt idx="229">
                  <c:v>188.1</c:v>
                </c:pt>
                <c:pt idx="230">
                  <c:v>187.3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3D-41DD-9B2A-A4AD6CAE4CCD}"/>
            </c:ext>
          </c:extLst>
        </c:ser>
        <c:ser>
          <c:idx val="4"/>
          <c:order val="4"/>
          <c:tx>
            <c:strRef>
              <c:f>Charts!$F$51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Charts!$A$52:$A$282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Charts!$F$52:$F$282</c:f>
              <c:numCache>
                <c:formatCode>General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11.8</c:v>
                </c:pt>
                <c:pt idx="7">
                  <c:v>12</c:v>
                </c:pt>
                <c:pt idx="8">
                  <c:v>12.3</c:v>
                </c:pt>
                <c:pt idx="9">
                  <c:v>12.2</c:v>
                </c:pt>
                <c:pt idx="10">
                  <c:v>12.2</c:v>
                </c:pt>
                <c:pt idx="11">
                  <c:v>12.2</c:v>
                </c:pt>
                <c:pt idx="12">
                  <c:v>12.4</c:v>
                </c:pt>
                <c:pt idx="13">
                  <c:v>12.4</c:v>
                </c:pt>
                <c:pt idx="14">
                  <c:v>12.7</c:v>
                </c:pt>
                <c:pt idx="15">
                  <c:v>12.5</c:v>
                </c:pt>
                <c:pt idx="16">
                  <c:v>12.8</c:v>
                </c:pt>
                <c:pt idx="17">
                  <c:v>12.6</c:v>
                </c:pt>
                <c:pt idx="18">
                  <c:v>12.8</c:v>
                </c:pt>
                <c:pt idx="19">
                  <c:v>12.8</c:v>
                </c:pt>
                <c:pt idx="20">
                  <c:v>13</c:v>
                </c:pt>
                <c:pt idx="21">
                  <c:v>13.3</c:v>
                </c:pt>
                <c:pt idx="22">
                  <c:v>13.7</c:v>
                </c:pt>
                <c:pt idx="23">
                  <c:v>14</c:v>
                </c:pt>
                <c:pt idx="24">
                  <c:v>14.3</c:v>
                </c:pt>
                <c:pt idx="25">
                  <c:v>14.6</c:v>
                </c:pt>
                <c:pt idx="26">
                  <c:v>16.2</c:v>
                </c:pt>
                <c:pt idx="27">
                  <c:v>16.3</c:v>
                </c:pt>
                <c:pt idx="28">
                  <c:v>16.5</c:v>
                </c:pt>
                <c:pt idx="29">
                  <c:v>16.399999999999999</c:v>
                </c:pt>
                <c:pt idx="30">
                  <c:v>17.5</c:v>
                </c:pt>
                <c:pt idx="31">
                  <c:v>17.600000000000001</c:v>
                </c:pt>
                <c:pt idx="32">
                  <c:v>17.5</c:v>
                </c:pt>
                <c:pt idx="33">
                  <c:v>17.600000000000001</c:v>
                </c:pt>
                <c:pt idx="34">
                  <c:v>19.2</c:v>
                </c:pt>
                <c:pt idx="35">
                  <c:v>19</c:v>
                </c:pt>
                <c:pt idx="36">
                  <c:v>19</c:v>
                </c:pt>
                <c:pt idx="37">
                  <c:v>19.3</c:v>
                </c:pt>
                <c:pt idx="38">
                  <c:v>20.3</c:v>
                </c:pt>
                <c:pt idx="39">
                  <c:v>20.7</c:v>
                </c:pt>
                <c:pt idx="40">
                  <c:v>20.8</c:v>
                </c:pt>
                <c:pt idx="41">
                  <c:v>21.1</c:v>
                </c:pt>
                <c:pt idx="42">
                  <c:v>21.9</c:v>
                </c:pt>
                <c:pt idx="43">
                  <c:v>21.8</c:v>
                </c:pt>
                <c:pt idx="44">
                  <c:v>22.1</c:v>
                </c:pt>
                <c:pt idx="45">
                  <c:v>22.6</c:v>
                </c:pt>
                <c:pt idx="46">
                  <c:v>23.6</c:v>
                </c:pt>
                <c:pt idx="47">
                  <c:v>23.6</c:v>
                </c:pt>
                <c:pt idx="48">
                  <c:v>24.4</c:v>
                </c:pt>
                <c:pt idx="49">
                  <c:v>24.9</c:v>
                </c:pt>
                <c:pt idx="50">
                  <c:v>27</c:v>
                </c:pt>
                <c:pt idx="51">
                  <c:v>27.2</c:v>
                </c:pt>
                <c:pt idx="52">
                  <c:v>27.9</c:v>
                </c:pt>
                <c:pt idx="53">
                  <c:v>29.5</c:v>
                </c:pt>
                <c:pt idx="54">
                  <c:v>33.5</c:v>
                </c:pt>
                <c:pt idx="55">
                  <c:v>33.9</c:v>
                </c:pt>
                <c:pt idx="56">
                  <c:v>39.799999999999997</c:v>
                </c:pt>
                <c:pt idx="57">
                  <c:v>41.7</c:v>
                </c:pt>
                <c:pt idx="58">
                  <c:v>41.3</c:v>
                </c:pt>
                <c:pt idx="59">
                  <c:v>41.3</c:v>
                </c:pt>
                <c:pt idx="60">
                  <c:v>42.1</c:v>
                </c:pt>
                <c:pt idx="61">
                  <c:v>43.4</c:v>
                </c:pt>
                <c:pt idx="62">
                  <c:v>43.7</c:v>
                </c:pt>
                <c:pt idx="63">
                  <c:v>43.7</c:v>
                </c:pt>
                <c:pt idx="64">
                  <c:v>44.2</c:v>
                </c:pt>
                <c:pt idx="65">
                  <c:v>44.5</c:v>
                </c:pt>
                <c:pt idx="66">
                  <c:v>44.7</c:v>
                </c:pt>
                <c:pt idx="67">
                  <c:v>44.8</c:v>
                </c:pt>
                <c:pt idx="68">
                  <c:v>46</c:v>
                </c:pt>
                <c:pt idx="69">
                  <c:v>45.4</c:v>
                </c:pt>
                <c:pt idx="70">
                  <c:v>45.6</c:v>
                </c:pt>
                <c:pt idx="71">
                  <c:v>46.3</c:v>
                </c:pt>
                <c:pt idx="72">
                  <c:v>47.5</c:v>
                </c:pt>
                <c:pt idx="73">
                  <c:v>47.7</c:v>
                </c:pt>
                <c:pt idx="74">
                  <c:v>47.9</c:v>
                </c:pt>
                <c:pt idx="75">
                  <c:v>48.2</c:v>
                </c:pt>
                <c:pt idx="76">
                  <c:v>49.8</c:v>
                </c:pt>
                <c:pt idx="77">
                  <c:v>49.9</c:v>
                </c:pt>
                <c:pt idx="78">
                  <c:v>49.9</c:v>
                </c:pt>
                <c:pt idx="79">
                  <c:v>50.5</c:v>
                </c:pt>
                <c:pt idx="80">
                  <c:v>52.4</c:v>
                </c:pt>
                <c:pt idx="81">
                  <c:v>52.5</c:v>
                </c:pt>
                <c:pt idx="82">
                  <c:v>52.8</c:v>
                </c:pt>
                <c:pt idx="83">
                  <c:v>53</c:v>
                </c:pt>
                <c:pt idx="84">
                  <c:v>54.8</c:v>
                </c:pt>
                <c:pt idx="85">
                  <c:v>54.9</c:v>
                </c:pt>
                <c:pt idx="86">
                  <c:v>55.3</c:v>
                </c:pt>
                <c:pt idx="87">
                  <c:v>55.1</c:v>
                </c:pt>
                <c:pt idx="88">
                  <c:v>57.2</c:v>
                </c:pt>
                <c:pt idx="89">
                  <c:v>57.5</c:v>
                </c:pt>
                <c:pt idx="90">
                  <c:v>57.4</c:v>
                </c:pt>
                <c:pt idx="91">
                  <c:v>57.6</c:v>
                </c:pt>
                <c:pt idx="92">
                  <c:v>58.6</c:v>
                </c:pt>
                <c:pt idx="93">
                  <c:v>59.4</c:v>
                </c:pt>
                <c:pt idx="94">
                  <c:v>59.4</c:v>
                </c:pt>
                <c:pt idx="95">
                  <c:v>59.6</c:v>
                </c:pt>
                <c:pt idx="96">
                  <c:v>59.7</c:v>
                </c:pt>
                <c:pt idx="97">
                  <c:v>59.3</c:v>
                </c:pt>
                <c:pt idx="98">
                  <c:v>59.1</c:v>
                </c:pt>
                <c:pt idx="99">
                  <c:v>59.1</c:v>
                </c:pt>
                <c:pt idx="100">
                  <c:v>59.4</c:v>
                </c:pt>
                <c:pt idx="101">
                  <c:v>59.3</c:v>
                </c:pt>
                <c:pt idx="102">
                  <c:v>59</c:v>
                </c:pt>
                <c:pt idx="103">
                  <c:v>58.8</c:v>
                </c:pt>
                <c:pt idx="104">
                  <c:v>57.8</c:v>
                </c:pt>
                <c:pt idx="105">
                  <c:v>58.1</c:v>
                </c:pt>
                <c:pt idx="106">
                  <c:v>58.6</c:v>
                </c:pt>
                <c:pt idx="107">
                  <c:v>58.4</c:v>
                </c:pt>
                <c:pt idx="108">
                  <c:v>59.2</c:v>
                </c:pt>
                <c:pt idx="109">
                  <c:v>59.6</c:v>
                </c:pt>
                <c:pt idx="110">
                  <c:v>59.8</c:v>
                </c:pt>
                <c:pt idx="111">
                  <c:v>58.9</c:v>
                </c:pt>
                <c:pt idx="112">
                  <c:v>59.5</c:v>
                </c:pt>
                <c:pt idx="113">
                  <c:v>59.1</c:v>
                </c:pt>
                <c:pt idx="114">
                  <c:v>59.5</c:v>
                </c:pt>
                <c:pt idx="115">
                  <c:v>59.7</c:v>
                </c:pt>
                <c:pt idx="116">
                  <c:v>59.7</c:v>
                </c:pt>
                <c:pt idx="117">
                  <c:v>58.4</c:v>
                </c:pt>
                <c:pt idx="118">
                  <c:v>58.4</c:v>
                </c:pt>
                <c:pt idx="119">
                  <c:v>58.1</c:v>
                </c:pt>
                <c:pt idx="120">
                  <c:v>56.2</c:v>
                </c:pt>
                <c:pt idx="121">
                  <c:v>55.1</c:v>
                </c:pt>
                <c:pt idx="122">
                  <c:v>53.4</c:v>
                </c:pt>
                <c:pt idx="123">
                  <c:v>53.6</c:v>
                </c:pt>
                <c:pt idx="124">
                  <c:v>57</c:v>
                </c:pt>
                <c:pt idx="125">
                  <c:v>58.9</c:v>
                </c:pt>
                <c:pt idx="126">
                  <c:v>57.9</c:v>
                </c:pt>
                <c:pt idx="127">
                  <c:v>55.7</c:v>
                </c:pt>
                <c:pt idx="128">
                  <c:v>53.5</c:v>
                </c:pt>
                <c:pt idx="129">
                  <c:v>54.5</c:v>
                </c:pt>
                <c:pt idx="130">
                  <c:v>55.4</c:v>
                </c:pt>
                <c:pt idx="131">
                  <c:v>55.8</c:v>
                </c:pt>
                <c:pt idx="132">
                  <c:v>54.1</c:v>
                </c:pt>
                <c:pt idx="133">
                  <c:v>55.2</c:v>
                </c:pt>
                <c:pt idx="134">
                  <c:v>56.3</c:v>
                </c:pt>
                <c:pt idx="135">
                  <c:v>58.9</c:v>
                </c:pt>
                <c:pt idx="136">
                  <c:v>60.7</c:v>
                </c:pt>
                <c:pt idx="137">
                  <c:v>60.3</c:v>
                </c:pt>
                <c:pt idx="138">
                  <c:v>62.4</c:v>
                </c:pt>
                <c:pt idx="139">
                  <c:v>61.8</c:v>
                </c:pt>
                <c:pt idx="140">
                  <c:v>63.3</c:v>
                </c:pt>
                <c:pt idx="141">
                  <c:v>63.4</c:v>
                </c:pt>
                <c:pt idx="142">
                  <c:v>64.099999999999994</c:v>
                </c:pt>
                <c:pt idx="143">
                  <c:v>62.8</c:v>
                </c:pt>
                <c:pt idx="144">
                  <c:v>60.9</c:v>
                </c:pt>
                <c:pt idx="145">
                  <c:v>61.4</c:v>
                </c:pt>
                <c:pt idx="146">
                  <c:v>61.9</c:v>
                </c:pt>
                <c:pt idx="147">
                  <c:v>62.7</c:v>
                </c:pt>
                <c:pt idx="148">
                  <c:v>63.4</c:v>
                </c:pt>
                <c:pt idx="149">
                  <c:v>63.8</c:v>
                </c:pt>
                <c:pt idx="150">
                  <c:v>65</c:v>
                </c:pt>
                <c:pt idx="151">
                  <c:v>63.5</c:v>
                </c:pt>
                <c:pt idx="152">
                  <c:v>63.7</c:v>
                </c:pt>
                <c:pt idx="153">
                  <c:v>63.3</c:v>
                </c:pt>
                <c:pt idx="154">
                  <c:v>64.400000000000006</c:v>
                </c:pt>
                <c:pt idx="155">
                  <c:v>65.599999999999994</c:v>
                </c:pt>
                <c:pt idx="156">
                  <c:v>67.3</c:v>
                </c:pt>
                <c:pt idx="157">
                  <c:v>68.5</c:v>
                </c:pt>
                <c:pt idx="158">
                  <c:v>70.400000000000006</c:v>
                </c:pt>
                <c:pt idx="159">
                  <c:v>74.8</c:v>
                </c:pt>
                <c:pt idx="160">
                  <c:v>73.7</c:v>
                </c:pt>
                <c:pt idx="161">
                  <c:v>76.7</c:v>
                </c:pt>
                <c:pt idx="162">
                  <c:v>76.599999999999994</c:v>
                </c:pt>
                <c:pt idx="163">
                  <c:v>79.7</c:v>
                </c:pt>
                <c:pt idx="164">
                  <c:v>79.099999999999994</c:v>
                </c:pt>
                <c:pt idx="165">
                  <c:v>80.400000000000006</c:v>
                </c:pt>
                <c:pt idx="166">
                  <c:v>83.2</c:v>
                </c:pt>
                <c:pt idx="167">
                  <c:v>87.7</c:v>
                </c:pt>
                <c:pt idx="168">
                  <c:v>87.9</c:v>
                </c:pt>
                <c:pt idx="169">
                  <c:v>91.5</c:v>
                </c:pt>
                <c:pt idx="170">
                  <c:v>93.5</c:v>
                </c:pt>
                <c:pt idx="171">
                  <c:v>96.2</c:v>
                </c:pt>
                <c:pt idx="172">
                  <c:v>96.6</c:v>
                </c:pt>
                <c:pt idx="173">
                  <c:v>98.6</c:v>
                </c:pt>
                <c:pt idx="174">
                  <c:v>98.8</c:v>
                </c:pt>
                <c:pt idx="175">
                  <c:v>106</c:v>
                </c:pt>
                <c:pt idx="176">
                  <c:v>113.2</c:v>
                </c:pt>
                <c:pt idx="177">
                  <c:v>124.3</c:v>
                </c:pt>
                <c:pt idx="178">
                  <c:v>125.4</c:v>
                </c:pt>
                <c:pt idx="179">
                  <c:v>125.3</c:v>
                </c:pt>
                <c:pt idx="180">
                  <c:v>126.4</c:v>
                </c:pt>
                <c:pt idx="181">
                  <c:v>126.9</c:v>
                </c:pt>
                <c:pt idx="182">
                  <c:v>129.1</c:v>
                </c:pt>
                <c:pt idx="183">
                  <c:v>127.9</c:v>
                </c:pt>
                <c:pt idx="184">
                  <c:v>120.2</c:v>
                </c:pt>
                <c:pt idx="185">
                  <c:v>120.3</c:v>
                </c:pt>
                <c:pt idx="186">
                  <c:v>120</c:v>
                </c:pt>
                <c:pt idx="187">
                  <c:v>120.3</c:v>
                </c:pt>
                <c:pt idx="188">
                  <c:v>116.1</c:v>
                </c:pt>
                <c:pt idx="189">
                  <c:v>115.6</c:v>
                </c:pt>
                <c:pt idx="190">
                  <c:v>114.9</c:v>
                </c:pt>
                <c:pt idx="191">
                  <c:v>118.4</c:v>
                </c:pt>
                <c:pt idx="192">
                  <c:v>120.4</c:v>
                </c:pt>
                <c:pt idx="193">
                  <c:v>120.1</c:v>
                </c:pt>
                <c:pt idx="194">
                  <c:v>128.4</c:v>
                </c:pt>
                <c:pt idx="195">
                  <c:v>128.80000000000001</c:v>
                </c:pt>
                <c:pt idx="196">
                  <c:v>133.1</c:v>
                </c:pt>
                <c:pt idx="197">
                  <c:v>137.5</c:v>
                </c:pt>
                <c:pt idx="198">
                  <c:v>148.9</c:v>
                </c:pt>
                <c:pt idx="199">
                  <c:v>149.9</c:v>
                </c:pt>
                <c:pt idx="200">
                  <c:v>153.4</c:v>
                </c:pt>
                <c:pt idx="201">
                  <c:v>153</c:v>
                </c:pt>
                <c:pt idx="202">
                  <c:v>159.1</c:v>
                </c:pt>
                <c:pt idx="203">
                  <c:v>151.80000000000001</c:v>
                </c:pt>
                <c:pt idx="204">
                  <c:v>147.1</c:v>
                </c:pt>
                <c:pt idx="205">
                  <c:v>152.30000000000001</c:v>
                </c:pt>
                <c:pt idx="206">
                  <c:v>162.1</c:v>
                </c:pt>
                <c:pt idx="207">
                  <c:v>141.4</c:v>
                </c:pt>
                <c:pt idx="208">
                  <c:v>139.19999999999999</c:v>
                </c:pt>
                <c:pt idx="209">
                  <c:v>140</c:v>
                </c:pt>
                <c:pt idx="210">
                  <c:v>135.19999999999999</c:v>
                </c:pt>
                <c:pt idx="211">
                  <c:v>131.19999999999999</c:v>
                </c:pt>
                <c:pt idx="212">
                  <c:v>136.1</c:v>
                </c:pt>
                <c:pt idx="213">
                  <c:v>135</c:v>
                </c:pt>
                <c:pt idx="214">
                  <c:v>141.19999999999999</c:v>
                </c:pt>
                <c:pt idx="215">
                  <c:v>147.5</c:v>
                </c:pt>
                <c:pt idx="216">
                  <c:v>167.7</c:v>
                </c:pt>
                <c:pt idx="217">
                  <c:v>152.4</c:v>
                </c:pt>
                <c:pt idx="218">
                  <c:v>150.1</c:v>
                </c:pt>
                <c:pt idx="219">
                  <c:v>154.69999999999999</c:v>
                </c:pt>
                <c:pt idx="220">
                  <c:v>148.1</c:v>
                </c:pt>
                <c:pt idx="221">
                  <c:v>145.9</c:v>
                </c:pt>
                <c:pt idx="222">
                  <c:v>148.9</c:v>
                </c:pt>
                <c:pt idx="223">
                  <c:v>147.5</c:v>
                </c:pt>
                <c:pt idx="224">
                  <c:v>155.1</c:v>
                </c:pt>
                <c:pt idx="225">
                  <c:v>154.80000000000001</c:v>
                </c:pt>
                <c:pt idx="226">
                  <c:v>156.19999999999999</c:v>
                </c:pt>
                <c:pt idx="227">
                  <c:v>155.5</c:v>
                </c:pt>
                <c:pt idx="228">
                  <c:v>155</c:v>
                </c:pt>
                <c:pt idx="229">
                  <c:v>150.69999999999999</c:v>
                </c:pt>
                <c:pt idx="230">
                  <c:v>152.19999999999999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3D-41DD-9B2A-A4AD6CAE4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707360"/>
        <c:axId val="1799446880"/>
      </c:lineChart>
      <c:dateAx>
        <c:axId val="205970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46880"/>
        <c:crosses val="autoZero"/>
        <c:auto val="1"/>
        <c:lblOffset val="100"/>
        <c:baseTimeUnit val="months"/>
      </c:dateAx>
      <c:valAx>
        <c:axId val="179944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 (2011-12 =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0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Rebased to 100 at Mar 1970 — energy vs manufacturing input cost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Charts!$I$51</c:f>
              <c:strCache>
                <c:ptCount val="1"/>
                <c:pt idx="0">
                  <c:v>Manufacturing division</c:v>
                </c:pt>
              </c:strCache>
            </c:strRef>
          </c:tx>
          <c:spPr>
            <a:ln w="22225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Charts!$H$52:$H$282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Charts!$I$52:$I$282</c:f>
              <c:numCache>
                <c:formatCode>General</c:formatCode>
                <c:ptCount val="231"/>
                <c:pt idx="0">
                  <c:v>99.074074074074062</c:v>
                </c:pt>
                <c:pt idx="1">
                  <c:v>95.370370370370367</c:v>
                </c:pt>
                <c:pt idx="2">
                  <c:v>97.222222222222214</c:v>
                </c:pt>
                <c:pt idx="3">
                  <c:v>100</c:v>
                </c:pt>
                <c:pt idx="4">
                  <c:v>100.92592592592592</c:v>
                </c:pt>
                <c:pt idx="5">
                  <c:v>99.074074074074062</c:v>
                </c:pt>
                <c:pt idx="6">
                  <c:v>100</c:v>
                </c:pt>
                <c:pt idx="7">
                  <c:v>100.92592592592592</c:v>
                </c:pt>
                <c:pt idx="8">
                  <c:v>99.074074074074062</c:v>
                </c:pt>
                <c:pt idx="9">
                  <c:v>96.296296296296291</c:v>
                </c:pt>
                <c:pt idx="10">
                  <c:v>98.148148148148138</c:v>
                </c:pt>
                <c:pt idx="11">
                  <c:v>99.074074074074062</c:v>
                </c:pt>
                <c:pt idx="12">
                  <c:v>101.85185185185183</c:v>
                </c:pt>
                <c:pt idx="13">
                  <c:v>99.074074074074062</c:v>
                </c:pt>
                <c:pt idx="14">
                  <c:v>100</c:v>
                </c:pt>
                <c:pt idx="15">
                  <c:v>100.92592592592592</c:v>
                </c:pt>
                <c:pt idx="16">
                  <c:v>106.48148148148147</c:v>
                </c:pt>
                <c:pt idx="17">
                  <c:v>106.48148148148147</c:v>
                </c:pt>
                <c:pt idx="18">
                  <c:v>113.88888888888889</c:v>
                </c:pt>
                <c:pt idx="19">
                  <c:v>118.5185185185185</c:v>
                </c:pt>
                <c:pt idx="20">
                  <c:v>125.92592592592591</c:v>
                </c:pt>
                <c:pt idx="21">
                  <c:v>127.77777777777777</c:v>
                </c:pt>
                <c:pt idx="22">
                  <c:v>134.25925925925927</c:v>
                </c:pt>
                <c:pt idx="23">
                  <c:v>138.88888888888889</c:v>
                </c:pt>
                <c:pt idx="24">
                  <c:v>141.66666666666669</c:v>
                </c:pt>
                <c:pt idx="25">
                  <c:v>139.81481481481478</c:v>
                </c:pt>
                <c:pt idx="26">
                  <c:v>141.66666666666669</c:v>
                </c:pt>
                <c:pt idx="27">
                  <c:v>144.44444444444443</c:v>
                </c:pt>
                <c:pt idx="28">
                  <c:v>148.14814814814815</c:v>
                </c:pt>
                <c:pt idx="29">
                  <c:v>153.7037037037037</c:v>
                </c:pt>
                <c:pt idx="30">
                  <c:v>157.40740740740739</c:v>
                </c:pt>
                <c:pt idx="31">
                  <c:v>160.18518518518519</c:v>
                </c:pt>
                <c:pt idx="32">
                  <c:v>169.44444444444443</c:v>
                </c:pt>
                <c:pt idx="33">
                  <c:v>171.29629629629628</c:v>
                </c:pt>
                <c:pt idx="34">
                  <c:v>183.33333333333331</c:v>
                </c:pt>
                <c:pt idx="35">
                  <c:v>188.88888888888886</c:v>
                </c:pt>
                <c:pt idx="36">
                  <c:v>189.81481481481478</c:v>
                </c:pt>
                <c:pt idx="37">
                  <c:v>188.88888888888886</c:v>
                </c:pt>
                <c:pt idx="38">
                  <c:v>195.37037037037038</c:v>
                </c:pt>
                <c:pt idx="39">
                  <c:v>202.77777777777777</c:v>
                </c:pt>
                <c:pt idx="40">
                  <c:v>216.66666666666666</c:v>
                </c:pt>
                <c:pt idx="41">
                  <c:v>227.77777777777777</c:v>
                </c:pt>
                <c:pt idx="42">
                  <c:v>248.14814814814815</c:v>
                </c:pt>
                <c:pt idx="43">
                  <c:v>279.62962962962956</c:v>
                </c:pt>
                <c:pt idx="44">
                  <c:v>290.7407407407407</c:v>
                </c:pt>
                <c:pt idx="45">
                  <c:v>305.55555555555554</c:v>
                </c:pt>
                <c:pt idx="46">
                  <c:v>334.25925925925924</c:v>
                </c:pt>
                <c:pt idx="47">
                  <c:v>326.85185185185179</c:v>
                </c:pt>
                <c:pt idx="48">
                  <c:v>342.59259259259255</c:v>
                </c:pt>
                <c:pt idx="49">
                  <c:v>342.59259259259255</c:v>
                </c:pt>
                <c:pt idx="50">
                  <c:v>349.07407407407408</c:v>
                </c:pt>
                <c:pt idx="51">
                  <c:v>348.14814814814815</c:v>
                </c:pt>
                <c:pt idx="52">
                  <c:v>350.92592592592592</c:v>
                </c:pt>
                <c:pt idx="53">
                  <c:v>343.51851851851853</c:v>
                </c:pt>
                <c:pt idx="54">
                  <c:v>349.07407407407408</c:v>
                </c:pt>
                <c:pt idx="55">
                  <c:v>360.18518518518516</c:v>
                </c:pt>
                <c:pt idx="56">
                  <c:v>364.81481481481478</c:v>
                </c:pt>
                <c:pt idx="57">
                  <c:v>367.59259259259261</c:v>
                </c:pt>
                <c:pt idx="58">
                  <c:v>381.48148148148147</c:v>
                </c:pt>
                <c:pt idx="59">
                  <c:v>402.77777777777777</c:v>
                </c:pt>
                <c:pt idx="60">
                  <c:v>395.37037037037038</c:v>
                </c:pt>
                <c:pt idx="61">
                  <c:v>388.88888888888886</c:v>
                </c:pt>
                <c:pt idx="62">
                  <c:v>392.59259259259255</c:v>
                </c:pt>
                <c:pt idx="63">
                  <c:v>394.4444444444444</c:v>
                </c:pt>
                <c:pt idx="64">
                  <c:v>401.85185185185179</c:v>
                </c:pt>
                <c:pt idx="65">
                  <c:v>398.14814814814815</c:v>
                </c:pt>
                <c:pt idx="66">
                  <c:v>409.25925925925924</c:v>
                </c:pt>
                <c:pt idx="67">
                  <c:v>441.66666666666669</c:v>
                </c:pt>
                <c:pt idx="68">
                  <c:v>454.62962962962956</c:v>
                </c:pt>
                <c:pt idx="69">
                  <c:v>451.85185185185179</c:v>
                </c:pt>
                <c:pt idx="70">
                  <c:v>437.96296296296288</c:v>
                </c:pt>
                <c:pt idx="71">
                  <c:v>390.74074074074076</c:v>
                </c:pt>
                <c:pt idx="72">
                  <c:v>414.81481481481478</c:v>
                </c:pt>
                <c:pt idx="73">
                  <c:v>435.18518518518511</c:v>
                </c:pt>
                <c:pt idx="74">
                  <c:v>445.37037037037032</c:v>
                </c:pt>
                <c:pt idx="75">
                  <c:v>447.22222222222217</c:v>
                </c:pt>
                <c:pt idx="76">
                  <c:v>451.85185185185179</c:v>
                </c:pt>
                <c:pt idx="77">
                  <c:v>454.62962962962956</c:v>
                </c:pt>
                <c:pt idx="78">
                  <c:v>463.88888888888886</c:v>
                </c:pt>
                <c:pt idx="79">
                  <c:v>468.51851851851853</c:v>
                </c:pt>
                <c:pt idx="80">
                  <c:v>462.96296296296299</c:v>
                </c:pt>
                <c:pt idx="81">
                  <c:v>450.92592592592598</c:v>
                </c:pt>
                <c:pt idx="82">
                  <c:v>462.96296296296299</c:v>
                </c:pt>
                <c:pt idx="83">
                  <c:v>489.81481481481478</c:v>
                </c:pt>
                <c:pt idx="84">
                  <c:v>490.74074074074076</c:v>
                </c:pt>
                <c:pt idx="85">
                  <c:v>487.03703703703701</c:v>
                </c:pt>
                <c:pt idx="86">
                  <c:v>497.22222222222223</c:v>
                </c:pt>
                <c:pt idx="87">
                  <c:v>488.88888888888886</c:v>
                </c:pt>
                <c:pt idx="88">
                  <c:v>504.62962962962956</c:v>
                </c:pt>
                <c:pt idx="89">
                  <c:v>545.37037037037032</c:v>
                </c:pt>
                <c:pt idx="90">
                  <c:v>503.70370370370364</c:v>
                </c:pt>
                <c:pt idx="91">
                  <c:v>489.81481481481478</c:v>
                </c:pt>
                <c:pt idx="92">
                  <c:v>493.51851851851842</c:v>
                </c:pt>
                <c:pt idx="93">
                  <c:v>495.37037037037032</c:v>
                </c:pt>
                <c:pt idx="94">
                  <c:v>497.22222222222223</c:v>
                </c:pt>
                <c:pt idx="95">
                  <c:v>505.55555555555554</c:v>
                </c:pt>
                <c:pt idx="96">
                  <c:v>523.14814814814804</c:v>
                </c:pt>
                <c:pt idx="97">
                  <c:v>526.85185185185185</c:v>
                </c:pt>
                <c:pt idx="98">
                  <c:v>522.22222222222217</c:v>
                </c:pt>
                <c:pt idx="99">
                  <c:v>519.44444444444446</c:v>
                </c:pt>
                <c:pt idx="100">
                  <c:v>525.92592592592587</c:v>
                </c:pt>
                <c:pt idx="101">
                  <c:v>519.44444444444446</c:v>
                </c:pt>
                <c:pt idx="102">
                  <c:v>503.70370370370364</c:v>
                </c:pt>
                <c:pt idx="103">
                  <c:v>507.40740740740733</c:v>
                </c:pt>
                <c:pt idx="104">
                  <c:v>515.74074074074076</c:v>
                </c:pt>
                <c:pt idx="105">
                  <c:v>515.74074074074076</c:v>
                </c:pt>
                <c:pt idx="106">
                  <c:v>530.55555555555554</c:v>
                </c:pt>
                <c:pt idx="107">
                  <c:v>551.85185185185185</c:v>
                </c:pt>
                <c:pt idx="108">
                  <c:v>546.2962962962963</c:v>
                </c:pt>
                <c:pt idx="109">
                  <c:v>539.81481481481478</c:v>
                </c:pt>
                <c:pt idx="110">
                  <c:v>543.51851851851848</c:v>
                </c:pt>
                <c:pt idx="111">
                  <c:v>531.48148148148141</c:v>
                </c:pt>
                <c:pt idx="112">
                  <c:v>521.2962962962963</c:v>
                </c:pt>
                <c:pt idx="113">
                  <c:v>521.2962962962963</c:v>
                </c:pt>
                <c:pt idx="114">
                  <c:v>522.22222222222217</c:v>
                </c:pt>
                <c:pt idx="115">
                  <c:v>517.59259259259261</c:v>
                </c:pt>
                <c:pt idx="116">
                  <c:v>523.14814814814804</c:v>
                </c:pt>
                <c:pt idx="117">
                  <c:v>612.96296296296293</c:v>
                </c:pt>
                <c:pt idx="118">
                  <c:v>608.33333333333326</c:v>
                </c:pt>
                <c:pt idx="119">
                  <c:v>613.8888888888888</c:v>
                </c:pt>
                <c:pt idx="120">
                  <c:v>618.51851851851848</c:v>
                </c:pt>
                <c:pt idx="121">
                  <c:v>610.18518518518522</c:v>
                </c:pt>
                <c:pt idx="122">
                  <c:v>600.92592592592598</c:v>
                </c:pt>
                <c:pt idx="123">
                  <c:v>599.07407407407402</c:v>
                </c:pt>
                <c:pt idx="124">
                  <c:v>602.77777777777771</c:v>
                </c:pt>
                <c:pt idx="125">
                  <c:v>623.14814814814804</c:v>
                </c:pt>
                <c:pt idx="126">
                  <c:v>640.74074074074076</c:v>
                </c:pt>
                <c:pt idx="127">
                  <c:v>667.5925925925925</c:v>
                </c:pt>
                <c:pt idx="128">
                  <c:v>680.55555555555554</c:v>
                </c:pt>
                <c:pt idx="129">
                  <c:v>708.33333333333326</c:v>
                </c:pt>
                <c:pt idx="130">
                  <c:v>702.77777777777771</c:v>
                </c:pt>
                <c:pt idx="131">
                  <c:v>723.14814814814804</c:v>
                </c:pt>
                <c:pt idx="132">
                  <c:v>707.40740740740739</c:v>
                </c:pt>
                <c:pt idx="133">
                  <c:v>700.92592592592587</c:v>
                </c:pt>
                <c:pt idx="134">
                  <c:v>693.51851851851848</c:v>
                </c:pt>
                <c:pt idx="135">
                  <c:v>698.14814814814815</c:v>
                </c:pt>
                <c:pt idx="136">
                  <c:v>696.2962962962963</c:v>
                </c:pt>
                <c:pt idx="137">
                  <c:v>698.14814814814815</c:v>
                </c:pt>
                <c:pt idx="138">
                  <c:v>703.70370370370358</c:v>
                </c:pt>
                <c:pt idx="139">
                  <c:v>690.74074074074065</c:v>
                </c:pt>
                <c:pt idx="140">
                  <c:v>675</c:v>
                </c:pt>
                <c:pt idx="141">
                  <c:v>671.2962962962963</c:v>
                </c:pt>
                <c:pt idx="142">
                  <c:v>660.18518518518511</c:v>
                </c:pt>
                <c:pt idx="143">
                  <c:v>676.85185185185173</c:v>
                </c:pt>
                <c:pt idx="144">
                  <c:v>708.33333333333326</c:v>
                </c:pt>
                <c:pt idx="145">
                  <c:v>720.37037037037032</c:v>
                </c:pt>
                <c:pt idx="146">
                  <c:v>713.8888888888888</c:v>
                </c:pt>
                <c:pt idx="147">
                  <c:v>725.92592592592598</c:v>
                </c:pt>
                <c:pt idx="148">
                  <c:v>742.59259259259261</c:v>
                </c:pt>
                <c:pt idx="149">
                  <c:v>743.51851851851848</c:v>
                </c:pt>
                <c:pt idx="150">
                  <c:v>760.18518518518511</c:v>
                </c:pt>
                <c:pt idx="151">
                  <c:v>794.44444444444434</c:v>
                </c:pt>
                <c:pt idx="152">
                  <c:v>805.55555555555554</c:v>
                </c:pt>
                <c:pt idx="153">
                  <c:v>799.07407407407391</c:v>
                </c:pt>
                <c:pt idx="154">
                  <c:v>796.2962962962963</c:v>
                </c:pt>
                <c:pt idx="155">
                  <c:v>814.81481481481467</c:v>
                </c:pt>
                <c:pt idx="156">
                  <c:v>812.96296296296282</c:v>
                </c:pt>
                <c:pt idx="157">
                  <c:v>827.77777777777783</c:v>
                </c:pt>
                <c:pt idx="158">
                  <c:v>842.59259259259261</c:v>
                </c:pt>
                <c:pt idx="159">
                  <c:v>875.92592592592575</c:v>
                </c:pt>
                <c:pt idx="160">
                  <c:v>914.81481481481467</c:v>
                </c:pt>
                <c:pt idx="161">
                  <c:v>947.22222222222217</c:v>
                </c:pt>
                <c:pt idx="162">
                  <c:v>892.59259259259261</c:v>
                </c:pt>
                <c:pt idx="163">
                  <c:v>841.66666666666663</c:v>
                </c:pt>
                <c:pt idx="164">
                  <c:v>837.96296296296293</c:v>
                </c:pt>
                <c:pt idx="165">
                  <c:v>819.44444444444446</c:v>
                </c:pt>
                <c:pt idx="166">
                  <c:v>836.11111111111109</c:v>
                </c:pt>
                <c:pt idx="167">
                  <c:v>858.33333333333326</c:v>
                </c:pt>
                <c:pt idx="168">
                  <c:v>866.66666666666663</c:v>
                </c:pt>
                <c:pt idx="169">
                  <c:v>868.51851851851848</c:v>
                </c:pt>
                <c:pt idx="170">
                  <c:v>907.40740740740728</c:v>
                </c:pt>
                <c:pt idx="171">
                  <c:v>943.51851851851848</c:v>
                </c:pt>
                <c:pt idx="172">
                  <c:v>946.29629629629619</c:v>
                </c:pt>
                <c:pt idx="173">
                  <c:v>933.33333333333326</c:v>
                </c:pt>
                <c:pt idx="174">
                  <c:v>923.14814814814804</c:v>
                </c:pt>
                <c:pt idx="175">
                  <c:v>930.55555555555554</c:v>
                </c:pt>
                <c:pt idx="176">
                  <c:v>914.81481481481467</c:v>
                </c:pt>
                <c:pt idx="177">
                  <c:v>924.07407407407402</c:v>
                </c:pt>
                <c:pt idx="178">
                  <c:v>923.14814814814804</c:v>
                </c:pt>
                <c:pt idx="179">
                  <c:v>906.48148148148152</c:v>
                </c:pt>
                <c:pt idx="180">
                  <c:v>935.18518518518511</c:v>
                </c:pt>
                <c:pt idx="181">
                  <c:v>929.62962962962956</c:v>
                </c:pt>
                <c:pt idx="182">
                  <c:v>951.85185185185173</c:v>
                </c:pt>
                <c:pt idx="183">
                  <c:v>942.59259259259261</c:v>
                </c:pt>
                <c:pt idx="184">
                  <c:v>932.40740740740739</c:v>
                </c:pt>
                <c:pt idx="185">
                  <c:v>925.92592592592598</c:v>
                </c:pt>
                <c:pt idx="186">
                  <c:v>908.33333333333326</c:v>
                </c:pt>
                <c:pt idx="187">
                  <c:v>925</c:v>
                </c:pt>
                <c:pt idx="188">
                  <c:v>926.85185185185173</c:v>
                </c:pt>
                <c:pt idx="189">
                  <c:v>908.33333333333326</c:v>
                </c:pt>
                <c:pt idx="190">
                  <c:v>899.07407407407402</c:v>
                </c:pt>
                <c:pt idx="191">
                  <c:v>907.40740740740728</c:v>
                </c:pt>
                <c:pt idx="192">
                  <c:v>925.92592592592598</c:v>
                </c:pt>
                <c:pt idx="193">
                  <c:v>928.70370370370358</c:v>
                </c:pt>
                <c:pt idx="194">
                  <c:v>944.44444444444446</c:v>
                </c:pt>
                <c:pt idx="195">
                  <c:v>945.37037037037021</c:v>
                </c:pt>
                <c:pt idx="196">
                  <c:v>939.81481481481467</c:v>
                </c:pt>
                <c:pt idx="197">
                  <c:v>956.4814814814813</c:v>
                </c:pt>
                <c:pt idx="198">
                  <c:v>983.33333333333326</c:v>
                </c:pt>
                <c:pt idx="199">
                  <c:v>1005.5555555555553</c:v>
                </c:pt>
                <c:pt idx="200">
                  <c:v>1013.8888888888888</c:v>
                </c:pt>
                <c:pt idx="201">
                  <c:v>1015.7407407407406</c:v>
                </c:pt>
                <c:pt idx="202">
                  <c:v>1022.2222222222222</c:v>
                </c:pt>
                <c:pt idx="203">
                  <c:v>1044.4444444444443</c:v>
                </c:pt>
                <c:pt idx="204">
                  <c:v>1064.8148148148148</c:v>
                </c:pt>
                <c:pt idx="205">
                  <c:v>1053.7037037037037</c:v>
                </c:pt>
                <c:pt idx="206">
                  <c:v>1069.4444444444443</c:v>
                </c:pt>
                <c:pt idx="207">
                  <c:v>1060.1851851851852</c:v>
                </c:pt>
                <c:pt idx="208">
                  <c:v>1062.037037037037</c:v>
                </c:pt>
                <c:pt idx="209">
                  <c:v>1065.7407407407406</c:v>
                </c:pt>
                <c:pt idx="210">
                  <c:v>1088.8888888888887</c:v>
                </c:pt>
                <c:pt idx="211">
                  <c:v>1129.6296296296296</c:v>
                </c:pt>
                <c:pt idx="212">
                  <c:v>1181.4814814814813</c:v>
                </c:pt>
                <c:pt idx="213">
                  <c:v>1214.8148148148148</c:v>
                </c:pt>
                <c:pt idx="214">
                  <c:v>1289.8148148148148</c:v>
                </c:pt>
                <c:pt idx="215">
                  <c:v>1329.6296296296293</c:v>
                </c:pt>
                <c:pt idx="216">
                  <c:v>1350</c:v>
                </c:pt>
                <c:pt idx="217">
                  <c:v>1346.2962962962961</c:v>
                </c:pt>
                <c:pt idx="218">
                  <c:v>1341.6666666666665</c:v>
                </c:pt>
                <c:pt idx="219">
                  <c:v>1338.8888888888887</c:v>
                </c:pt>
                <c:pt idx="220">
                  <c:v>1315.7407407407406</c:v>
                </c:pt>
                <c:pt idx="221">
                  <c:v>1319.4444444444443</c:v>
                </c:pt>
                <c:pt idx="222">
                  <c:v>1329.6296296296293</c:v>
                </c:pt>
                <c:pt idx="223">
                  <c:v>1359.2592592592594</c:v>
                </c:pt>
                <c:pt idx="224">
                  <c:v>1365.7407407407406</c:v>
                </c:pt>
                <c:pt idx="225">
                  <c:v>1385.1851851851852</c:v>
                </c:pt>
                <c:pt idx="226">
                  <c:v>1438.8888888888889</c:v>
                </c:pt>
                <c:pt idx="227">
                  <c:v>1462.9629629629628</c:v>
                </c:pt>
                <c:pt idx="228">
                  <c:v>1473.1481481481478</c:v>
                </c:pt>
                <c:pt idx="229">
                  <c:v>1545.3703703703702</c:v>
                </c:pt>
                <c:pt idx="230">
                  <c:v>1605.5555555555554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7A-4B8E-8482-FB4CCE699D48}"/>
            </c:ext>
          </c:extLst>
        </c:ser>
        <c:ser>
          <c:idx val="1"/>
          <c:order val="1"/>
          <c:tx>
            <c:strRef>
              <c:f>Charts!$J$51</c:f>
              <c:strCache>
                <c:ptCount val="1"/>
                <c:pt idx="0">
                  <c:v>Mfg. less petroleum</c:v>
                </c:pt>
              </c:strCache>
            </c:strRef>
          </c:tx>
          <c:spPr>
            <a:ln w="2222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Charts!$H$52:$H$282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Charts!$J$52:$J$282</c:f>
              <c:numCache>
                <c:formatCode>General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100</c:v>
                </c:pt>
                <c:pt idx="77">
                  <c:v>101.14285714285715</c:v>
                </c:pt>
                <c:pt idx="78">
                  <c:v>104.95238095238095</c:v>
                </c:pt>
                <c:pt idx="79">
                  <c:v>107.80952380952382</c:v>
                </c:pt>
                <c:pt idx="80">
                  <c:v>108.38095238095238</c:v>
                </c:pt>
                <c:pt idx="81">
                  <c:v>108.38095238095238</c:v>
                </c:pt>
                <c:pt idx="82">
                  <c:v>108.38095238095238</c:v>
                </c:pt>
                <c:pt idx="83">
                  <c:v>112.95238095238093</c:v>
                </c:pt>
                <c:pt idx="84">
                  <c:v>112.76190476190477</c:v>
                </c:pt>
                <c:pt idx="85">
                  <c:v>111.42857142857143</c:v>
                </c:pt>
                <c:pt idx="86">
                  <c:v>112.76190476190477</c:v>
                </c:pt>
                <c:pt idx="87">
                  <c:v>113.52380952380952</c:v>
                </c:pt>
                <c:pt idx="88">
                  <c:v>111.42857142857143</c:v>
                </c:pt>
                <c:pt idx="89">
                  <c:v>110.85714285714286</c:v>
                </c:pt>
                <c:pt idx="90">
                  <c:v>111.61904761904762</c:v>
                </c:pt>
                <c:pt idx="91">
                  <c:v>111.04761904761904</c:v>
                </c:pt>
                <c:pt idx="92">
                  <c:v>111.04761904761904</c:v>
                </c:pt>
                <c:pt idx="93">
                  <c:v>109.9047619047619</c:v>
                </c:pt>
                <c:pt idx="94">
                  <c:v>112.76190476190477</c:v>
                </c:pt>
                <c:pt idx="95">
                  <c:v>113.90476190476191</c:v>
                </c:pt>
                <c:pt idx="96">
                  <c:v>115.42857142857143</c:v>
                </c:pt>
                <c:pt idx="97">
                  <c:v>116.95238095238093</c:v>
                </c:pt>
                <c:pt idx="98">
                  <c:v>117.14285714285715</c:v>
                </c:pt>
                <c:pt idx="99">
                  <c:v>116.57142857142857</c:v>
                </c:pt>
                <c:pt idx="100">
                  <c:v>119.23809523809523</c:v>
                </c:pt>
                <c:pt idx="101">
                  <c:v>119.23809523809523</c:v>
                </c:pt>
                <c:pt idx="102">
                  <c:v>117.90476190476191</c:v>
                </c:pt>
                <c:pt idx="103">
                  <c:v>118.4761904761905</c:v>
                </c:pt>
                <c:pt idx="104">
                  <c:v>119.61904761904761</c:v>
                </c:pt>
                <c:pt idx="105">
                  <c:v>120.95238095238095</c:v>
                </c:pt>
                <c:pt idx="106">
                  <c:v>123.23809523809524</c:v>
                </c:pt>
                <c:pt idx="107">
                  <c:v>128.19047619047618</c:v>
                </c:pt>
                <c:pt idx="108">
                  <c:v>128.38095238095241</c:v>
                </c:pt>
                <c:pt idx="109">
                  <c:v>126.4761904761905</c:v>
                </c:pt>
                <c:pt idx="110">
                  <c:v>124.76190476190476</c:v>
                </c:pt>
                <c:pt idx="111">
                  <c:v>122.28571428571429</c:v>
                </c:pt>
                <c:pt idx="112">
                  <c:v>119.04761904761905</c:v>
                </c:pt>
                <c:pt idx="113">
                  <c:v>116.57142857142857</c:v>
                </c:pt>
                <c:pt idx="114">
                  <c:v>116.76190476190476</c:v>
                </c:pt>
                <c:pt idx="115">
                  <c:v>118.0952380952381</c:v>
                </c:pt>
                <c:pt idx="116">
                  <c:v>119.80952380952381</c:v>
                </c:pt>
                <c:pt idx="117">
                  <c:v>132.1904761904762</c:v>
                </c:pt>
                <c:pt idx="118">
                  <c:v>132.76190476190476</c:v>
                </c:pt>
                <c:pt idx="119">
                  <c:v>133.9047619047619</c:v>
                </c:pt>
                <c:pt idx="120">
                  <c:v>135.42857142857142</c:v>
                </c:pt>
                <c:pt idx="121">
                  <c:v>133.33333333333331</c:v>
                </c:pt>
                <c:pt idx="122">
                  <c:v>131.99999999999997</c:v>
                </c:pt>
                <c:pt idx="123">
                  <c:v>130.28571428571431</c:v>
                </c:pt>
                <c:pt idx="124">
                  <c:v>129.14285714285714</c:v>
                </c:pt>
                <c:pt idx="125">
                  <c:v>132.1904761904762</c:v>
                </c:pt>
                <c:pt idx="126">
                  <c:v>135.04761904761907</c:v>
                </c:pt>
                <c:pt idx="127">
                  <c:v>139.23809523809524</c:v>
                </c:pt>
                <c:pt idx="128">
                  <c:v>141.14285714285714</c:v>
                </c:pt>
                <c:pt idx="129">
                  <c:v>145.14285714285714</c:v>
                </c:pt>
                <c:pt idx="130">
                  <c:v>146.66666666666666</c:v>
                </c:pt>
                <c:pt idx="131">
                  <c:v>150.28571428571428</c:v>
                </c:pt>
                <c:pt idx="132">
                  <c:v>148.57142857142858</c:v>
                </c:pt>
                <c:pt idx="133">
                  <c:v>149.33333333333334</c:v>
                </c:pt>
                <c:pt idx="134">
                  <c:v>148.38095238095238</c:v>
                </c:pt>
                <c:pt idx="135">
                  <c:v>147.61904761904762</c:v>
                </c:pt>
                <c:pt idx="136">
                  <c:v>146.28571428571428</c:v>
                </c:pt>
                <c:pt idx="137">
                  <c:v>147.42857142857144</c:v>
                </c:pt>
                <c:pt idx="138">
                  <c:v>147.23809523809524</c:v>
                </c:pt>
                <c:pt idx="139">
                  <c:v>146.28571428571428</c:v>
                </c:pt>
                <c:pt idx="140">
                  <c:v>143.04761904761904</c:v>
                </c:pt>
                <c:pt idx="141">
                  <c:v>141.9047619047619</c:v>
                </c:pt>
                <c:pt idx="142">
                  <c:v>139.61904761904762</c:v>
                </c:pt>
                <c:pt idx="143">
                  <c:v>142.85714285714286</c:v>
                </c:pt>
                <c:pt idx="144">
                  <c:v>147.8095238095238</c:v>
                </c:pt>
                <c:pt idx="145">
                  <c:v>149.52380952380952</c:v>
                </c:pt>
                <c:pt idx="146">
                  <c:v>149.52380952380952</c:v>
                </c:pt>
                <c:pt idx="147">
                  <c:v>151.04761904761907</c:v>
                </c:pt>
                <c:pt idx="148">
                  <c:v>152.57142857142856</c:v>
                </c:pt>
                <c:pt idx="149">
                  <c:v>154.0952380952381</c:v>
                </c:pt>
                <c:pt idx="150">
                  <c:v>157.33333333333331</c:v>
                </c:pt>
                <c:pt idx="151">
                  <c:v>162.28571428571431</c:v>
                </c:pt>
                <c:pt idx="152">
                  <c:v>164.76190476190476</c:v>
                </c:pt>
                <c:pt idx="153">
                  <c:v>167.8095238095238</c:v>
                </c:pt>
                <c:pt idx="154">
                  <c:v>167.42857142857144</c:v>
                </c:pt>
                <c:pt idx="155">
                  <c:v>169.71428571428569</c:v>
                </c:pt>
                <c:pt idx="156">
                  <c:v>169.52380952380952</c:v>
                </c:pt>
                <c:pt idx="157">
                  <c:v>169.71428571428569</c:v>
                </c:pt>
                <c:pt idx="158">
                  <c:v>170.66666666666666</c:v>
                </c:pt>
                <c:pt idx="159">
                  <c:v>173.52380952380949</c:v>
                </c:pt>
                <c:pt idx="160">
                  <c:v>180.57142857142856</c:v>
                </c:pt>
                <c:pt idx="161">
                  <c:v>197.14285714285717</c:v>
                </c:pt>
                <c:pt idx="162">
                  <c:v>191.8095238095238</c:v>
                </c:pt>
                <c:pt idx="163">
                  <c:v>181.52380952380952</c:v>
                </c:pt>
                <c:pt idx="164">
                  <c:v>175.23809523809524</c:v>
                </c:pt>
                <c:pt idx="165">
                  <c:v>170.47619047619048</c:v>
                </c:pt>
                <c:pt idx="166">
                  <c:v>174.66666666666669</c:v>
                </c:pt>
                <c:pt idx="167">
                  <c:v>179.23809523809521</c:v>
                </c:pt>
                <c:pt idx="168">
                  <c:v>181.33333333333334</c:v>
                </c:pt>
                <c:pt idx="169">
                  <c:v>181.71428571428572</c:v>
                </c:pt>
                <c:pt idx="170">
                  <c:v>188.57142857142856</c:v>
                </c:pt>
                <c:pt idx="171">
                  <c:v>192.76190476190476</c:v>
                </c:pt>
                <c:pt idx="172">
                  <c:v>194.47619047619048</c:v>
                </c:pt>
                <c:pt idx="173">
                  <c:v>190.66666666666666</c:v>
                </c:pt>
                <c:pt idx="174">
                  <c:v>187.8095238095238</c:v>
                </c:pt>
                <c:pt idx="175">
                  <c:v>188.57142857142856</c:v>
                </c:pt>
                <c:pt idx="176">
                  <c:v>187.42857142857144</c:v>
                </c:pt>
                <c:pt idx="177">
                  <c:v>189.33333333333334</c:v>
                </c:pt>
                <c:pt idx="178">
                  <c:v>188</c:v>
                </c:pt>
                <c:pt idx="179">
                  <c:v>185.90476190476187</c:v>
                </c:pt>
                <c:pt idx="180">
                  <c:v>190.0952380952381</c:v>
                </c:pt>
                <c:pt idx="181">
                  <c:v>188.95238095238096</c:v>
                </c:pt>
                <c:pt idx="182">
                  <c:v>193.14285714285714</c:v>
                </c:pt>
                <c:pt idx="183">
                  <c:v>192</c:v>
                </c:pt>
                <c:pt idx="184">
                  <c:v>190.47619047619045</c:v>
                </c:pt>
                <c:pt idx="185">
                  <c:v>192.1904761904762</c:v>
                </c:pt>
                <c:pt idx="186">
                  <c:v>192.95238095238093</c:v>
                </c:pt>
                <c:pt idx="187">
                  <c:v>194.85714285714286</c:v>
                </c:pt>
                <c:pt idx="188">
                  <c:v>196.76190476190476</c:v>
                </c:pt>
                <c:pt idx="189">
                  <c:v>193.52380952380952</c:v>
                </c:pt>
                <c:pt idx="190">
                  <c:v>193.9047619047619</c:v>
                </c:pt>
                <c:pt idx="191">
                  <c:v>194.47619047619048</c:v>
                </c:pt>
                <c:pt idx="192">
                  <c:v>198.0952380952381</c:v>
                </c:pt>
                <c:pt idx="193">
                  <c:v>198.0952380952381</c:v>
                </c:pt>
                <c:pt idx="194">
                  <c:v>200.57142857142858</c:v>
                </c:pt>
                <c:pt idx="195">
                  <c:v>201.52380952380952</c:v>
                </c:pt>
                <c:pt idx="196">
                  <c:v>200.57142857142858</c:v>
                </c:pt>
                <c:pt idx="197">
                  <c:v>202.66666666666669</c:v>
                </c:pt>
                <c:pt idx="198">
                  <c:v>207.61904761904765</c:v>
                </c:pt>
                <c:pt idx="199">
                  <c:v>210.85714285714286</c:v>
                </c:pt>
                <c:pt idx="200">
                  <c:v>212.1904761904762</c:v>
                </c:pt>
                <c:pt idx="201">
                  <c:v>212.76190476190476</c:v>
                </c:pt>
                <c:pt idx="202">
                  <c:v>215.61904761904765</c:v>
                </c:pt>
                <c:pt idx="203">
                  <c:v>219.42857142857144</c:v>
                </c:pt>
                <c:pt idx="204">
                  <c:v>225.14285714285714</c:v>
                </c:pt>
                <c:pt idx="205">
                  <c:v>222.28571428571428</c:v>
                </c:pt>
                <c:pt idx="206">
                  <c:v>227.23809523809524</c:v>
                </c:pt>
                <c:pt idx="207">
                  <c:v>229.52380952380952</c:v>
                </c:pt>
                <c:pt idx="208">
                  <c:v>228.19047619047618</c:v>
                </c:pt>
                <c:pt idx="209">
                  <c:v>229.14285714285714</c:v>
                </c:pt>
                <c:pt idx="210">
                  <c:v>231.99999999999997</c:v>
                </c:pt>
                <c:pt idx="211">
                  <c:v>240.1904761904762</c:v>
                </c:pt>
                <c:pt idx="212">
                  <c:v>250.0952380952381</c:v>
                </c:pt>
                <c:pt idx="213">
                  <c:v>256.38095238095235</c:v>
                </c:pt>
                <c:pt idx="214">
                  <c:v>269.71428571428572</c:v>
                </c:pt>
                <c:pt idx="215">
                  <c:v>277.71428571428578</c:v>
                </c:pt>
                <c:pt idx="216">
                  <c:v>281.52380952380958</c:v>
                </c:pt>
                <c:pt idx="217">
                  <c:v>281.14285714285711</c:v>
                </c:pt>
                <c:pt idx="218">
                  <c:v>282.28571428571428</c:v>
                </c:pt>
                <c:pt idx="219">
                  <c:v>282.47619047619048</c:v>
                </c:pt>
                <c:pt idx="220">
                  <c:v>276.57142857142856</c:v>
                </c:pt>
                <c:pt idx="221">
                  <c:v>276.1904761904762</c:v>
                </c:pt>
                <c:pt idx="222">
                  <c:v>279.23809523809524</c:v>
                </c:pt>
                <c:pt idx="223">
                  <c:v>285.52380952380952</c:v>
                </c:pt>
                <c:pt idx="224">
                  <c:v>287.8095238095238</c:v>
                </c:pt>
                <c:pt idx="225">
                  <c:v>292.76190476190476</c:v>
                </c:pt>
                <c:pt idx="226">
                  <c:v>304</c:v>
                </c:pt>
                <c:pt idx="227">
                  <c:v>310.66666666666663</c:v>
                </c:pt>
                <c:pt idx="228">
                  <c:v>312.95238095238096</c:v>
                </c:pt>
                <c:pt idx="229">
                  <c:v>329.14285714285717</c:v>
                </c:pt>
                <c:pt idx="230">
                  <c:v>341.52380952380958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7A-4B8E-8482-FB4CCE699D48}"/>
            </c:ext>
          </c:extLst>
        </c:ser>
        <c:ser>
          <c:idx val="2"/>
          <c:order val="2"/>
          <c:tx>
            <c:strRef>
              <c:f>Charts!$K$51</c:f>
              <c:strCache>
                <c:ptCount val="1"/>
                <c:pt idx="0">
                  <c:v>Petroleum &amp; coal</c:v>
                </c:pt>
              </c:strCache>
            </c:strRef>
          </c:tx>
          <c:spPr>
            <a:ln w="22225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Charts!$H$52:$H$282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Charts!$K$52:$K$282</c:f>
              <c:numCache>
                <c:formatCode>General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100</c:v>
                </c:pt>
                <c:pt idx="133">
                  <c:v>98.107255520504737</c:v>
                </c:pt>
                <c:pt idx="134">
                  <c:v>97.003154574132495</c:v>
                </c:pt>
                <c:pt idx="135">
                  <c:v>98.422712933753942</c:v>
                </c:pt>
                <c:pt idx="136">
                  <c:v>97.003154574132495</c:v>
                </c:pt>
                <c:pt idx="137">
                  <c:v>97.634069400630921</c:v>
                </c:pt>
                <c:pt idx="138">
                  <c:v>100.94637223974763</c:v>
                </c:pt>
                <c:pt idx="139">
                  <c:v>96.529968454258679</c:v>
                </c:pt>
                <c:pt idx="140">
                  <c:v>94.1640378548896</c:v>
                </c:pt>
                <c:pt idx="141">
                  <c:v>93.848580441640379</c:v>
                </c:pt>
                <c:pt idx="142">
                  <c:v>91.798107255520506</c:v>
                </c:pt>
                <c:pt idx="143">
                  <c:v>94.1640378548896</c:v>
                </c:pt>
                <c:pt idx="144">
                  <c:v>101.57728706624607</c:v>
                </c:pt>
                <c:pt idx="145">
                  <c:v>102.83911671924291</c:v>
                </c:pt>
                <c:pt idx="146">
                  <c:v>99.84227129337539</c:v>
                </c:pt>
                <c:pt idx="147">
                  <c:v>102.83911671924291</c:v>
                </c:pt>
                <c:pt idx="148">
                  <c:v>111.198738170347</c:v>
                </c:pt>
                <c:pt idx="149">
                  <c:v>111.67192429022082</c:v>
                </c:pt>
                <c:pt idx="150">
                  <c:v>114.66876971608832</c:v>
                </c:pt>
                <c:pt idx="151">
                  <c:v>121.45110410094637</c:v>
                </c:pt>
                <c:pt idx="152">
                  <c:v>122.397476340694</c:v>
                </c:pt>
                <c:pt idx="153">
                  <c:v>118.76971608832807</c:v>
                </c:pt>
                <c:pt idx="154">
                  <c:v>118.76971608832807</c:v>
                </c:pt>
                <c:pt idx="155">
                  <c:v>121.92429022082018</c:v>
                </c:pt>
                <c:pt idx="156">
                  <c:v>123.65930599369086</c:v>
                </c:pt>
                <c:pt idx="157">
                  <c:v>128.23343848580441</c:v>
                </c:pt>
                <c:pt idx="158">
                  <c:v>132.96529968454257</c:v>
                </c:pt>
                <c:pt idx="159">
                  <c:v>141.32492113564666</c:v>
                </c:pt>
                <c:pt idx="160">
                  <c:v>149.8422712933754</c:v>
                </c:pt>
                <c:pt idx="161">
                  <c:v>145.89905362776025</c:v>
                </c:pt>
                <c:pt idx="162">
                  <c:v>133.91167192429023</c:v>
                </c:pt>
                <c:pt idx="163">
                  <c:v>128.23343848580441</c:v>
                </c:pt>
                <c:pt idx="164">
                  <c:v>133.43848580441639</c:v>
                </c:pt>
                <c:pt idx="165">
                  <c:v>137.22397476340694</c:v>
                </c:pt>
                <c:pt idx="166">
                  <c:v>135.17350157728708</c:v>
                </c:pt>
                <c:pt idx="167">
                  <c:v>135.96214511041009</c:v>
                </c:pt>
                <c:pt idx="168">
                  <c:v>137.53943217665616</c:v>
                </c:pt>
                <c:pt idx="169">
                  <c:v>135.33123028391168</c:v>
                </c:pt>
                <c:pt idx="170">
                  <c:v>142.58675078864354</c:v>
                </c:pt>
                <c:pt idx="171">
                  <c:v>152.05047318611989</c:v>
                </c:pt>
                <c:pt idx="172">
                  <c:v>150.94637223974766</c:v>
                </c:pt>
                <c:pt idx="173">
                  <c:v>154.88958990536278</c:v>
                </c:pt>
                <c:pt idx="174">
                  <c:v>158.51735015772871</c:v>
                </c:pt>
                <c:pt idx="175">
                  <c:v>166.40378548895899</c:v>
                </c:pt>
                <c:pt idx="176">
                  <c:v>162.77602523659306</c:v>
                </c:pt>
                <c:pt idx="177">
                  <c:v>160.56782334384857</c:v>
                </c:pt>
                <c:pt idx="178">
                  <c:v>155.205047318612</c:v>
                </c:pt>
                <c:pt idx="179">
                  <c:v>150.78864353312304</c:v>
                </c:pt>
                <c:pt idx="180">
                  <c:v>158.20189274447949</c:v>
                </c:pt>
                <c:pt idx="181">
                  <c:v>156.62460567823345</c:v>
                </c:pt>
                <c:pt idx="182">
                  <c:v>164.1955835962145</c:v>
                </c:pt>
                <c:pt idx="183">
                  <c:v>158.83280757097793</c:v>
                </c:pt>
                <c:pt idx="184">
                  <c:v>156.94006309148264</c:v>
                </c:pt>
                <c:pt idx="185">
                  <c:v>155.3627760252366</c:v>
                </c:pt>
                <c:pt idx="186">
                  <c:v>148.89589905362777</c:v>
                </c:pt>
                <c:pt idx="187">
                  <c:v>143.21766561514195</c:v>
                </c:pt>
                <c:pt idx="188">
                  <c:v>149.05362776025237</c:v>
                </c:pt>
                <c:pt idx="189">
                  <c:v>147.00315457413251</c:v>
                </c:pt>
                <c:pt idx="190">
                  <c:v>136.11987381703469</c:v>
                </c:pt>
                <c:pt idx="191">
                  <c:v>137.38170347003154</c:v>
                </c:pt>
                <c:pt idx="192">
                  <c:v>141.32492113564666</c:v>
                </c:pt>
                <c:pt idx="193">
                  <c:v>148.26498422712936</c:v>
                </c:pt>
                <c:pt idx="194">
                  <c:v>152.05047318611989</c:v>
                </c:pt>
                <c:pt idx="195">
                  <c:v>152.20820189274448</c:v>
                </c:pt>
                <c:pt idx="196">
                  <c:v>152.99684542586752</c:v>
                </c:pt>
                <c:pt idx="197">
                  <c:v>156.78233438485805</c:v>
                </c:pt>
                <c:pt idx="198">
                  <c:v>163.09148264984228</c:v>
                </c:pt>
                <c:pt idx="199">
                  <c:v>168.45425867507885</c:v>
                </c:pt>
                <c:pt idx="200">
                  <c:v>175.0788643533123</c:v>
                </c:pt>
                <c:pt idx="201">
                  <c:v>176.02523659305993</c:v>
                </c:pt>
                <c:pt idx="202">
                  <c:v>170.18927444794954</c:v>
                </c:pt>
                <c:pt idx="203">
                  <c:v>173.34384858044166</c:v>
                </c:pt>
                <c:pt idx="204">
                  <c:v>170.50473186119874</c:v>
                </c:pt>
                <c:pt idx="205">
                  <c:v>170.66246056782336</c:v>
                </c:pt>
                <c:pt idx="206">
                  <c:v>169.7160883280757</c:v>
                </c:pt>
                <c:pt idx="207">
                  <c:v>160.25236593059938</c:v>
                </c:pt>
                <c:pt idx="208">
                  <c:v>151.41955835962148</c:v>
                </c:pt>
                <c:pt idx="209">
                  <c:v>151.89274447949526</c:v>
                </c:pt>
                <c:pt idx="210">
                  <c:v>160.56782334384857</c:v>
                </c:pt>
                <c:pt idx="211">
                  <c:v>158.83280757097793</c:v>
                </c:pt>
                <c:pt idx="212">
                  <c:v>166.71924290220821</c:v>
                </c:pt>
                <c:pt idx="213">
                  <c:v>173.81703470031547</c:v>
                </c:pt>
                <c:pt idx="214">
                  <c:v>183.75394321766564</c:v>
                </c:pt>
                <c:pt idx="215">
                  <c:v>187.53943217665616</c:v>
                </c:pt>
                <c:pt idx="216">
                  <c:v>194.79495268138803</c:v>
                </c:pt>
                <c:pt idx="217">
                  <c:v>211.82965299684545</c:v>
                </c:pt>
                <c:pt idx="218">
                  <c:v>198.42271293375396</c:v>
                </c:pt>
                <c:pt idx="219">
                  <c:v>196.68769716088329</c:v>
                </c:pt>
                <c:pt idx="220">
                  <c:v>200</c:v>
                </c:pt>
                <c:pt idx="221">
                  <c:v>208.20189274447949</c:v>
                </c:pt>
                <c:pt idx="222">
                  <c:v>198.89589905362774</c:v>
                </c:pt>
                <c:pt idx="223">
                  <c:v>201.89274447949526</c:v>
                </c:pt>
                <c:pt idx="224">
                  <c:v>196.52996845425866</c:v>
                </c:pt>
                <c:pt idx="225">
                  <c:v>199.05362776025237</c:v>
                </c:pt>
                <c:pt idx="226">
                  <c:v>207.57097791798108</c:v>
                </c:pt>
                <c:pt idx="227">
                  <c:v>204.57413249211353</c:v>
                </c:pt>
                <c:pt idx="228">
                  <c:v>203.31230283911674</c:v>
                </c:pt>
                <c:pt idx="229">
                  <c:v>203.31230283911674</c:v>
                </c:pt>
                <c:pt idx="230">
                  <c:v>209.14826498422713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7A-4B8E-8482-FB4CCE699D48}"/>
            </c:ext>
          </c:extLst>
        </c:ser>
        <c:ser>
          <c:idx val="3"/>
          <c:order val="3"/>
          <c:tx>
            <c:strRef>
              <c:f>Charts!$L$51</c:f>
              <c:strCache>
                <c:ptCount val="1"/>
                <c:pt idx="0">
                  <c:v>Natural gas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Charts!$H$52:$H$282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Charts!$L$52:$L$282</c:f>
              <c:numCache>
                <c:formatCode>General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100</c:v>
                </c:pt>
                <c:pt idx="7">
                  <c:v>87.150837988826822</c:v>
                </c:pt>
                <c:pt idx="8">
                  <c:v>82.122905027932973</c:v>
                </c:pt>
                <c:pt idx="9">
                  <c:v>76.536312849162016</c:v>
                </c:pt>
                <c:pt idx="10">
                  <c:v>72.067039106145259</c:v>
                </c:pt>
                <c:pt idx="11">
                  <c:v>70.949720670391059</c:v>
                </c:pt>
                <c:pt idx="12">
                  <c:v>72.625698324022352</c:v>
                </c:pt>
                <c:pt idx="13">
                  <c:v>67.597765363128488</c:v>
                </c:pt>
                <c:pt idx="14">
                  <c:v>67.597765363128488</c:v>
                </c:pt>
                <c:pt idx="15">
                  <c:v>63.128491620111738</c:v>
                </c:pt>
                <c:pt idx="16">
                  <c:v>64.80446927374301</c:v>
                </c:pt>
                <c:pt idx="17">
                  <c:v>60.89385474860336</c:v>
                </c:pt>
                <c:pt idx="18">
                  <c:v>65.363128491620117</c:v>
                </c:pt>
                <c:pt idx="19">
                  <c:v>63.128491620111738</c:v>
                </c:pt>
                <c:pt idx="20">
                  <c:v>64.245810055865931</c:v>
                </c:pt>
                <c:pt idx="21">
                  <c:v>62.569832402234638</c:v>
                </c:pt>
                <c:pt idx="22">
                  <c:v>62.569832402234638</c:v>
                </c:pt>
                <c:pt idx="23">
                  <c:v>64.245810055865931</c:v>
                </c:pt>
                <c:pt idx="24">
                  <c:v>70.949720670391059</c:v>
                </c:pt>
                <c:pt idx="25">
                  <c:v>70.949720670391059</c:v>
                </c:pt>
                <c:pt idx="26">
                  <c:v>81.564245810055866</c:v>
                </c:pt>
                <c:pt idx="27">
                  <c:v>91.620111731843579</c:v>
                </c:pt>
                <c:pt idx="28">
                  <c:v>92.178770949720672</c:v>
                </c:pt>
                <c:pt idx="29">
                  <c:v>92.178770949720672</c:v>
                </c:pt>
                <c:pt idx="30">
                  <c:v>96.648044692737443</c:v>
                </c:pt>
                <c:pt idx="31">
                  <c:v>94.413407821229043</c:v>
                </c:pt>
                <c:pt idx="32">
                  <c:v>98.324022346368736</c:v>
                </c:pt>
                <c:pt idx="33">
                  <c:v>99.441340782122921</c:v>
                </c:pt>
                <c:pt idx="34">
                  <c:v>88.268156424581008</c:v>
                </c:pt>
                <c:pt idx="35">
                  <c:v>74.860335195530737</c:v>
                </c:pt>
                <c:pt idx="36">
                  <c:v>75.41899441340783</c:v>
                </c:pt>
                <c:pt idx="37">
                  <c:v>74.860335195530737</c:v>
                </c:pt>
                <c:pt idx="38">
                  <c:v>79.888268156424587</c:v>
                </c:pt>
                <c:pt idx="39">
                  <c:v>79.329608938547494</c:v>
                </c:pt>
                <c:pt idx="40">
                  <c:v>79.888268156424587</c:v>
                </c:pt>
                <c:pt idx="41">
                  <c:v>81.564245810055866</c:v>
                </c:pt>
                <c:pt idx="42">
                  <c:v>83.798882681564251</c:v>
                </c:pt>
                <c:pt idx="43">
                  <c:v>83.798882681564251</c:v>
                </c:pt>
                <c:pt idx="44">
                  <c:v>85.474860335195544</c:v>
                </c:pt>
                <c:pt idx="45">
                  <c:v>85.474860335195544</c:v>
                </c:pt>
                <c:pt idx="46">
                  <c:v>90.502793296089393</c:v>
                </c:pt>
                <c:pt idx="47">
                  <c:v>90.502793296089393</c:v>
                </c:pt>
                <c:pt idx="48">
                  <c:v>94.97206703910615</c:v>
                </c:pt>
                <c:pt idx="49">
                  <c:v>94.97206703910615</c:v>
                </c:pt>
                <c:pt idx="50">
                  <c:v>97.206703910614522</c:v>
                </c:pt>
                <c:pt idx="51">
                  <c:v>96.648044692737443</c:v>
                </c:pt>
                <c:pt idx="52">
                  <c:v>102.79329608938548</c:v>
                </c:pt>
                <c:pt idx="53">
                  <c:v>105.02793296089388</c:v>
                </c:pt>
                <c:pt idx="54">
                  <c:v>117.87709497206707</c:v>
                </c:pt>
                <c:pt idx="55">
                  <c:v>119.55307262569832</c:v>
                </c:pt>
                <c:pt idx="56">
                  <c:v>128.49162011173186</c:v>
                </c:pt>
                <c:pt idx="57">
                  <c:v>138.54748603351956</c:v>
                </c:pt>
                <c:pt idx="58">
                  <c:v>156.42458100558662</c:v>
                </c:pt>
                <c:pt idx="59">
                  <c:v>157.54189944134077</c:v>
                </c:pt>
                <c:pt idx="60">
                  <c:v>170.39106145251398</c:v>
                </c:pt>
                <c:pt idx="61">
                  <c:v>173.74301675977654</c:v>
                </c:pt>
                <c:pt idx="62">
                  <c:v>184.91620111731845</c:v>
                </c:pt>
                <c:pt idx="63">
                  <c:v>188.82681564245809</c:v>
                </c:pt>
                <c:pt idx="64">
                  <c:v>189.9441340782123</c:v>
                </c:pt>
                <c:pt idx="65">
                  <c:v>189.9441340782123</c:v>
                </c:pt>
                <c:pt idx="66">
                  <c:v>195.53072625698326</c:v>
                </c:pt>
                <c:pt idx="67">
                  <c:v>197.76536312849163</c:v>
                </c:pt>
                <c:pt idx="68">
                  <c:v>202.2346368715084</c:v>
                </c:pt>
                <c:pt idx="69">
                  <c:v>205.58659217877096</c:v>
                </c:pt>
                <c:pt idx="70">
                  <c:v>207.26256983240225</c:v>
                </c:pt>
                <c:pt idx="71">
                  <c:v>213.40782122905031</c:v>
                </c:pt>
                <c:pt idx="72">
                  <c:v>219.55307262569832</c:v>
                </c:pt>
                <c:pt idx="73">
                  <c:v>223.46368715083801</c:v>
                </c:pt>
                <c:pt idx="74">
                  <c:v>225.69832402234638</c:v>
                </c:pt>
                <c:pt idx="75">
                  <c:v>244.13407821229055</c:v>
                </c:pt>
                <c:pt idx="76">
                  <c:v>239.66480446927375</c:v>
                </c:pt>
                <c:pt idx="77">
                  <c:v>249.7206703910615</c:v>
                </c:pt>
                <c:pt idx="78">
                  <c:v>254.18994413407825</c:v>
                </c:pt>
                <c:pt idx="79">
                  <c:v>253.63128491620114</c:v>
                </c:pt>
                <c:pt idx="80">
                  <c:v>264.804469273743</c:v>
                </c:pt>
                <c:pt idx="81">
                  <c:v>272.06703910614527</c:v>
                </c:pt>
                <c:pt idx="82">
                  <c:v>277.65363128491623</c:v>
                </c:pt>
                <c:pt idx="83">
                  <c:v>278.77094972067044</c:v>
                </c:pt>
                <c:pt idx="84">
                  <c:v>297.20670391061452</c:v>
                </c:pt>
                <c:pt idx="85">
                  <c:v>297.76536312849163</c:v>
                </c:pt>
                <c:pt idx="86">
                  <c:v>299.44134078212295</c:v>
                </c:pt>
                <c:pt idx="87">
                  <c:v>301.11731843575421</c:v>
                </c:pt>
                <c:pt idx="88">
                  <c:v>307.82122905027933</c:v>
                </c:pt>
                <c:pt idx="89">
                  <c:v>305.02793296089391</c:v>
                </c:pt>
                <c:pt idx="90">
                  <c:v>303.91061452513969</c:v>
                </c:pt>
                <c:pt idx="91">
                  <c:v>302.23463687150843</c:v>
                </c:pt>
                <c:pt idx="92">
                  <c:v>312.84916201117323</c:v>
                </c:pt>
                <c:pt idx="93">
                  <c:v>312.84916201117323</c:v>
                </c:pt>
                <c:pt idx="94">
                  <c:v>311.73184357541902</c:v>
                </c:pt>
                <c:pt idx="95">
                  <c:v>311.17318435754197</c:v>
                </c:pt>
                <c:pt idx="96">
                  <c:v>315.08379888268155</c:v>
                </c:pt>
                <c:pt idx="97">
                  <c:v>316.20111731843582</c:v>
                </c:pt>
                <c:pt idx="98">
                  <c:v>316.20111731843582</c:v>
                </c:pt>
                <c:pt idx="99">
                  <c:v>315.64245810055866</c:v>
                </c:pt>
                <c:pt idx="100">
                  <c:v>316.75977653631293</c:v>
                </c:pt>
                <c:pt idx="101">
                  <c:v>316.20111731843582</c:v>
                </c:pt>
                <c:pt idx="102">
                  <c:v>313.96648044692739</c:v>
                </c:pt>
                <c:pt idx="103">
                  <c:v>315.64245810055866</c:v>
                </c:pt>
                <c:pt idx="104">
                  <c:v>313.40782122905028</c:v>
                </c:pt>
                <c:pt idx="105">
                  <c:v>313.96648044692739</c:v>
                </c:pt>
                <c:pt idx="106">
                  <c:v>315.64245810055866</c:v>
                </c:pt>
                <c:pt idx="107">
                  <c:v>317.87709497206708</c:v>
                </c:pt>
                <c:pt idx="108">
                  <c:v>321.78770949720672</c:v>
                </c:pt>
                <c:pt idx="109">
                  <c:v>321.22905027932961</c:v>
                </c:pt>
                <c:pt idx="110">
                  <c:v>323.46368715083804</c:v>
                </c:pt>
                <c:pt idx="111">
                  <c:v>324.5810055865922</c:v>
                </c:pt>
                <c:pt idx="112">
                  <c:v>327.37430167597768</c:v>
                </c:pt>
                <c:pt idx="113">
                  <c:v>329.60893854748605</c:v>
                </c:pt>
                <c:pt idx="114">
                  <c:v>328.49162011173189</c:v>
                </c:pt>
                <c:pt idx="115">
                  <c:v>325.13966480446931</c:v>
                </c:pt>
                <c:pt idx="116">
                  <c:v>329.050279329609</c:v>
                </c:pt>
                <c:pt idx="117">
                  <c:v>332.40223463687153</c:v>
                </c:pt>
                <c:pt idx="118">
                  <c:v>320.1117318435754</c:v>
                </c:pt>
                <c:pt idx="119">
                  <c:v>320.1117318435754</c:v>
                </c:pt>
                <c:pt idx="120">
                  <c:v>318.43575418994419</c:v>
                </c:pt>
                <c:pt idx="121">
                  <c:v>321.78770949720672</c:v>
                </c:pt>
                <c:pt idx="122">
                  <c:v>319.55307262569835</c:v>
                </c:pt>
                <c:pt idx="123">
                  <c:v>322.34636871508383</c:v>
                </c:pt>
                <c:pt idx="124">
                  <c:v>323.46368715083804</c:v>
                </c:pt>
                <c:pt idx="125">
                  <c:v>343.01675977653633</c:v>
                </c:pt>
                <c:pt idx="126">
                  <c:v>360.89385474860336</c:v>
                </c:pt>
                <c:pt idx="127">
                  <c:v>365.92178770949721</c:v>
                </c:pt>
                <c:pt idx="128">
                  <c:v>358.10055865921788</c:v>
                </c:pt>
                <c:pt idx="129">
                  <c:v>362.56983240223468</c:v>
                </c:pt>
                <c:pt idx="130">
                  <c:v>359.7765363128492</c:v>
                </c:pt>
                <c:pt idx="131">
                  <c:v>363.68715083798884</c:v>
                </c:pt>
                <c:pt idx="132">
                  <c:v>365.92178770949721</c:v>
                </c:pt>
                <c:pt idx="133">
                  <c:v>355.30726256983246</c:v>
                </c:pt>
                <c:pt idx="134">
                  <c:v>360.89385474860336</c:v>
                </c:pt>
                <c:pt idx="135">
                  <c:v>371.50837988826817</c:v>
                </c:pt>
                <c:pt idx="136">
                  <c:v>369.8324022346369</c:v>
                </c:pt>
                <c:pt idx="137">
                  <c:v>356.42458100558662</c:v>
                </c:pt>
                <c:pt idx="138">
                  <c:v>374.30167597765364</c:v>
                </c:pt>
                <c:pt idx="139">
                  <c:v>367.59776536312853</c:v>
                </c:pt>
                <c:pt idx="140">
                  <c:v>370.94972067039112</c:v>
                </c:pt>
                <c:pt idx="141">
                  <c:v>364.804469273743</c:v>
                </c:pt>
                <c:pt idx="142">
                  <c:v>364.24581005586595</c:v>
                </c:pt>
                <c:pt idx="143">
                  <c:v>355.86592178770957</c:v>
                </c:pt>
                <c:pt idx="144">
                  <c:v>373.74301675977659</c:v>
                </c:pt>
                <c:pt idx="145">
                  <c:v>375.41899441340786</c:v>
                </c:pt>
                <c:pt idx="146">
                  <c:v>376.53631284916207</c:v>
                </c:pt>
                <c:pt idx="147">
                  <c:v>377.09497206703912</c:v>
                </c:pt>
                <c:pt idx="148">
                  <c:v>383.24022346368713</c:v>
                </c:pt>
                <c:pt idx="149">
                  <c:v>384.91620111731845</c:v>
                </c:pt>
                <c:pt idx="150">
                  <c:v>387.70949720670399</c:v>
                </c:pt>
                <c:pt idx="151">
                  <c:v>388.26815642458104</c:v>
                </c:pt>
                <c:pt idx="152">
                  <c:v>390.50279329608941</c:v>
                </c:pt>
                <c:pt idx="153">
                  <c:v>388.82681564245809</c:v>
                </c:pt>
                <c:pt idx="154">
                  <c:v>391.06145251396651</c:v>
                </c:pt>
                <c:pt idx="155">
                  <c:v>395.53072625698326</c:v>
                </c:pt>
                <c:pt idx="156">
                  <c:v>394.41340782122904</c:v>
                </c:pt>
                <c:pt idx="157">
                  <c:v>402.23463687150843</c:v>
                </c:pt>
                <c:pt idx="158">
                  <c:v>393.29608938547494</c:v>
                </c:pt>
                <c:pt idx="159">
                  <c:v>410.61452513966481</c:v>
                </c:pt>
                <c:pt idx="160">
                  <c:v>414.5251396648045</c:v>
                </c:pt>
                <c:pt idx="161">
                  <c:v>428.49162011173189</c:v>
                </c:pt>
                <c:pt idx="162">
                  <c:v>448.04469273743024</c:v>
                </c:pt>
                <c:pt idx="163">
                  <c:v>449.72067039106145</c:v>
                </c:pt>
                <c:pt idx="164">
                  <c:v>450.83798882681566</c:v>
                </c:pt>
                <c:pt idx="165">
                  <c:v>458.10055865921794</c:v>
                </c:pt>
                <c:pt idx="166">
                  <c:v>482.12290502793297</c:v>
                </c:pt>
                <c:pt idx="167">
                  <c:v>508.37988826815649</c:v>
                </c:pt>
                <c:pt idx="168">
                  <c:v>517.31843575418998</c:v>
                </c:pt>
                <c:pt idx="169">
                  <c:v>517.87709497206708</c:v>
                </c:pt>
                <c:pt idx="170">
                  <c:v>532.40223463687153</c:v>
                </c:pt>
                <c:pt idx="171">
                  <c:v>553.07262569832403</c:v>
                </c:pt>
                <c:pt idx="172">
                  <c:v>549.7206703910615</c:v>
                </c:pt>
                <c:pt idx="173">
                  <c:v>555.30726256983246</c:v>
                </c:pt>
                <c:pt idx="174">
                  <c:v>564.24581005586595</c:v>
                </c:pt>
                <c:pt idx="175">
                  <c:v>565.36312849162016</c:v>
                </c:pt>
                <c:pt idx="176">
                  <c:v>565.92178770949727</c:v>
                </c:pt>
                <c:pt idx="177">
                  <c:v>611.73184357541902</c:v>
                </c:pt>
                <c:pt idx="178">
                  <c:v>629.6089385474861</c:v>
                </c:pt>
                <c:pt idx="179">
                  <c:v>645.25139664804476</c:v>
                </c:pt>
                <c:pt idx="180">
                  <c:v>650.8379888268156</c:v>
                </c:pt>
                <c:pt idx="181">
                  <c:v>647.48603351955319</c:v>
                </c:pt>
                <c:pt idx="182">
                  <c:v>667.59776536312859</c:v>
                </c:pt>
                <c:pt idx="183">
                  <c:v>663.68715083798884</c:v>
                </c:pt>
                <c:pt idx="184">
                  <c:v>601.11731843575421</c:v>
                </c:pt>
                <c:pt idx="185">
                  <c:v>591.06145251396651</c:v>
                </c:pt>
                <c:pt idx="186">
                  <c:v>602.23463687150843</c:v>
                </c:pt>
                <c:pt idx="187">
                  <c:v>591.06145251396651</c:v>
                </c:pt>
                <c:pt idx="188">
                  <c:v>552.51396648044704</c:v>
                </c:pt>
                <c:pt idx="189">
                  <c:v>551.39664804469282</c:v>
                </c:pt>
                <c:pt idx="190">
                  <c:v>560.33519553072631</c:v>
                </c:pt>
                <c:pt idx="191">
                  <c:v>548.60335195530729</c:v>
                </c:pt>
                <c:pt idx="192">
                  <c:v>541.89944134078212</c:v>
                </c:pt>
                <c:pt idx="193">
                  <c:v>557.54189944134089</c:v>
                </c:pt>
                <c:pt idx="194">
                  <c:v>584.91620111731845</c:v>
                </c:pt>
                <c:pt idx="195">
                  <c:v>597.76536312849169</c:v>
                </c:pt>
                <c:pt idx="196">
                  <c:v>639.6648044692738</c:v>
                </c:pt>
                <c:pt idx="197">
                  <c:v>679.32960893854749</c:v>
                </c:pt>
                <c:pt idx="198">
                  <c:v>731.84357541899442</c:v>
                </c:pt>
                <c:pt idx="199">
                  <c:v>735.75418994413405</c:v>
                </c:pt>
                <c:pt idx="200">
                  <c:v>726.25698324022346</c:v>
                </c:pt>
                <c:pt idx="201">
                  <c:v>716.20111731843576</c:v>
                </c:pt>
                <c:pt idx="202">
                  <c:v>715.64245810055866</c:v>
                </c:pt>
                <c:pt idx="203">
                  <c:v>721.78770949720672</c:v>
                </c:pt>
                <c:pt idx="204">
                  <c:v>716.75977653631298</c:v>
                </c:pt>
                <c:pt idx="205">
                  <c:v>708.9385474860336</c:v>
                </c:pt>
                <c:pt idx="206">
                  <c:v>715.64245810055866</c:v>
                </c:pt>
                <c:pt idx="207">
                  <c:v>715.64245810055866</c:v>
                </c:pt>
                <c:pt idx="208">
                  <c:v>712.29050279329613</c:v>
                </c:pt>
                <c:pt idx="209">
                  <c:v>706.14525139664806</c:v>
                </c:pt>
                <c:pt idx="210">
                  <c:v>687.70949720670387</c:v>
                </c:pt>
                <c:pt idx="211">
                  <c:v>664.80446927374305</c:v>
                </c:pt>
                <c:pt idx="212">
                  <c:v>697.76536312849169</c:v>
                </c:pt>
                <c:pt idx="213">
                  <c:v>686.03351955307267</c:v>
                </c:pt>
                <c:pt idx="214">
                  <c:v>729.050279329609</c:v>
                </c:pt>
                <c:pt idx="215">
                  <c:v>735.75418994413405</c:v>
                </c:pt>
                <c:pt idx="216">
                  <c:v>1020.1117318435754</c:v>
                </c:pt>
                <c:pt idx="217">
                  <c:v>827.93296089385478</c:v>
                </c:pt>
                <c:pt idx="218">
                  <c:v>1060.3351955307264</c:v>
                </c:pt>
                <c:pt idx="219">
                  <c:v>1091.0614525139665</c:v>
                </c:pt>
                <c:pt idx="220">
                  <c:v>1107.2625698324023</c:v>
                </c:pt>
                <c:pt idx="221">
                  <c:v>1052.5139664804469</c:v>
                </c:pt>
                <c:pt idx="222">
                  <c:v>1072.0670391061453</c:v>
                </c:pt>
                <c:pt idx="223">
                  <c:v>1049.1620111731845</c:v>
                </c:pt>
                <c:pt idx="224">
                  <c:v>1060.8938547486036</c:v>
                </c:pt>
                <c:pt idx="225">
                  <c:v>1067.0391061452515</c:v>
                </c:pt>
                <c:pt idx="226">
                  <c:v>1059.217877094972</c:v>
                </c:pt>
                <c:pt idx="227">
                  <c:v>1035.1955307262572</c:v>
                </c:pt>
                <c:pt idx="228">
                  <c:v>1046.3687150837991</c:v>
                </c:pt>
                <c:pt idx="229">
                  <c:v>1050.8379888268157</c:v>
                </c:pt>
                <c:pt idx="230">
                  <c:v>1046.3687150837991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7A-4B8E-8482-FB4CCE699D48}"/>
            </c:ext>
          </c:extLst>
        </c:ser>
        <c:ser>
          <c:idx val="4"/>
          <c:order val="4"/>
          <c:tx>
            <c:strRef>
              <c:f>Charts!$M$51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Charts!$H$52:$H$282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Charts!$M$52:$M$282</c:f>
              <c:numCache>
                <c:formatCode>General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100</c:v>
                </c:pt>
                <c:pt idx="7">
                  <c:v>101.69491525423729</c:v>
                </c:pt>
                <c:pt idx="8">
                  <c:v>104.2372881355932</c:v>
                </c:pt>
                <c:pt idx="9">
                  <c:v>103.38983050847457</c:v>
                </c:pt>
                <c:pt idx="10">
                  <c:v>103.38983050847457</c:v>
                </c:pt>
                <c:pt idx="11">
                  <c:v>103.38983050847457</c:v>
                </c:pt>
                <c:pt idx="12">
                  <c:v>105.08474576271185</c:v>
                </c:pt>
                <c:pt idx="13">
                  <c:v>105.08474576271185</c:v>
                </c:pt>
                <c:pt idx="14">
                  <c:v>107.62711864406778</c:v>
                </c:pt>
                <c:pt idx="15">
                  <c:v>105.93220338983049</c:v>
                </c:pt>
                <c:pt idx="16">
                  <c:v>108.47457627118644</c:v>
                </c:pt>
                <c:pt idx="17">
                  <c:v>106.77966101694913</c:v>
                </c:pt>
                <c:pt idx="18">
                  <c:v>108.47457627118644</c:v>
                </c:pt>
                <c:pt idx="19">
                  <c:v>108.47457627118644</c:v>
                </c:pt>
                <c:pt idx="20">
                  <c:v>110.16949152542372</c:v>
                </c:pt>
                <c:pt idx="21">
                  <c:v>112.71186440677965</c:v>
                </c:pt>
                <c:pt idx="22">
                  <c:v>116.10169491525421</c:v>
                </c:pt>
                <c:pt idx="23">
                  <c:v>118.64406779661016</c:v>
                </c:pt>
                <c:pt idx="24">
                  <c:v>121.18644067796609</c:v>
                </c:pt>
                <c:pt idx="25">
                  <c:v>123.72881355932202</c:v>
                </c:pt>
                <c:pt idx="26">
                  <c:v>137.28813559322032</c:v>
                </c:pt>
                <c:pt idx="27">
                  <c:v>138.13559322033896</c:v>
                </c:pt>
                <c:pt idx="28">
                  <c:v>139.83050847457625</c:v>
                </c:pt>
                <c:pt idx="29">
                  <c:v>138.9830508474576</c:v>
                </c:pt>
                <c:pt idx="30">
                  <c:v>148.30508474576268</c:v>
                </c:pt>
                <c:pt idx="31">
                  <c:v>149.15254237288136</c:v>
                </c:pt>
                <c:pt idx="32">
                  <c:v>148.30508474576268</c:v>
                </c:pt>
                <c:pt idx="33">
                  <c:v>149.15254237288136</c:v>
                </c:pt>
                <c:pt idx="34">
                  <c:v>162.71186440677965</c:v>
                </c:pt>
                <c:pt idx="35">
                  <c:v>161.01694915254237</c:v>
                </c:pt>
                <c:pt idx="36">
                  <c:v>161.01694915254237</c:v>
                </c:pt>
                <c:pt idx="37">
                  <c:v>163.5593220338983</c:v>
                </c:pt>
                <c:pt idx="38">
                  <c:v>172.03389830508473</c:v>
                </c:pt>
                <c:pt idx="39">
                  <c:v>175.42372881355931</c:v>
                </c:pt>
                <c:pt idx="40">
                  <c:v>176.27118644067795</c:v>
                </c:pt>
                <c:pt idx="41">
                  <c:v>178.81355932203391</c:v>
                </c:pt>
                <c:pt idx="42">
                  <c:v>185.59322033898303</c:v>
                </c:pt>
                <c:pt idx="43">
                  <c:v>184.74576271186442</c:v>
                </c:pt>
                <c:pt idx="44">
                  <c:v>187.28813559322035</c:v>
                </c:pt>
                <c:pt idx="45">
                  <c:v>191.52542372881356</c:v>
                </c:pt>
                <c:pt idx="46">
                  <c:v>200</c:v>
                </c:pt>
                <c:pt idx="47">
                  <c:v>200</c:v>
                </c:pt>
                <c:pt idx="48">
                  <c:v>206.77966101694915</c:v>
                </c:pt>
                <c:pt idx="49">
                  <c:v>211.01694915254234</c:v>
                </c:pt>
                <c:pt idx="50">
                  <c:v>228.81355932203385</c:v>
                </c:pt>
                <c:pt idx="51">
                  <c:v>230.50847457627114</c:v>
                </c:pt>
                <c:pt idx="52">
                  <c:v>236.44067796610167</c:v>
                </c:pt>
                <c:pt idx="53">
                  <c:v>250</c:v>
                </c:pt>
                <c:pt idx="54">
                  <c:v>283.89830508474574</c:v>
                </c:pt>
                <c:pt idx="55">
                  <c:v>287.28813559322032</c:v>
                </c:pt>
                <c:pt idx="56">
                  <c:v>337.28813559322026</c:v>
                </c:pt>
                <c:pt idx="57">
                  <c:v>353.38983050847457</c:v>
                </c:pt>
                <c:pt idx="58">
                  <c:v>349.99999999999994</c:v>
                </c:pt>
                <c:pt idx="59">
                  <c:v>349.99999999999994</c:v>
                </c:pt>
                <c:pt idx="60">
                  <c:v>356.77966101694915</c:v>
                </c:pt>
                <c:pt idx="61">
                  <c:v>367.79661016949149</c:v>
                </c:pt>
                <c:pt idx="62">
                  <c:v>370.33898305084745</c:v>
                </c:pt>
                <c:pt idx="63">
                  <c:v>370.33898305084745</c:v>
                </c:pt>
                <c:pt idx="64">
                  <c:v>374.57627118644069</c:v>
                </c:pt>
                <c:pt idx="65">
                  <c:v>377.11864406779659</c:v>
                </c:pt>
                <c:pt idx="66">
                  <c:v>378.81355932203394</c:v>
                </c:pt>
                <c:pt idx="67">
                  <c:v>379.6610169491525</c:v>
                </c:pt>
                <c:pt idx="68">
                  <c:v>389.83050847457628</c:v>
                </c:pt>
                <c:pt idx="69">
                  <c:v>384.74576271186436</c:v>
                </c:pt>
                <c:pt idx="70">
                  <c:v>386.4406779661017</c:v>
                </c:pt>
                <c:pt idx="71">
                  <c:v>392.37288135593212</c:v>
                </c:pt>
                <c:pt idx="72">
                  <c:v>402.5423728813559</c:v>
                </c:pt>
                <c:pt idx="73">
                  <c:v>404.23728813559325</c:v>
                </c:pt>
                <c:pt idx="74">
                  <c:v>405.93220338983042</c:v>
                </c:pt>
                <c:pt idx="75">
                  <c:v>408.47457627118644</c:v>
                </c:pt>
                <c:pt idx="76">
                  <c:v>422.03389830508468</c:v>
                </c:pt>
                <c:pt idx="77">
                  <c:v>422.88135593220335</c:v>
                </c:pt>
                <c:pt idx="78">
                  <c:v>422.88135593220335</c:v>
                </c:pt>
                <c:pt idx="79">
                  <c:v>427.96610169491521</c:v>
                </c:pt>
                <c:pt idx="80">
                  <c:v>444.06779661016947</c:v>
                </c:pt>
                <c:pt idx="81">
                  <c:v>444.91525423728814</c:v>
                </c:pt>
                <c:pt idx="82">
                  <c:v>447.45762711864404</c:v>
                </c:pt>
                <c:pt idx="83">
                  <c:v>449.15254237288133</c:v>
                </c:pt>
                <c:pt idx="84">
                  <c:v>464.40677966101686</c:v>
                </c:pt>
                <c:pt idx="85">
                  <c:v>465.25423728813553</c:v>
                </c:pt>
                <c:pt idx="86">
                  <c:v>468.6440677966101</c:v>
                </c:pt>
                <c:pt idx="87">
                  <c:v>466.94915254237281</c:v>
                </c:pt>
                <c:pt idx="88">
                  <c:v>484.74576271186436</c:v>
                </c:pt>
                <c:pt idx="89">
                  <c:v>487.28813559322032</c:v>
                </c:pt>
                <c:pt idx="90">
                  <c:v>486.44067796610165</c:v>
                </c:pt>
                <c:pt idx="91">
                  <c:v>488.13559322033893</c:v>
                </c:pt>
                <c:pt idx="92">
                  <c:v>496.61016949152543</c:v>
                </c:pt>
                <c:pt idx="93">
                  <c:v>503.38983050847457</c:v>
                </c:pt>
                <c:pt idx="94">
                  <c:v>503.38983050847457</c:v>
                </c:pt>
                <c:pt idx="95">
                  <c:v>505.08474576271186</c:v>
                </c:pt>
                <c:pt idx="96">
                  <c:v>505.93220338983053</c:v>
                </c:pt>
                <c:pt idx="97">
                  <c:v>502.5423728813559</c:v>
                </c:pt>
                <c:pt idx="98">
                  <c:v>500.84745762711862</c:v>
                </c:pt>
                <c:pt idx="99">
                  <c:v>500.84745762711862</c:v>
                </c:pt>
                <c:pt idx="100">
                  <c:v>503.38983050847457</c:v>
                </c:pt>
                <c:pt idx="101">
                  <c:v>502.5423728813559</c:v>
                </c:pt>
                <c:pt idx="102">
                  <c:v>500</c:v>
                </c:pt>
                <c:pt idx="103">
                  <c:v>498.30508474576266</c:v>
                </c:pt>
                <c:pt idx="104">
                  <c:v>489.83050847457622</c:v>
                </c:pt>
                <c:pt idx="105">
                  <c:v>492.37288135593218</c:v>
                </c:pt>
                <c:pt idx="106">
                  <c:v>496.61016949152543</c:v>
                </c:pt>
                <c:pt idx="107">
                  <c:v>494.91525423728808</c:v>
                </c:pt>
                <c:pt idx="108">
                  <c:v>501.69491525423729</c:v>
                </c:pt>
                <c:pt idx="109">
                  <c:v>505.08474576271186</c:v>
                </c:pt>
                <c:pt idx="110">
                  <c:v>506.77966101694915</c:v>
                </c:pt>
                <c:pt idx="111">
                  <c:v>499.15254237288133</c:v>
                </c:pt>
                <c:pt idx="112">
                  <c:v>504.23728813559319</c:v>
                </c:pt>
                <c:pt idx="113">
                  <c:v>500.84745762711862</c:v>
                </c:pt>
                <c:pt idx="114">
                  <c:v>504.23728813559319</c:v>
                </c:pt>
                <c:pt idx="115">
                  <c:v>505.93220338983053</c:v>
                </c:pt>
                <c:pt idx="116">
                  <c:v>505.93220338983053</c:v>
                </c:pt>
                <c:pt idx="117">
                  <c:v>494.91525423728808</c:v>
                </c:pt>
                <c:pt idx="118">
                  <c:v>494.91525423728808</c:v>
                </c:pt>
                <c:pt idx="119">
                  <c:v>492.37288135593218</c:v>
                </c:pt>
                <c:pt idx="120">
                  <c:v>476.27118644067792</c:v>
                </c:pt>
                <c:pt idx="121">
                  <c:v>466.94915254237281</c:v>
                </c:pt>
                <c:pt idx="122">
                  <c:v>452.5423728813559</c:v>
                </c:pt>
                <c:pt idx="123">
                  <c:v>454.23728813559319</c:v>
                </c:pt>
                <c:pt idx="124">
                  <c:v>483.05084745762707</c:v>
                </c:pt>
                <c:pt idx="125">
                  <c:v>499.15254237288133</c:v>
                </c:pt>
                <c:pt idx="126">
                  <c:v>490.67796610169489</c:v>
                </c:pt>
                <c:pt idx="127">
                  <c:v>472.03389830508479</c:v>
                </c:pt>
                <c:pt idx="128">
                  <c:v>453.38983050847457</c:v>
                </c:pt>
                <c:pt idx="129">
                  <c:v>461.86440677966101</c:v>
                </c:pt>
                <c:pt idx="130">
                  <c:v>469.49152542372883</c:v>
                </c:pt>
                <c:pt idx="131">
                  <c:v>472.88135593220335</c:v>
                </c:pt>
                <c:pt idx="132">
                  <c:v>458.47457627118644</c:v>
                </c:pt>
                <c:pt idx="133">
                  <c:v>467.79661016949154</c:v>
                </c:pt>
                <c:pt idx="134">
                  <c:v>477.11864406779654</c:v>
                </c:pt>
                <c:pt idx="135">
                  <c:v>499.15254237288133</c:v>
                </c:pt>
                <c:pt idx="136">
                  <c:v>514.40677966101691</c:v>
                </c:pt>
                <c:pt idx="137">
                  <c:v>511.01694915254228</c:v>
                </c:pt>
                <c:pt idx="138">
                  <c:v>528.81355932203383</c:v>
                </c:pt>
                <c:pt idx="139">
                  <c:v>523.72881355932202</c:v>
                </c:pt>
                <c:pt idx="140">
                  <c:v>536.44067796610159</c:v>
                </c:pt>
                <c:pt idx="141">
                  <c:v>537.28813559322032</c:v>
                </c:pt>
                <c:pt idx="142">
                  <c:v>543.22033898305074</c:v>
                </c:pt>
                <c:pt idx="143">
                  <c:v>532.2033898305084</c:v>
                </c:pt>
                <c:pt idx="144">
                  <c:v>516.10169491525414</c:v>
                </c:pt>
                <c:pt idx="145">
                  <c:v>520.33898305084745</c:v>
                </c:pt>
                <c:pt idx="146">
                  <c:v>524.57627118644064</c:v>
                </c:pt>
                <c:pt idx="147">
                  <c:v>531.35593220338978</c:v>
                </c:pt>
                <c:pt idx="148">
                  <c:v>537.28813559322032</c:v>
                </c:pt>
                <c:pt idx="149">
                  <c:v>540.67796610169489</c:v>
                </c:pt>
                <c:pt idx="150">
                  <c:v>550.84745762711862</c:v>
                </c:pt>
                <c:pt idx="151">
                  <c:v>538.13559322033893</c:v>
                </c:pt>
                <c:pt idx="152">
                  <c:v>539.83050847457628</c:v>
                </c:pt>
                <c:pt idx="153">
                  <c:v>536.44067796610159</c:v>
                </c:pt>
                <c:pt idx="154">
                  <c:v>545.76271186440681</c:v>
                </c:pt>
                <c:pt idx="155">
                  <c:v>555.93220338983042</c:v>
                </c:pt>
                <c:pt idx="156">
                  <c:v>570.33898305084745</c:v>
                </c:pt>
                <c:pt idx="157">
                  <c:v>580.50847457627117</c:v>
                </c:pt>
                <c:pt idx="158">
                  <c:v>596.61016949152543</c:v>
                </c:pt>
                <c:pt idx="159">
                  <c:v>633.89830508474563</c:v>
                </c:pt>
                <c:pt idx="160">
                  <c:v>624.57627118644064</c:v>
                </c:pt>
                <c:pt idx="161">
                  <c:v>650</c:v>
                </c:pt>
                <c:pt idx="162">
                  <c:v>649.15254237288127</c:v>
                </c:pt>
                <c:pt idx="163">
                  <c:v>675.42372881355936</c:v>
                </c:pt>
                <c:pt idx="164">
                  <c:v>670.33898305084745</c:v>
                </c:pt>
                <c:pt idx="165">
                  <c:v>681.3559322033899</c:v>
                </c:pt>
                <c:pt idx="166">
                  <c:v>705.0847457627118</c:v>
                </c:pt>
                <c:pt idx="167">
                  <c:v>743.22033898305085</c:v>
                </c:pt>
                <c:pt idx="168">
                  <c:v>744.9152542372882</c:v>
                </c:pt>
                <c:pt idx="169">
                  <c:v>775.42372881355925</c:v>
                </c:pt>
                <c:pt idx="170">
                  <c:v>792.37288135593212</c:v>
                </c:pt>
                <c:pt idx="171">
                  <c:v>815.25423728813564</c:v>
                </c:pt>
                <c:pt idx="172">
                  <c:v>818.64406779660999</c:v>
                </c:pt>
                <c:pt idx="173">
                  <c:v>835.59322033898286</c:v>
                </c:pt>
                <c:pt idx="174">
                  <c:v>837.2881355932202</c:v>
                </c:pt>
                <c:pt idx="175">
                  <c:v>898.30508474576266</c:v>
                </c:pt>
                <c:pt idx="176">
                  <c:v>959.32203389830499</c:v>
                </c:pt>
                <c:pt idx="177">
                  <c:v>1053.3898305084745</c:v>
                </c:pt>
                <c:pt idx="178">
                  <c:v>1062.7118644067796</c:v>
                </c:pt>
                <c:pt idx="179">
                  <c:v>1061.8644067796608</c:v>
                </c:pt>
                <c:pt idx="180">
                  <c:v>1071.1864406779662</c:v>
                </c:pt>
                <c:pt idx="181">
                  <c:v>1075.4237288135594</c:v>
                </c:pt>
                <c:pt idx="182">
                  <c:v>1094.0677966101694</c:v>
                </c:pt>
                <c:pt idx="183">
                  <c:v>1083.8983050847457</c:v>
                </c:pt>
                <c:pt idx="184">
                  <c:v>1018.6440677966102</c:v>
                </c:pt>
                <c:pt idx="185">
                  <c:v>1019.4915254237287</c:v>
                </c:pt>
                <c:pt idx="186">
                  <c:v>1016.9491525423729</c:v>
                </c:pt>
                <c:pt idx="187">
                  <c:v>1019.4915254237287</c:v>
                </c:pt>
                <c:pt idx="188">
                  <c:v>983.89830508474563</c:v>
                </c:pt>
                <c:pt idx="189">
                  <c:v>979.66101694915244</c:v>
                </c:pt>
                <c:pt idx="190">
                  <c:v>973.72881355932202</c:v>
                </c:pt>
                <c:pt idx="191">
                  <c:v>1003.3898305084746</c:v>
                </c:pt>
                <c:pt idx="192">
                  <c:v>1020.3389830508474</c:v>
                </c:pt>
                <c:pt idx="193">
                  <c:v>1017.7966101694914</c:v>
                </c:pt>
                <c:pt idx="194">
                  <c:v>1088.1355932203389</c:v>
                </c:pt>
                <c:pt idx="195">
                  <c:v>1091.5254237288136</c:v>
                </c:pt>
                <c:pt idx="196">
                  <c:v>1127.9661016949153</c:v>
                </c:pt>
                <c:pt idx="197">
                  <c:v>1165.2542372881355</c:v>
                </c:pt>
                <c:pt idx="198">
                  <c:v>1261.8644067796611</c:v>
                </c:pt>
                <c:pt idx="199">
                  <c:v>1270.3389830508474</c:v>
                </c:pt>
                <c:pt idx="200">
                  <c:v>1300</c:v>
                </c:pt>
                <c:pt idx="201">
                  <c:v>1296.6101694915255</c:v>
                </c:pt>
                <c:pt idx="202">
                  <c:v>1348.3050847457625</c:v>
                </c:pt>
                <c:pt idx="203">
                  <c:v>1286.4406779661017</c:v>
                </c:pt>
                <c:pt idx="204">
                  <c:v>1246.6101694915253</c:v>
                </c:pt>
                <c:pt idx="205">
                  <c:v>1290.6779661016949</c:v>
                </c:pt>
                <c:pt idx="206">
                  <c:v>1373.7288135593219</c:v>
                </c:pt>
                <c:pt idx="207">
                  <c:v>1198.3050847457625</c:v>
                </c:pt>
                <c:pt idx="208">
                  <c:v>1179.6610169491523</c:v>
                </c:pt>
                <c:pt idx="209">
                  <c:v>1186.4406779661015</c:v>
                </c:pt>
                <c:pt idx="210">
                  <c:v>1145.7627118644066</c:v>
                </c:pt>
                <c:pt idx="211">
                  <c:v>1111.8644067796608</c:v>
                </c:pt>
                <c:pt idx="212">
                  <c:v>1153.3898305084745</c:v>
                </c:pt>
                <c:pt idx="213">
                  <c:v>1144.0677966101694</c:v>
                </c:pt>
                <c:pt idx="214">
                  <c:v>1196.6101694915253</c:v>
                </c:pt>
                <c:pt idx="215">
                  <c:v>1250</c:v>
                </c:pt>
                <c:pt idx="216">
                  <c:v>1421.1864406779659</c:v>
                </c:pt>
                <c:pt idx="217">
                  <c:v>1291.5254237288134</c:v>
                </c:pt>
                <c:pt idx="218">
                  <c:v>1272.0338983050847</c:v>
                </c:pt>
                <c:pt idx="219">
                  <c:v>1311.0169491525421</c:v>
                </c:pt>
                <c:pt idx="220">
                  <c:v>1255.0847457627117</c:v>
                </c:pt>
                <c:pt idx="221">
                  <c:v>1236.4406779661017</c:v>
                </c:pt>
                <c:pt idx="222">
                  <c:v>1261.8644067796611</c:v>
                </c:pt>
                <c:pt idx="223">
                  <c:v>1250</c:v>
                </c:pt>
                <c:pt idx="224">
                  <c:v>1314.4067796610168</c:v>
                </c:pt>
                <c:pt idx="225">
                  <c:v>1311.8644067796611</c:v>
                </c:pt>
                <c:pt idx="226">
                  <c:v>1323.7288135593217</c:v>
                </c:pt>
                <c:pt idx="227">
                  <c:v>1317.7966101694915</c:v>
                </c:pt>
                <c:pt idx="228">
                  <c:v>1313.5593220338983</c:v>
                </c:pt>
                <c:pt idx="229">
                  <c:v>1277.1186440677964</c:v>
                </c:pt>
                <c:pt idx="230">
                  <c:v>1289.8305084745762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7A-4B8E-8482-FB4CCE699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314736"/>
        <c:axId val="1936493280"/>
      </c:lineChart>
      <c:dateAx>
        <c:axId val="2018314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93280"/>
        <c:crosses val="autoZero"/>
        <c:auto val="1"/>
        <c:lblOffset val="100"/>
        <c:baseTimeUnit val="months"/>
      </c:dateAx>
      <c:valAx>
        <c:axId val="19364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 (Mar-1970 =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1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Year-on-year % change — energy vs manufacturing input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Charts!$P$51</c:f>
              <c:strCache>
                <c:ptCount val="1"/>
                <c:pt idx="0">
                  <c:v>Manufacturing division</c:v>
                </c:pt>
              </c:strCache>
            </c:strRef>
          </c:tx>
          <c:spPr>
            <a:ln w="22225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Charts!$O$52:$O$282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Charts!$P$52:$P$282</c:f>
              <c:numCache>
                <c:formatCode>0.0%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1.8691588785046731E-2</c:v>
                </c:pt>
                <c:pt idx="5">
                  <c:v>3.883495145631044E-2</c:v>
                </c:pt>
                <c:pt idx="6">
                  <c:v>2.8571428571428692E-2</c:v>
                </c:pt>
                <c:pt idx="7">
                  <c:v>9.2592592592593004E-3</c:v>
                </c:pt>
                <c:pt idx="8">
                  <c:v>-1.8348623853211121E-2</c:v>
                </c:pt>
                <c:pt idx="9">
                  <c:v>-2.8037383177569986E-2</c:v>
                </c:pt>
                <c:pt idx="10">
                  <c:v>-1.8518518518518601E-2</c:v>
                </c:pt>
                <c:pt idx="11">
                  <c:v>-1.8348623853211121E-2</c:v>
                </c:pt>
                <c:pt idx="12">
                  <c:v>2.8037383177570208E-2</c:v>
                </c:pt>
                <c:pt idx="13">
                  <c:v>2.8846153846153744E-2</c:v>
                </c:pt>
                <c:pt idx="14">
                  <c:v>1.8867924528301883E-2</c:v>
                </c:pt>
                <c:pt idx="15">
                  <c:v>1.8691588785046731E-2</c:v>
                </c:pt>
                <c:pt idx="16">
                  <c:v>4.5454545454545414E-2</c:v>
                </c:pt>
                <c:pt idx="17">
                  <c:v>7.4766355140186924E-2</c:v>
                </c:pt>
                <c:pt idx="18">
                  <c:v>0.13888888888888884</c:v>
                </c:pt>
                <c:pt idx="19">
                  <c:v>0.17431192660550465</c:v>
                </c:pt>
                <c:pt idx="20">
                  <c:v>0.18260869565217397</c:v>
                </c:pt>
                <c:pt idx="21">
                  <c:v>0.19999999999999996</c:v>
                </c:pt>
                <c:pt idx="22">
                  <c:v>0.17886178861788604</c:v>
                </c:pt>
                <c:pt idx="23">
                  <c:v>0.171875</c:v>
                </c:pt>
                <c:pt idx="24">
                  <c:v>0.125</c:v>
                </c:pt>
                <c:pt idx="25">
                  <c:v>9.4202898550724612E-2</c:v>
                </c:pt>
                <c:pt idx="26">
                  <c:v>5.5172413793103559E-2</c:v>
                </c:pt>
                <c:pt idx="27">
                  <c:v>4.0000000000000036E-2</c:v>
                </c:pt>
                <c:pt idx="28">
                  <c:v>4.5751633986928164E-2</c:v>
                </c:pt>
                <c:pt idx="29">
                  <c:v>9.9337748344370924E-2</c:v>
                </c:pt>
                <c:pt idx="30">
                  <c:v>0.11111111111111116</c:v>
                </c:pt>
                <c:pt idx="31">
                  <c:v>0.10897435897435903</c:v>
                </c:pt>
                <c:pt idx="32">
                  <c:v>0.14375000000000004</c:v>
                </c:pt>
                <c:pt idx="33">
                  <c:v>0.11445783132530107</c:v>
                </c:pt>
                <c:pt idx="34">
                  <c:v>0.16470588235294126</c:v>
                </c:pt>
                <c:pt idx="35">
                  <c:v>0.17919075144508656</c:v>
                </c:pt>
                <c:pt idx="36">
                  <c:v>0.12021857923497259</c:v>
                </c:pt>
                <c:pt idx="37">
                  <c:v>0.10270270270270254</c:v>
                </c:pt>
                <c:pt idx="38">
                  <c:v>6.5656565656565746E-2</c:v>
                </c:pt>
                <c:pt idx="39">
                  <c:v>7.3529411764705843E-2</c:v>
                </c:pt>
                <c:pt idx="40">
                  <c:v>0.14146341463414625</c:v>
                </c:pt>
                <c:pt idx="41">
                  <c:v>0.20588235294117663</c:v>
                </c:pt>
                <c:pt idx="42">
                  <c:v>0.27014218009478674</c:v>
                </c:pt>
                <c:pt idx="43">
                  <c:v>0.37899543378995437</c:v>
                </c:pt>
                <c:pt idx="44">
                  <c:v>0.341880341880342</c:v>
                </c:pt>
                <c:pt idx="45">
                  <c:v>0.3414634146341462</c:v>
                </c:pt>
                <c:pt idx="46">
                  <c:v>0.34701492537313428</c:v>
                </c:pt>
                <c:pt idx="47">
                  <c:v>0.16887417218543033</c:v>
                </c:pt>
                <c:pt idx="48">
                  <c:v>0.17834394904458595</c:v>
                </c:pt>
                <c:pt idx="49">
                  <c:v>0.1212121212121211</c:v>
                </c:pt>
                <c:pt idx="50">
                  <c:v>4.4321329639889218E-2</c:v>
                </c:pt>
                <c:pt idx="51">
                  <c:v>6.5155807365439244E-2</c:v>
                </c:pt>
                <c:pt idx="52">
                  <c:v>2.4324324324324298E-2</c:v>
                </c:pt>
                <c:pt idx="53">
                  <c:v>2.7027027027026751E-3</c:v>
                </c:pt>
                <c:pt idx="54">
                  <c:v>0</c:v>
                </c:pt>
                <c:pt idx="55">
                  <c:v>3.4574468085106336E-2</c:v>
                </c:pt>
                <c:pt idx="56">
                  <c:v>3.9577836411609502E-2</c:v>
                </c:pt>
                <c:pt idx="57">
                  <c:v>7.0080862533692834E-2</c:v>
                </c:pt>
                <c:pt idx="58">
                  <c:v>9.2838196286472163E-2</c:v>
                </c:pt>
                <c:pt idx="59">
                  <c:v>0.11825192802056561</c:v>
                </c:pt>
                <c:pt idx="60">
                  <c:v>8.3756345177665059E-2</c:v>
                </c:pt>
                <c:pt idx="61">
                  <c:v>5.7934508816120722E-2</c:v>
                </c:pt>
                <c:pt idx="62">
                  <c:v>2.9126213592232997E-2</c:v>
                </c:pt>
                <c:pt idx="63">
                  <c:v>-2.0689655172413723E-2</c:v>
                </c:pt>
                <c:pt idx="64">
                  <c:v>1.6393442622950616E-2</c:v>
                </c:pt>
                <c:pt idx="65">
                  <c:v>2.3809523809523725E-2</c:v>
                </c:pt>
                <c:pt idx="66">
                  <c:v>4.2452830188679291E-2</c:v>
                </c:pt>
                <c:pt idx="67">
                  <c:v>0.11971830985915499</c:v>
                </c:pt>
                <c:pt idx="68">
                  <c:v>0.13133640552995396</c:v>
                </c:pt>
                <c:pt idx="69">
                  <c:v>0.13488372093023249</c:v>
                </c:pt>
                <c:pt idx="70">
                  <c:v>7.0135746606334815E-2</c:v>
                </c:pt>
                <c:pt idx="71">
                  <c:v>-0.11530398322851154</c:v>
                </c:pt>
                <c:pt idx="72">
                  <c:v>-8.7576374745417573E-2</c:v>
                </c:pt>
                <c:pt idx="73">
                  <c:v>-3.688524590163933E-2</c:v>
                </c:pt>
                <c:pt idx="74">
                  <c:v>1.6913319238900826E-2</c:v>
                </c:pt>
                <c:pt idx="75">
                  <c:v>0.14454976303317513</c:v>
                </c:pt>
                <c:pt idx="76">
                  <c:v>8.9285714285714191E-2</c:v>
                </c:pt>
                <c:pt idx="77">
                  <c:v>4.4680851063829907E-2</c:v>
                </c:pt>
                <c:pt idx="78">
                  <c:v>4.1580041580041582E-2</c:v>
                </c:pt>
                <c:pt idx="79">
                  <c:v>4.7619047619047672E-2</c:v>
                </c:pt>
                <c:pt idx="80">
                  <c:v>2.4590163934426368E-2</c:v>
                </c:pt>
                <c:pt idx="81">
                  <c:v>-8.1466395112016476E-3</c:v>
                </c:pt>
                <c:pt idx="82">
                  <c:v>-1.9960079840319889E-3</c:v>
                </c:pt>
                <c:pt idx="83">
                  <c:v>4.5454545454545414E-2</c:v>
                </c:pt>
                <c:pt idx="84">
                  <c:v>6.0000000000000053E-2</c:v>
                </c:pt>
                <c:pt idx="85">
                  <c:v>8.0082135523613873E-2</c:v>
                </c:pt>
                <c:pt idx="86">
                  <c:v>7.4000000000000066E-2</c:v>
                </c:pt>
                <c:pt idx="87">
                  <c:v>-1.890359168241984E-3</c:v>
                </c:pt>
                <c:pt idx="88">
                  <c:v>2.8301886792452935E-2</c:v>
                </c:pt>
                <c:pt idx="89">
                  <c:v>0.11977186311787058</c:v>
                </c:pt>
                <c:pt idx="90">
                  <c:v>1.3035381750465369E-2</c:v>
                </c:pt>
                <c:pt idx="91">
                  <c:v>1.8939393939394478E-3</c:v>
                </c:pt>
                <c:pt idx="92">
                  <c:v>-2.2018348623853212E-2</c:v>
                </c:pt>
                <c:pt idx="93">
                  <c:v>-9.1680814940577227E-2</c:v>
                </c:pt>
                <c:pt idx="94">
                  <c:v>-1.2867647058823484E-2</c:v>
                </c:pt>
                <c:pt idx="95">
                  <c:v>3.2136105860113506E-2</c:v>
                </c:pt>
                <c:pt idx="96">
                  <c:v>6.0037523452157737E-2</c:v>
                </c:pt>
                <c:pt idx="97">
                  <c:v>6.3551401869158752E-2</c:v>
                </c:pt>
                <c:pt idx="98">
                  <c:v>5.027932960893855E-2</c:v>
                </c:pt>
                <c:pt idx="99">
                  <c:v>2.7472527472527375E-2</c:v>
                </c:pt>
                <c:pt idx="100">
                  <c:v>5.3097345132742113E-3</c:v>
                </c:pt>
                <c:pt idx="101">
                  <c:v>-1.4059753954305698E-2</c:v>
                </c:pt>
                <c:pt idx="102">
                  <c:v>-3.546099290780147E-2</c:v>
                </c:pt>
                <c:pt idx="103">
                  <c:v>-2.3172905525846832E-2</c:v>
                </c:pt>
                <c:pt idx="104">
                  <c:v>-1.936619718309851E-2</c:v>
                </c:pt>
                <c:pt idx="105">
                  <c:v>-7.1301247771835552E-3</c:v>
                </c:pt>
                <c:pt idx="106">
                  <c:v>5.3308823529411686E-2</c:v>
                </c:pt>
                <c:pt idx="107">
                  <c:v>8.7591240875912524E-2</c:v>
                </c:pt>
                <c:pt idx="108">
                  <c:v>5.9245960502692929E-2</c:v>
                </c:pt>
                <c:pt idx="109">
                  <c:v>4.6678635547576119E-2</c:v>
                </c:pt>
                <c:pt idx="110">
                  <c:v>2.443280977312412E-2</c:v>
                </c:pt>
                <c:pt idx="111">
                  <c:v>-3.6912751677852351E-2</c:v>
                </c:pt>
                <c:pt idx="112">
                  <c:v>-4.5762711864406835E-2</c:v>
                </c:pt>
                <c:pt idx="113">
                  <c:v>-3.4305317324185292E-2</c:v>
                </c:pt>
                <c:pt idx="114">
                  <c:v>-3.9182282793867151E-2</c:v>
                </c:pt>
                <c:pt idx="115">
                  <c:v>-2.6132404181184676E-2</c:v>
                </c:pt>
                <c:pt idx="116">
                  <c:v>3.5523978685614299E-3</c:v>
                </c:pt>
                <c:pt idx="117">
                  <c:v>0.17584369449378334</c:v>
                </c:pt>
                <c:pt idx="118">
                  <c:v>0.16489361702127669</c:v>
                </c:pt>
                <c:pt idx="119">
                  <c:v>0.18604651162790686</c:v>
                </c:pt>
                <c:pt idx="120">
                  <c:v>0.18230088495575214</c:v>
                </c:pt>
                <c:pt idx="121">
                  <c:v>-4.5317220543805714E-3</c:v>
                </c:pt>
                <c:pt idx="122">
                  <c:v>-1.2176560121765601E-2</c:v>
                </c:pt>
                <c:pt idx="123">
                  <c:v>-2.4132730015082871E-2</c:v>
                </c:pt>
                <c:pt idx="124">
                  <c:v>-2.5449101796407247E-2</c:v>
                </c:pt>
                <c:pt idx="125">
                  <c:v>2.1244309559939278E-2</c:v>
                </c:pt>
                <c:pt idx="126">
                  <c:v>6.6255778120184905E-2</c:v>
                </c:pt>
                <c:pt idx="127">
                  <c:v>0.11437403400309099</c:v>
                </c:pt>
                <c:pt idx="128">
                  <c:v>0.12903225806451624</c:v>
                </c:pt>
                <c:pt idx="129">
                  <c:v>0.13670133729569089</c:v>
                </c:pt>
                <c:pt idx="130">
                  <c:v>9.6820809248554962E-2</c:v>
                </c:pt>
                <c:pt idx="131">
                  <c:v>8.3217753120665705E-2</c:v>
                </c:pt>
                <c:pt idx="132">
                  <c:v>3.9455782312925347E-2</c:v>
                </c:pt>
                <c:pt idx="133">
                  <c:v>-1.0457516339869244E-2</c:v>
                </c:pt>
                <c:pt idx="134">
                  <c:v>-1.3175230566534912E-2</c:v>
                </c:pt>
                <c:pt idx="135">
                  <c:v>-3.4571062740076708E-2</c:v>
                </c:pt>
                <c:pt idx="136">
                  <c:v>-1.5706806282722585E-2</c:v>
                </c:pt>
                <c:pt idx="137">
                  <c:v>-3.9630118890355837E-3</c:v>
                </c:pt>
                <c:pt idx="138">
                  <c:v>1.4686248331108098E-2</c:v>
                </c:pt>
                <c:pt idx="139">
                  <c:v>-1.0610079575597009E-2</c:v>
                </c:pt>
                <c:pt idx="140">
                  <c:v>-3.0585106382978733E-2</c:v>
                </c:pt>
                <c:pt idx="141">
                  <c:v>-3.8461538461538547E-2</c:v>
                </c:pt>
                <c:pt idx="142">
                  <c:v>-6.184210526315792E-2</c:v>
                </c:pt>
                <c:pt idx="143">
                  <c:v>-2.0107238605898137E-2</c:v>
                </c:pt>
                <c:pt idx="144">
                  <c:v>4.9382716049382713E-2</c:v>
                </c:pt>
                <c:pt idx="145">
                  <c:v>7.3103448275862126E-2</c:v>
                </c:pt>
                <c:pt idx="146">
                  <c:v>8.1346423562412395E-2</c:v>
                </c:pt>
                <c:pt idx="147">
                  <c:v>7.2503419972640426E-2</c:v>
                </c:pt>
                <c:pt idx="148">
                  <c:v>4.8366013071895475E-2</c:v>
                </c:pt>
                <c:pt idx="149">
                  <c:v>3.2133676092545027E-2</c:v>
                </c:pt>
                <c:pt idx="150">
                  <c:v>6.4850843060959784E-2</c:v>
                </c:pt>
                <c:pt idx="151">
                  <c:v>9.4387755102040671E-2</c:v>
                </c:pt>
                <c:pt idx="152">
                  <c:v>8.4788029925187081E-2</c:v>
                </c:pt>
                <c:pt idx="153">
                  <c:v>7.4719800747198084E-2</c:v>
                </c:pt>
                <c:pt idx="154">
                  <c:v>4.7503045066991545E-2</c:v>
                </c:pt>
                <c:pt idx="155">
                  <c:v>2.5641025641025772E-2</c:v>
                </c:pt>
                <c:pt idx="156">
                  <c:v>9.1954022988505191E-3</c:v>
                </c:pt>
                <c:pt idx="157">
                  <c:v>3.5921205098493836E-2</c:v>
                </c:pt>
                <c:pt idx="158">
                  <c:v>5.8139534883721034E-2</c:v>
                </c:pt>
                <c:pt idx="159">
                  <c:v>7.4999999999999956E-2</c:v>
                </c:pt>
                <c:pt idx="160">
                  <c:v>0.12528473804100226</c:v>
                </c:pt>
                <c:pt idx="161">
                  <c:v>0.14429530201342278</c:v>
                </c:pt>
                <c:pt idx="162">
                  <c:v>5.9340659340659352E-2</c:v>
                </c:pt>
                <c:pt idx="163">
                  <c:v>-3.9112050739957605E-2</c:v>
                </c:pt>
                <c:pt idx="164">
                  <c:v>-8.4008097165991891E-2</c:v>
                </c:pt>
                <c:pt idx="165">
                  <c:v>-0.13489736070381231</c:v>
                </c:pt>
                <c:pt idx="166">
                  <c:v>-6.3278008298755295E-2</c:v>
                </c:pt>
                <c:pt idx="167">
                  <c:v>1.980198019801982E-2</c:v>
                </c:pt>
                <c:pt idx="168">
                  <c:v>3.4254143646408775E-2</c:v>
                </c:pt>
                <c:pt idx="169">
                  <c:v>5.9887005649717384E-2</c:v>
                </c:pt>
                <c:pt idx="170">
                  <c:v>8.5271317829457294E-2</c:v>
                </c:pt>
                <c:pt idx="171">
                  <c:v>9.9244875943905075E-2</c:v>
                </c:pt>
                <c:pt idx="172">
                  <c:v>9.1880341880341998E-2</c:v>
                </c:pt>
                <c:pt idx="173">
                  <c:v>7.4626865671641784E-2</c:v>
                </c:pt>
                <c:pt idx="174">
                  <c:v>1.7346938775510301E-2</c:v>
                </c:pt>
                <c:pt idx="175">
                  <c:v>-1.3738959764475034E-2</c:v>
                </c:pt>
                <c:pt idx="176">
                  <c:v>-3.32681017612525E-2</c:v>
                </c:pt>
                <c:pt idx="177">
                  <c:v>-9.9206349206348854E-3</c:v>
                </c:pt>
                <c:pt idx="178">
                  <c:v>0</c:v>
                </c:pt>
                <c:pt idx="179">
                  <c:v>-2.5870646766169125E-2</c:v>
                </c:pt>
                <c:pt idx="180">
                  <c:v>2.2267206477732726E-2</c:v>
                </c:pt>
                <c:pt idx="181">
                  <c:v>6.0120240480963094E-3</c:v>
                </c:pt>
                <c:pt idx="182">
                  <c:v>3.1093279839518484E-2</c:v>
                </c:pt>
                <c:pt idx="183">
                  <c:v>3.9836567926455402E-2</c:v>
                </c:pt>
                <c:pt idx="184">
                  <c:v>-2.9702970297029729E-3</c:v>
                </c:pt>
                <c:pt idx="185">
                  <c:v>-3.9840637450200278E-3</c:v>
                </c:pt>
                <c:pt idx="186">
                  <c:v>-4.5719844357976713E-2</c:v>
                </c:pt>
                <c:pt idx="187">
                  <c:v>-1.8664047151276897E-2</c:v>
                </c:pt>
                <c:pt idx="188">
                  <c:v>-5.9582919563059278E-3</c:v>
                </c:pt>
                <c:pt idx="189">
                  <c:v>-1.9000000000000017E-2</c:v>
                </c:pt>
                <c:pt idx="190">
                  <c:v>-1.0193679918450549E-2</c:v>
                </c:pt>
                <c:pt idx="191">
                  <c:v>-1.9019019019019034E-2</c:v>
                </c:pt>
                <c:pt idx="192">
                  <c:v>-9.9900099900096517E-4</c:v>
                </c:pt>
                <c:pt idx="193">
                  <c:v>2.2426095820591296E-2</c:v>
                </c:pt>
                <c:pt idx="194">
                  <c:v>5.0463439752832295E-2</c:v>
                </c:pt>
                <c:pt idx="195">
                  <c:v>4.1836734693877498E-2</c:v>
                </c:pt>
                <c:pt idx="196">
                  <c:v>1.4999999999999902E-2</c:v>
                </c:pt>
                <c:pt idx="197">
                  <c:v>2.9910269192422678E-2</c:v>
                </c:pt>
                <c:pt idx="198">
                  <c:v>4.117647058823537E-2</c:v>
                </c:pt>
                <c:pt idx="199">
                  <c:v>6.3663075416258597E-2</c:v>
                </c:pt>
                <c:pt idx="200">
                  <c:v>7.8817733990147687E-2</c:v>
                </c:pt>
                <c:pt idx="201">
                  <c:v>6.1955469506292493E-2</c:v>
                </c:pt>
                <c:pt idx="202">
                  <c:v>3.9548022598870025E-2</c:v>
                </c:pt>
                <c:pt idx="203">
                  <c:v>3.8674033149171283E-2</c:v>
                </c:pt>
                <c:pt idx="204">
                  <c:v>5.0228310502283158E-2</c:v>
                </c:pt>
                <c:pt idx="205">
                  <c:v>3.7374658158614293E-2</c:v>
                </c:pt>
                <c:pt idx="206">
                  <c:v>4.6195652173913082E-2</c:v>
                </c:pt>
                <c:pt idx="207">
                  <c:v>1.5070921985815611E-2</c:v>
                </c:pt>
                <c:pt idx="208">
                  <c:v>-2.6086956521739202E-3</c:v>
                </c:pt>
                <c:pt idx="209">
                  <c:v>1.1423550087873435E-2</c:v>
                </c:pt>
                <c:pt idx="210">
                  <c:v>1.8181818181818077E-2</c:v>
                </c:pt>
                <c:pt idx="211">
                  <c:v>6.5502183406113579E-2</c:v>
                </c:pt>
                <c:pt idx="212">
                  <c:v>0.1124673060156931</c:v>
                </c:pt>
                <c:pt idx="213">
                  <c:v>0.13987836663770636</c:v>
                </c:pt>
                <c:pt idx="214">
                  <c:v>0.18452380952380976</c:v>
                </c:pt>
                <c:pt idx="215">
                  <c:v>0.17704918032786887</c:v>
                </c:pt>
                <c:pt idx="216">
                  <c:v>0.14263322884012553</c:v>
                </c:pt>
                <c:pt idx="217">
                  <c:v>0.10823170731707332</c:v>
                </c:pt>
                <c:pt idx="218">
                  <c:v>4.020100502512558E-2</c:v>
                </c:pt>
                <c:pt idx="219">
                  <c:v>6.9637883008355494E-3</c:v>
                </c:pt>
                <c:pt idx="220">
                  <c:v>-2.5377229080932873E-2</c:v>
                </c:pt>
                <c:pt idx="221">
                  <c:v>-1.9944979367262805E-2</c:v>
                </c:pt>
                <c:pt idx="222">
                  <c:v>-8.9717046238786402E-3</c:v>
                </c:pt>
                <c:pt idx="223">
                  <c:v>1.5214384508990486E-2</c:v>
                </c:pt>
                <c:pt idx="224">
                  <c:v>3.8001407459535619E-2</c:v>
                </c:pt>
                <c:pt idx="225">
                  <c:v>4.982456140350866E-2</c:v>
                </c:pt>
                <c:pt idx="226">
                  <c:v>8.2172701949860816E-2</c:v>
                </c:pt>
                <c:pt idx="227">
                  <c:v>7.629427792915533E-2</c:v>
                </c:pt>
                <c:pt idx="228">
                  <c:v>7.864406779661004E-2</c:v>
                </c:pt>
                <c:pt idx="229">
                  <c:v>0.1156417112299466</c:v>
                </c:pt>
                <c:pt idx="230">
                  <c:v>0.11583011583011582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59-47AC-AB46-10D86B128978}"/>
            </c:ext>
          </c:extLst>
        </c:ser>
        <c:ser>
          <c:idx val="1"/>
          <c:order val="1"/>
          <c:tx>
            <c:strRef>
              <c:f>Charts!$Q$51</c:f>
              <c:strCache>
                <c:ptCount val="1"/>
                <c:pt idx="0">
                  <c:v>Mfg. less petroleum</c:v>
                </c:pt>
              </c:strCache>
            </c:strRef>
          </c:tx>
          <c:spPr>
            <a:ln w="2222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Charts!$O$52:$O$282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Charts!$Q$52:$Q$282</c:f>
              <c:numCache>
                <c:formatCode>0.0%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8.3809523809523778E-2</c:v>
                </c:pt>
                <c:pt idx="81">
                  <c:v>7.1563088512240913E-2</c:v>
                </c:pt>
                <c:pt idx="82">
                  <c:v>3.2667876588021727E-2</c:v>
                </c:pt>
                <c:pt idx="83">
                  <c:v>4.7703180212014029E-2</c:v>
                </c:pt>
                <c:pt idx="84">
                  <c:v>4.0421792618629215E-2</c:v>
                </c:pt>
                <c:pt idx="85">
                  <c:v>2.8119507908611618E-2</c:v>
                </c:pt>
                <c:pt idx="86">
                  <c:v>4.0421792618629215E-2</c:v>
                </c:pt>
                <c:pt idx="87">
                  <c:v>5.0590219224284638E-3</c:v>
                </c:pt>
                <c:pt idx="88">
                  <c:v>-1.1824324324324342E-2</c:v>
                </c:pt>
                <c:pt idx="89">
                  <c:v>-5.12820512820511E-3</c:v>
                </c:pt>
                <c:pt idx="90">
                  <c:v>-1.0135135135135198E-2</c:v>
                </c:pt>
                <c:pt idx="91">
                  <c:v>-2.1812080536912859E-2</c:v>
                </c:pt>
                <c:pt idx="92">
                  <c:v>-3.4188034188035177E-3</c:v>
                </c:pt>
                <c:pt idx="93">
                  <c:v>-8.5910652920961894E-3</c:v>
                </c:pt>
                <c:pt idx="94">
                  <c:v>1.0238907849829282E-2</c:v>
                </c:pt>
                <c:pt idx="95">
                  <c:v>2.572898799313883E-2</c:v>
                </c:pt>
                <c:pt idx="96">
                  <c:v>3.9451114922813169E-2</c:v>
                </c:pt>
                <c:pt idx="97">
                  <c:v>6.4124783362218274E-2</c:v>
                </c:pt>
                <c:pt idx="98">
                  <c:v>3.8851351351351315E-2</c:v>
                </c:pt>
                <c:pt idx="99">
                  <c:v>2.34113712374584E-2</c:v>
                </c:pt>
                <c:pt idx="100">
                  <c:v>3.3003300330032959E-2</c:v>
                </c:pt>
                <c:pt idx="101">
                  <c:v>1.9543973941368087E-2</c:v>
                </c:pt>
                <c:pt idx="102">
                  <c:v>6.5040650406504863E-3</c:v>
                </c:pt>
                <c:pt idx="103">
                  <c:v>1.6339869281045694E-2</c:v>
                </c:pt>
                <c:pt idx="104">
                  <c:v>3.1948881789136685E-3</c:v>
                </c:pt>
                <c:pt idx="105">
                  <c:v>1.437699680511173E-2</c:v>
                </c:pt>
                <c:pt idx="106">
                  <c:v>4.5234248788368348E-2</c:v>
                </c:pt>
                <c:pt idx="107">
                  <c:v>8.1993569131832755E-2</c:v>
                </c:pt>
                <c:pt idx="108">
                  <c:v>7.3248407643312197E-2</c:v>
                </c:pt>
                <c:pt idx="109">
                  <c:v>4.5669291338582774E-2</c:v>
                </c:pt>
                <c:pt idx="110">
                  <c:v>1.2364760432766575E-2</c:v>
                </c:pt>
                <c:pt idx="111">
                  <c:v>-4.6062407132243632E-2</c:v>
                </c:pt>
                <c:pt idx="112">
                  <c:v>-7.2700296735905168E-2</c:v>
                </c:pt>
                <c:pt idx="113">
                  <c:v>-7.8313253012048278E-2</c:v>
                </c:pt>
                <c:pt idx="114">
                  <c:v>-6.4122137404580171E-2</c:v>
                </c:pt>
                <c:pt idx="115">
                  <c:v>-3.4267912772585674E-2</c:v>
                </c:pt>
                <c:pt idx="116">
                  <c:v>6.3999999999999613E-3</c:v>
                </c:pt>
                <c:pt idx="117">
                  <c:v>0.13398692810457513</c:v>
                </c:pt>
                <c:pt idx="118">
                  <c:v>0.137030995106036</c:v>
                </c:pt>
                <c:pt idx="119">
                  <c:v>0.13387096774193541</c:v>
                </c:pt>
                <c:pt idx="120">
                  <c:v>0.13036565977742431</c:v>
                </c:pt>
                <c:pt idx="121">
                  <c:v>8.6455331412103043E-3</c:v>
                </c:pt>
                <c:pt idx="122">
                  <c:v>-5.7388809182210565E-3</c:v>
                </c:pt>
                <c:pt idx="123">
                  <c:v>-2.7027027027026862E-2</c:v>
                </c:pt>
                <c:pt idx="124">
                  <c:v>-4.641350210970463E-2</c:v>
                </c:pt>
                <c:pt idx="125">
                  <c:v>-8.5714285714284522E-3</c:v>
                </c:pt>
                <c:pt idx="126">
                  <c:v>2.3088023088023268E-2</c:v>
                </c:pt>
                <c:pt idx="127">
                  <c:v>6.8713450292397393E-2</c:v>
                </c:pt>
                <c:pt idx="128">
                  <c:v>9.2920353982300918E-2</c:v>
                </c:pt>
                <c:pt idx="129">
                  <c:v>9.7982708933717522E-2</c:v>
                </c:pt>
                <c:pt idx="130">
                  <c:v>8.6036671368123985E-2</c:v>
                </c:pt>
                <c:pt idx="131">
                  <c:v>7.9343365253078169E-2</c:v>
                </c:pt>
                <c:pt idx="132">
                  <c:v>5.2631578947368585E-2</c:v>
                </c:pt>
                <c:pt idx="133">
                  <c:v>2.8871391076115582E-2</c:v>
                </c:pt>
                <c:pt idx="134">
                  <c:v>1.1688311688311748E-2</c:v>
                </c:pt>
                <c:pt idx="135">
                  <c:v>-1.7743979721166148E-2</c:v>
                </c:pt>
                <c:pt idx="136">
                  <c:v>-1.5384615384615441E-2</c:v>
                </c:pt>
                <c:pt idx="137">
                  <c:v>-1.2755102040816313E-2</c:v>
                </c:pt>
                <c:pt idx="138">
                  <c:v>-7.7021822849808741E-3</c:v>
                </c:pt>
                <c:pt idx="139">
                  <c:v>-9.0322580645161299E-3</c:v>
                </c:pt>
                <c:pt idx="140">
                  <c:v>-2.2135416666666741E-2</c:v>
                </c:pt>
                <c:pt idx="141">
                  <c:v>-3.7467700258397962E-2</c:v>
                </c:pt>
                <c:pt idx="142">
                  <c:v>-5.1746442432082818E-2</c:v>
                </c:pt>
                <c:pt idx="143">
                  <c:v>-2.34375E-2</c:v>
                </c:pt>
                <c:pt idx="144">
                  <c:v>3.3288948069241098E-2</c:v>
                </c:pt>
                <c:pt idx="145">
                  <c:v>5.3691275167785157E-2</c:v>
                </c:pt>
                <c:pt idx="146">
                  <c:v>7.0941336971350744E-2</c:v>
                </c:pt>
                <c:pt idx="147">
                  <c:v>5.7333333333333236E-2</c:v>
                </c:pt>
                <c:pt idx="148">
                  <c:v>3.2216494845360932E-2</c:v>
                </c:pt>
                <c:pt idx="149">
                  <c:v>3.0573248407643305E-2</c:v>
                </c:pt>
                <c:pt idx="150">
                  <c:v>5.2229299363057313E-2</c:v>
                </c:pt>
                <c:pt idx="151">
                  <c:v>7.4401008827238435E-2</c:v>
                </c:pt>
                <c:pt idx="152">
                  <c:v>7.9900124843945042E-2</c:v>
                </c:pt>
                <c:pt idx="153">
                  <c:v>8.8998763906056766E-2</c:v>
                </c:pt>
                <c:pt idx="154">
                  <c:v>6.4164648910411737E-2</c:v>
                </c:pt>
                <c:pt idx="155">
                  <c:v>4.5774647887323772E-2</c:v>
                </c:pt>
                <c:pt idx="156">
                  <c:v>2.8901734104046284E-2</c:v>
                </c:pt>
                <c:pt idx="157">
                  <c:v>1.1350737797956922E-2</c:v>
                </c:pt>
                <c:pt idx="158">
                  <c:v>1.9340159271899804E-2</c:v>
                </c:pt>
                <c:pt idx="159">
                  <c:v>2.2446689113355678E-2</c:v>
                </c:pt>
                <c:pt idx="160">
                  <c:v>6.5168539325842767E-2</c:v>
                </c:pt>
                <c:pt idx="161">
                  <c:v>0.16161616161616177</c:v>
                </c:pt>
                <c:pt idx="162">
                  <c:v>0.1238839285714286</c:v>
                </c:pt>
                <c:pt idx="163">
                  <c:v>4.6103183315038487E-2</c:v>
                </c:pt>
                <c:pt idx="164">
                  <c:v>-2.9535864978902926E-2</c:v>
                </c:pt>
                <c:pt idx="165">
                  <c:v>-0.13526570048309183</c:v>
                </c:pt>
                <c:pt idx="166">
                  <c:v>-8.9374379344587918E-2</c:v>
                </c:pt>
                <c:pt idx="167">
                  <c:v>-1.2591815320042055E-2</c:v>
                </c:pt>
                <c:pt idx="168">
                  <c:v>3.4782608695652195E-2</c:v>
                </c:pt>
                <c:pt idx="169">
                  <c:v>6.5921787709497304E-2</c:v>
                </c:pt>
                <c:pt idx="170">
                  <c:v>7.9607415485277944E-2</c:v>
                </c:pt>
                <c:pt idx="171">
                  <c:v>7.5451647183847115E-2</c:v>
                </c:pt>
                <c:pt idx="172">
                  <c:v>7.247899159663862E-2</c:v>
                </c:pt>
                <c:pt idx="173">
                  <c:v>4.9266247379454731E-2</c:v>
                </c:pt>
                <c:pt idx="174">
                  <c:v>-4.0404040404040664E-3</c:v>
                </c:pt>
                <c:pt idx="175">
                  <c:v>-2.1739130434782594E-2</c:v>
                </c:pt>
                <c:pt idx="176">
                  <c:v>-3.6238981390793179E-2</c:v>
                </c:pt>
                <c:pt idx="177">
                  <c:v>-6.9930069930068672E-3</c:v>
                </c:pt>
                <c:pt idx="178">
                  <c:v>1.0141987829614951E-3</c:v>
                </c:pt>
                <c:pt idx="179">
                  <c:v>-1.4141414141414232E-2</c:v>
                </c:pt>
                <c:pt idx="180">
                  <c:v>1.4227642276422703E-2</c:v>
                </c:pt>
                <c:pt idx="181">
                  <c:v>-2.0120724346076591E-3</c:v>
                </c:pt>
                <c:pt idx="182">
                  <c:v>2.7355623100304038E-2</c:v>
                </c:pt>
                <c:pt idx="183">
                  <c:v>3.2786885245901676E-2</c:v>
                </c:pt>
                <c:pt idx="184">
                  <c:v>2.0040080160321772E-3</c:v>
                </c:pt>
                <c:pt idx="185">
                  <c:v>1.7137096774193505E-2</c:v>
                </c:pt>
                <c:pt idx="186">
                  <c:v>-9.8619329388571764E-4</c:v>
                </c:pt>
                <c:pt idx="187">
                  <c:v>1.4880952380952328E-2</c:v>
                </c:pt>
                <c:pt idx="188">
                  <c:v>3.2999999999999918E-2</c:v>
                </c:pt>
                <c:pt idx="189">
                  <c:v>6.9375619425171564E-3</c:v>
                </c:pt>
                <c:pt idx="190">
                  <c:v>4.9358341559724295E-3</c:v>
                </c:pt>
                <c:pt idx="191">
                  <c:v>-1.9550342130987275E-3</c:v>
                </c:pt>
                <c:pt idx="192">
                  <c:v>6.776379477250849E-3</c:v>
                </c:pt>
                <c:pt idx="193">
                  <c:v>2.3622047244094446E-2</c:v>
                </c:pt>
                <c:pt idx="194">
                  <c:v>3.4381139489194412E-2</c:v>
                </c:pt>
                <c:pt idx="195">
                  <c:v>3.623898139079329E-2</c:v>
                </c:pt>
                <c:pt idx="196">
                  <c:v>1.2499999999999956E-2</c:v>
                </c:pt>
                <c:pt idx="197">
                  <c:v>2.3076923076923217E-2</c:v>
                </c:pt>
                <c:pt idx="198">
                  <c:v>3.5137701804368593E-2</c:v>
                </c:pt>
                <c:pt idx="199">
                  <c:v>4.6313799621928275E-2</c:v>
                </c:pt>
                <c:pt idx="200">
                  <c:v>5.7929724596391452E-2</c:v>
                </c:pt>
                <c:pt idx="201">
                  <c:v>4.9812030075187863E-2</c:v>
                </c:pt>
                <c:pt idx="202">
                  <c:v>3.8532110091743066E-2</c:v>
                </c:pt>
                <c:pt idx="203">
                  <c:v>4.0650406504064929E-2</c:v>
                </c:pt>
                <c:pt idx="204">
                  <c:v>6.1041292639138156E-2</c:v>
                </c:pt>
                <c:pt idx="205">
                  <c:v>4.476275738585489E-2</c:v>
                </c:pt>
                <c:pt idx="206">
                  <c:v>5.3886925795052942E-2</c:v>
                </c:pt>
                <c:pt idx="207">
                  <c:v>4.600694444444442E-2</c:v>
                </c:pt>
                <c:pt idx="208">
                  <c:v>1.3536379018612488E-2</c:v>
                </c:pt>
                <c:pt idx="209">
                  <c:v>3.0848329048843048E-2</c:v>
                </c:pt>
                <c:pt idx="210">
                  <c:v>2.0955574182732528E-2</c:v>
                </c:pt>
                <c:pt idx="211">
                  <c:v>4.647302904564321E-2</c:v>
                </c:pt>
                <c:pt idx="212">
                  <c:v>9.5993322203672848E-2</c:v>
                </c:pt>
                <c:pt idx="213">
                  <c:v>0.1188694929343308</c:v>
                </c:pt>
                <c:pt idx="214">
                  <c:v>0.16256157635467972</c:v>
                </c:pt>
                <c:pt idx="215">
                  <c:v>0.1562252180808883</c:v>
                </c:pt>
                <c:pt idx="216">
                  <c:v>0.12566641279512569</c:v>
                </c:pt>
                <c:pt idx="217">
                  <c:v>9.6582466567607828E-2</c:v>
                </c:pt>
                <c:pt idx="218">
                  <c:v>4.66101694915253E-2</c:v>
                </c:pt>
                <c:pt idx="219">
                  <c:v>1.7146776406035569E-2</c:v>
                </c:pt>
                <c:pt idx="220">
                  <c:v>-1.7591339648173387E-2</c:v>
                </c:pt>
                <c:pt idx="221">
                  <c:v>-1.7615176151761447E-2</c:v>
                </c:pt>
                <c:pt idx="222">
                  <c:v>-1.0796221322537103E-2</c:v>
                </c:pt>
                <c:pt idx="223">
                  <c:v>1.0788941335131419E-2</c:v>
                </c:pt>
                <c:pt idx="224">
                  <c:v>4.0633608815427102E-2</c:v>
                </c:pt>
                <c:pt idx="225">
                  <c:v>5.9999999999999831E-2</c:v>
                </c:pt>
                <c:pt idx="226">
                  <c:v>8.8676671214188207E-2</c:v>
                </c:pt>
                <c:pt idx="227">
                  <c:v>8.8058705803869097E-2</c:v>
                </c:pt>
                <c:pt idx="228">
                  <c:v>8.7359364659166161E-2</c:v>
                </c:pt>
                <c:pt idx="229">
                  <c:v>0.12426805465191948</c:v>
                </c:pt>
                <c:pt idx="230">
                  <c:v>0.1234335839598999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59-47AC-AB46-10D86B128978}"/>
            </c:ext>
          </c:extLst>
        </c:ser>
        <c:ser>
          <c:idx val="2"/>
          <c:order val="2"/>
          <c:tx>
            <c:strRef>
              <c:f>Charts!$R$51</c:f>
              <c:strCache>
                <c:ptCount val="1"/>
                <c:pt idx="0">
                  <c:v>Petroleum &amp; coal</c:v>
                </c:pt>
              </c:strCache>
            </c:strRef>
          </c:tx>
          <c:spPr>
            <a:ln w="22225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Charts!$O$52:$O$282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Charts!$R$52:$R$282</c:f>
              <c:numCache>
                <c:formatCode>0.0%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-2.9968454258675004E-2</c:v>
                </c:pt>
                <c:pt idx="137">
                  <c:v>-4.8231511254019921E-3</c:v>
                </c:pt>
                <c:pt idx="138">
                  <c:v>4.0650406504065151E-2</c:v>
                </c:pt>
                <c:pt idx="139">
                  <c:v>-1.9230769230769162E-2</c:v>
                </c:pt>
                <c:pt idx="140">
                  <c:v>-2.9268292682926744E-2</c:v>
                </c:pt>
                <c:pt idx="141">
                  <c:v>-3.8772213247172838E-2</c:v>
                </c:pt>
                <c:pt idx="142">
                  <c:v>-9.0624999999999956E-2</c:v>
                </c:pt>
                <c:pt idx="143">
                  <c:v>-2.4509803921568651E-2</c:v>
                </c:pt>
                <c:pt idx="144">
                  <c:v>7.8726968174204437E-2</c:v>
                </c:pt>
                <c:pt idx="145">
                  <c:v>9.5798319327731196E-2</c:v>
                </c:pt>
                <c:pt idx="146">
                  <c:v>8.7628865979381354E-2</c:v>
                </c:pt>
                <c:pt idx="147">
                  <c:v>9.2127303182579556E-2</c:v>
                </c:pt>
                <c:pt idx="148">
                  <c:v>9.4720496894409756E-2</c:v>
                </c:pt>
                <c:pt idx="149">
                  <c:v>8.5889570552147187E-2</c:v>
                </c:pt>
                <c:pt idx="150">
                  <c:v>0.14849921011058465</c:v>
                </c:pt>
                <c:pt idx="151">
                  <c:v>0.18098159509202438</c:v>
                </c:pt>
                <c:pt idx="152">
                  <c:v>0.10070921985815584</c:v>
                </c:pt>
                <c:pt idx="153">
                  <c:v>6.3559322033898358E-2</c:v>
                </c:pt>
                <c:pt idx="154">
                  <c:v>3.5763411279229551E-2</c:v>
                </c:pt>
                <c:pt idx="155">
                  <c:v>3.8961038961038419E-3</c:v>
                </c:pt>
                <c:pt idx="156">
                  <c:v>1.0309278350515649E-2</c:v>
                </c:pt>
                <c:pt idx="157">
                  <c:v>7.9681274900398336E-2</c:v>
                </c:pt>
                <c:pt idx="158">
                  <c:v>0.1195219123505975</c:v>
                </c:pt>
                <c:pt idx="159">
                  <c:v>0.15912031047865449</c:v>
                </c:pt>
                <c:pt idx="160">
                  <c:v>0.21173469387755084</c:v>
                </c:pt>
                <c:pt idx="161">
                  <c:v>0.13776137761377627</c:v>
                </c:pt>
                <c:pt idx="162">
                  <c:v>7.117437722420128E-3</c:v>
                </c:pt>
                <c:pt idx="163">
                  <c:v>-9.2633928571428492E-2</c:v>
                </c:pt>
                <c:pt idx="164">
                  <c:v>-0.10947368421052639</c:v>
                </c:pt>
                <c:pt idx="165">
                  <c:v>-5.9459459459459407E-2</c:v>
                </c:pt>
                <c:pt idx="166">
                  <c:v>9.4228504122497725E-3</c:v>
                </c:pt>
                <c:pt idx="167">
                  <c:v>6.0270602706027132E-2</c:v>
                </c:pt>
                <c:pt idx="168">
                  <c:v>3.0732860520094718E-2</c:v>
                </c:pt>
                <c:pt idx="169">
                  <c:v>-1.379310344827589E-2</c:v>
                </c:pt>
                <c:pt idx="170">
                  <c:v>5.4842473745624343E-2</c:v>
                </c:pt>
                <c:pt idx="171">
                  <c:v>0.11832946635730868</c:v>
                </c:pt>
                <c:pt idx="172">
                  <c:v>9.7477064220183429E-2</c:v>
                </c:pt>
                <c:pt idx="173">
                  <c:v>0.14452214452214451</c:v>
                </c:pt>
                <c:pt idx="174">
                  <c:v>0.11172566371681403</c:v>
                </c:pt>
                <c:pt idx="175">
                  <c:v>9.4398340248962542E-2</c:v>
                </c:pt>
                <c:pt idx="176">
                  <c:v>7.8369905956112929E-2</c:v>
                </c:pt>
                <c:pt idx="177">
                  <c:v>3.6659877800407248E-2</c:v>
                </c:pt>
                <c:pt idx="178">
                  <c:v>-2.0895522388059695E-2</c:v>
                </c:pt>
                <c:pt idx="179">
                  <c:v>-9.3838862559241787E-2</c:v>
                </c:pt>
                <c:pt idx="180">
                  <c:v>-2.81007751937985E-2</c:v>
                </c:pt>
                <c:pt idx="181">
                  <c:v>-2.4557956777996104E-2</c:v>
                </c:pt>
                <c:pt idx="182">
                  <c:v>5.7926829268292623E-2</c:v>
                </c:pt>
                <c:pt idx="183">
                  <c:v>5.3347280334728131E-2</c:v>
                </c:pt>
                <c:pt idx="184">
                  <c:v>-7.9760717846459883E-3</c:v>
                </c:pt>
                <c:pt idx="185">
                  <c:v>-8.0563947633434108E-3</c:v>
                </c:pt>
                <c:pt idx="186">
                  <c:v>-9.3179634966378377E-2</c:v>
                </c:pt>
                <c:pt idx="187">
                  <c:v>-9.8311817279046698E-2</c:v>
                </c:pt>
                <c:pt idx="188">
                  <c:v>-5.0251256281407031E-2</c:v>
                </c:pt>
                <c:pt idx="189">
                  <c:v>-5.3807106598984689E-2</c:v>
                </c:pt>
                <c:pt idx="190">
                  <c:v>-8.5805084745762761E-2</c:v>
                </c:pt>
                <c:pt idx="191">
                  <c:v>-4.0748898678414136E-2</c:v>
                </c:pt>
                <c:pt idx="192">
                  <c:v>-5.1851851851851927E-2</c:v>
                </c:pt>
                <c:pt idx="193">
                  <c:v>8.5836909871244149E-3</c:v>
                </c:pt>
                <c:pt idx="194">
                  <c:v>0.11703360370799554</c:v>
                </c:pt>
                <c:pt idx="195">
                  <c:v>0.10792192881745133</c:v>
                </c:pt>
                <c:pt idx="196">
                  <c:v>8.2589285714285809E-2</c:v>
                </c:pt>
                <c:pt idx="197">
                  <c:v>5.7446808510638325E-2</c:v>
                </c:pt>
                <c:pt idx="198">
                  <c:v>7.2614107883817391E-2</c:v>
                </c:pt>
                <c:pt idx="199">
                  <c:v>0.10673575129533686</c:v>
                </c:pt>
                <c:pt idx="200">
                  <c:v>0.14432989690721643</c:v>
                </c:pt>
                <c:pt idx="201">
                  <c:v>0.1227364185110662</c:v>
                </c:pt>
                <c:pt idx="202">
                  <c:v>4.3520309477756314E-2</c:v>
                </c:pt>
                <c:pt idx="203">
                  <c:v>2.9026217228464546E-2</c:v>
                </c:pt>
                <c:pt idx="204">
                  <c:v>-2.6126126126126192E-2</c:v>
                </c:pt>
                <c:pt idx="205">
                  <c:v>-3.0465949820788429E-2</c:v>
                </c:pt>
                <c:pt idx="206">
                  <c:v>-2.780352177942591E-3</c:v>
                </c:pt>
                <c:pt idx="207">
                  <c:v>-7.5523202911738085E-2</c:v>
                </c:pt>
                <c:pt idx="208">
                  <c:v>-0.11193339500462529</c:v>
                </c:pt>
                <c:pt idx="209">
                  <c:v>-0.10998151571164516</c:v>
                </c:pt>
                <c:pt idx="210">
                  <c:v>-5.390334572490707E-2</c:v>
                </c:pt>
                <c:pt idx="211">
                  <c:v>-8.8582677165353063E-3</c:v>
                </c:pt>
                <c:pt idx="212">
                  <c:v>0.1010416666666667</c:v>
                </c:pt>
                <c:pt idx="213">
                  <c:v>0.1443406022845275</c:v>
                </c:pt>
                <c:pt idx="214">
                  <c:v>0.14440078585461702</c:v>
                </c:pt>
                <c:pt idx="215">
                  <c:v>0.18073485600794448</c:v>
                </c:pt>
                <c:pt idx="216">
                  <c:v>0.16840113528855238</c:v>
                </c:pt>
                <c:pt idx="217">
                  <c:v>0.2186932849364791</c:v>
                </c:pt>
                <c:pt idx="218">
                  <c:v>7.9828326180257481E-2</c:v>
                </c:pt>
                <c:pt idx="219">
                  <c:v>4.8780487804878092E-2</c:v>
                </c:pt>
                <c:pt idx="220">
                  <c:v>2.6720647773279316E-2</c:v>
                </c:pt>
                <c:pt idx="221">
                  <c:v>-1.7125837676842948E-2</c:v>
                </c:pt>
                <c:pt idx="222">
                  <c:v>2.3847376788552754E-3</c:v>
                </c:pt>
                <c:pt idx="223">
                  <c:v>2.6463512429831582E-2</c:v>
                </c:pt>
                <c:pt idx="224">
                  <c:v>-1.7350157728706628E-2</c:v>
                </c:pt>
                <c:pt idx="225">
                  <c:v>-4.3939393939393945E-2</c:v>
                </c:pt>
                <c:pt idx="226">
                  <c:v>4.3616177636796261E-2</c:v>
                </c:pt>
                <c:pt idx="227">
                  <c:v>1.3281249999999911E-2</c:v>
                </c:pt>
                <c:pt idx="228">
                  <c:v>3.4510433386838013E-2</c:v>
                </c:pt>
                <c:pt idx="229">
                  <c:v>2.1394611727416857E-2</c:v>
                </c:pt>
                <c:pt idx="230">
                  <c:v>7.5987841945288626E-3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59-47AC-AB46-10D86B128978}"/>
            </c:ext>
          </c:extLst>
        </c:ser>
        <c:ser>
          <c:idx val="3"/>
          <c:order val="3"/>
          <c:tx>
            <c:strRef>
              <c:f>Charts!$S$51</c:f>
              <c:strCache>
                <c:ptCount val="1"/>
                <c:pt idx="0">
                  <c:v>Natural gas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Charts!$O$52:$O$282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Charts!$S$52:$S$282</c:f>
              <c:numCache>
                <c:formatCode>0.0%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-0.27932960893854741</c:v>
                </c:pt>
                <c:pt idx="11">
                  <c:v>-0.1858974358974359</c:v>
                </c:pt>
                <c:pt idx="12">
                  <c:v>-0.11564625850340127</c:v>
                </c:pt>
                <c:pt idx="13">
                  <c:v>-0.11678832116788318</c:v>
                </c:pt>
                <c:pt idx="14">
                  <c:v>-6.2015503875968991E-2</c:v>
                </c:pt>
                <c:pt idx="15">
                  <c:v>-0.11023622047244086</c:v>
                </c:pt>
                <c:pt idx="16">
                  <c:v>-0.10769230769230775</c:v>
                </c:pt>
                <c:pt idx="17">
                  <c:v>-9.9173553719008156E-2</c:v>
                </c:pt>
                <c:pt idx="18">
                  <c:v>-3.3057851239669422E-2</c:v>
                </c:pt>
                <c:pt idx="19">
                  <c:v>0</c:v>
                </c:pt>
                <c:pt idx="20">
                  <c:v>-8.6206896551723755E-3</c:v>
                </c:pt>
                <c:pt idx="21">
                  <c:v>2.7522935779816349E-2</c:v>
                </c:pt>
                <c:pt idx="22">
                  <c:v>-4.2735042735042694E-2</c:v>
                </c:pt>
                <c:pt idx="23">
                  <c:v>1.7699115044247815E-2</c:v>
                </c:pt>
                <c:pt idx="24">
                  <c:v>0.10434782608695636</c:v>
                </c:pt>
                <c:pt idx="25">
                  <c:v>0.1339285714285714</c:v>
                </c:pt>
                <c:pt idx="26">
                  <c:v>0.3035714285714286</c:v>
                </c:pt>
                <c:pt idx="27">
                  <c:v>0.42608695652173911</c:v>
                </c:pt>
                <c:pt idx="28">
                  <c:v>0.29921259842519699</c:v>
                </c:pt>
                <c:pt idx="29">
                  <c:v>0.29921259842519699</c:v>
                </c:pt>
                <c:pt idx="30">
                  <c:v>0.18493150684931514</c:v>
                </c:pt>
                <c:pt idx="31">
                  <c:v>3.0487804878048808E-2</c:v>
                </c:pt>
                <c:pt idx="32">
                  <c:v>6.6666666666666652E-2</c:v>
                </c:pt>
                <c:pt idx="33">
                  <c:v>7.8787878787878851E-2</c:v>
                </c:pt>
                <c:pt idx="34">
                  <c:v>-8.6705202312138741E-2</c:v>
                </c:pt>
                <c:pt idx="35">
                  <c:v>-0.20710059171597628</c:v>
                </c:pt>
                <c:pt idx="36">
                  <c:v>-0.23295454545454553</c:v>
                </c:pt>
                <c:pt idx="37">
                  <c:v>-0.2471910112359551</c:v>
                </c:pt>
                <c:pt idx="38">
                  <c:v>-9.4936708860759444E-2</c:v>
                </c:pt>
                <c:pt idx="39">
                  <c:v>5.9701492537313383E-2</c:v>
                </c:pt>
                <c:pt idx="40">
                  <c:v>5.9259259259259345E-2</c:v>
                </c:pt>
                <c:pt idx="41">
                  <c:v>8.9552238805970186E-2</c:v>
                </c:pt>
                <c:pt idx="42">
                  <c:v>4.8951048951048959E-2</c:v>
                </c:pt>
                <c:pt idx="43">
                  <c:v>5.6338028169014231E-2</c:v>
                </c:pt>
                <c:pt idx="44">
                  <c:v>6.9930069930070005E-2</c:v>
                </c:pt>
                <c:pt idx="45">
                  <c:v>4.7945205479452024E-2</c:v>
                </c:pt>
                <c:pt idx="46">
                  <c:v>7.9999999999999849E-2</c:v>
                </c:pt>
                <c:pt idx="47">
                  <c:v>7.9999999999999849E-2</c:v>
                </c:pt>
                <c:pt idx="48">
                  <c:v>0.11111111111111116</c:v>
                </c:pt>
                <c:pt idx="49">
                  <c:v>0.11111111111111116</c:v>
                </c:pt>
                <c:pt idx="50">
                  <c:v>7.4074074074073959E-2</c:v>
                </c:pt>
                <c:pt idx="51">
                  <c:v>6.7901234567901314E-2</c:v>
                </c:pt>
                <c:pt idx="52">
                  <c:v>8.2352941176470518E-2</c:v>
                </c:pt>
                <c:pt idx="53">
                  <c:v>0.10588235294117654</c:v>
                </c:pt>
                <c:pt idx="54">
                  <c:v>0.21264367816091978</c:v>
                </c:pt>
                <c:pt idx="55">
                  <c:v>0.23699421965317913</c:v>
                </c:pt>
                <c:pt idx="56">
                  <c:v>0.25</c:v>
                </c:pt>
                <c:pt idx="57">
                  <c:v>0.31914893617021267</c:v>
                </c:pt>
                <c:pt idx="58">
                  <c:v>0.32701421800947861</c:v>
                </c:pt>
                <c:pt idx="59">
                  <c:v>0.31775700934579443</c:v>
                </c:pt>
                <c:pt idx="60">
                  <c:v>0.32608695652173902</c:v>
                </c:pt>
                <c:pt idx="61">
                  <c:v>0.25403225806451624</c:v>
                </c:pt>
                <c:pt idx="62">
                  <c:v>0.18214285714285716</c:v>
                </c:pt>
                <c:pt idx="63">
                  <c:v>0.19858156028368779</c:v>
                </c:pt>
                <c:pt idx="64">
                  <c:v>0.11475409836065564</c:v>
                </c:pt>
                <c:pt idx="65">
                  <c:v>9.3247588424437255E-2</c:v>
                </c:pt>
                <c:pt idx="66">
                  <c:v>5.7401812688821607E-2</c:v>
                </c:pt>
                <c:pt idx="67">
                  <c:v>4.7337278106508895E-2</c:v>
                </c:pt>
                <c:pt idx="68">
                  <c:v>6.4705882352941169E-2</c:v>
                </c:pt>
                <c:pt idx="69">
                  <c:v>8.2352941176470518E-2</c:v>
                </c:pt>
                <c:pt idx="70">
                  <c:v>6.0000000000000053E-2</c:v>
                </c:pt>
                <c:pt idx="71">
                  <c:v>7.9096045197740272E-2</c:v>
                </c:pt>
                <c:pt idx="72">
                  <c:v>8.5635359116021936E-2</c:v>
                </c:pt>
                <c:pt idx="73">
                  <c:v>8.6956521739130599E-2</c:v>
                </c:pt>
                <c:pt idx="74">
                  <c:v>8.8948787061994494E-2</c:v>
                </c:pt>
                <c:pt idx="75">
                  <c:v>0.14397905759162311</c:v>
                </c:pt>
                <c:pt idx="76">
                  <c:v>9.1603053435114656E-2</c:v>
                </c:pt>
                <c:pt idx="77">
                  <c:v>0.11750000000000016</c:v>
                </c:pt>
                <c:pt idx="78">
                  <c:v>0.12623762376237635</c:v>
                </c:pt>
                <c:pt idx="79">
                  <c:v>3.8901601830663601E-2</c:v>
                </c:pt>
                <c:pt idx="80">
                  <c:v>0.10489510489510501</c:v>
                </c:pt>
                <c:pt idx="81">
                  <c:v>8.948545861297541E-2</c:v>
                </c:pt>
                <c:pt idx="82">
                  <c:v>9.2307692307692424E-2</c:v>
                </c:pt>
                <c:pt idx="83">
                  <c:v>9.9118942731277526E-2</c:v>
                </c:pt>
                <c:pt idx="84">
                  <c:v>0.1223628691983123</c:v>
                </c:pt>
                <c:pt idx="85">
                  <c:v>9.4455852156057452E-2</c:v>
                </c:pt>
                <c:pt idx="86">
                  <c:v>7.8470824949698148E-2</c:v>
                </c:pt>
                <c:pt idx="87">
                  <c:v>8.0160320641282645E-2</c:v>
                </c:pt>
                <c:pt idx="88">
                  <c:v>3.5714285714285587E-2</c:v>
                </c:pt>
                <c:pt idx="89">
                  <c:v>2.4390243902439046E-2</c:v>
                </c:pt>
                <c:pt idx="90">
                  <c:v>1.4925373134328401E-2</c:v>
                </c:pt>
                <c:pt idx="91">
                  <c:v>3.7105751391466324E-3</c:v>
                </c:pt>
                <c:pt idx="92">
                  <c:v>1.6333938294010864E-2</c:v>
                </c:pt>
                <c:pt idx="93">
                  <c:v>2.564102564102555E-2</c:v>
                </c:pt>
                <c:pt idx="94">
                  <c:v>2.5735294117646967E-2</c:v>
                </c:pt>
                <c:pt idx="95">
                  <c:v>2.9574861367837268E-2</c:v>
                </c:pt>
                <c:pt idx="96">
                  <c:v>7.1428571428571175E-3</c:v>
                </c:pt>
                <c:pt idx="97">
                  <c:v>1.0714285714285676E-2</c:v>
                </c:pt>
                <c:pt idx="98">
                  <c:v>1.433691756272415E-2</c:v>
                </c:pt>
                <c:pt idx="99">
                  <c:v>1.4362657091561815E-2</c:v>
                </c:pt>
                <c:pt idx="100">
                  <c:v>5.3191489361703592E-3</c:v>
                </c:pt>
                <c:pt idx="101">
                  <c:v>0</c:v>
                </c:pt>
                <c:pt idx="102">
                  <c:v>-7.0671378091872183E-3</c:v>
                </c:pt>
                <c:pt idx="103">
                  <c:v>0</c:v>
                </c:pt>
                <c:pt idx="104">
                  <c:v>-1.0582010582010581E-2</c:v>
                </c:pt>
                <c:pt idx="105">
                  <c:v>-7.0671378091872183E-3</c:v>
                </c:pt>
                <c:pt idx="106">
                  <c:v>5.3380782918148739E-3</c:v>
                </c:pt>
                <c:pt idx="107">
                  <c:v>7.0796460176991705E-3</c:v>
                </c:pt>
                <c:pt idx="108">
                  <c:v>2.673796791443861E-2</c:v>
                </c:pt>
                <c:pt idx="109">
                  <c:v>2.313167259786475E-2</c:v>
                </c:pt>
                <c:pt idx="110">
                  <c:v>2.4778761061946986E-2</c:v>
                </c:pt>
                <c:pt idx="111">
                  <c:v>2.1089630931458769E-2</c:v>
                </c:pt>
                <c:pt idx="112">
                  <c:v>1.736111111111116E-2</c:v>
                </c:pt>
                <c:pt idx="113">
                  <c:v>2.6086956521739202E-2</c:v>
                </c:pt>
                <c:pt idx="114">
                  <c:v>1.5544041450777257E-2</c:v>
                </c:pt>
                <c:pt idx="115">
                  <c:v>1.7211703958692759E-3</c:v>
                </c:pt>
                <c:pt idx="116">
                  <c:v>5.1194539249146409E-3</c:v>
                </c:pt>
                <c:pt idx="117">
                  <c:v>8.4745762711864181E-3</c:v>
                </c:pt>
                <c:pt idx="118">
                  <c:v>-2.5510204081632626E-2</c:v>
                </c:pt>
                <c:pt idx="119">
                  <c:v>-1.5463917525773252E-2</c:v>
                </c:pt>
                <c:pt idx="120">
                  <c:v>-3.2258064516129004E-2</c:v>
                </c:pt>
                <c:pt idx="121">
                  <c:v>-3.1932773109243695E-2</c:v>
                </c:pt>
                <c:pt idx="122">
                  <c:v>-1.7452006980801515E-3</c:v>
                </c:pt>
                <c:pt idx="123">
                  <c:v>6.9808027923212723E-3</c:v>
                </c:pt>
                <c:pt idx="124">
                  <c:v>1.5789473684210575E-2</c:v>
                </c:pt>
                <c:pt idx="125">
                  <c:v>6.5972222222222099E-2</c:v>
                </c:pt>
                <c:pt idx="126">
                  <c:v>0.12937062937062915</c:v>
                </c:pt>
                <c:pt idx="127">
                  <c:v>0.13518197573656843</c:v>
                </c:pt>
                <c:pt idx="128">
                  <c:v>0.10708117443868725</c:v>
                </c:pt>
                <c:pt idx="129">
                  <c:v>5.7003257328990253E-2</c:v>
                </c:pt>
                <c:pt idx="130">
                  <c:v>-3.0959752321979561E-3</c:v>
                </c:pt>
                <c:pt idx="131">
                  <c:v>-6.1068702290076882E-3</c:v>
                </c:pt>
                <c:pt idx="132">
                  <c:v>2.1840873634945579E-2</c:v>
                </c:pt>
                <c:pt idx="133">
                  <c:v>-2.003081664098616E-2</c:v>
                </c:pt>
                <c:pt idx="134">
                  <c:v>3.1055900621115295E-3</c:v>
                </c:pt>
                <c:pt idx="135">
                  <c:v>2.1505376344086002E-2</c:v>
                </c:pt>
                <c:pt idx="136">
                  <c:v>1.0687022900763399E-2</c:v>
                </c:pt>
                <c:pt idx="137">
                  <c:v>3.1446540880502027E-3</c:v>
                </c:pt>
                <c:pt idx="138">
                  <c:v>3.7151702786377694E-2</c:v>
                </c:pt>
                <c:pt idx="139">
                  <c:v>-1.0526315789473717E-2</c:v>
                </c:pt>
                <c:pt idx="140">
                  <c:v>3.0211480362538623E-3</c:v>
                </c:pt>
                <c:pt idx="141">
                  <c:v>2.3510971786833812E-2</c:v>
                </c:pt>
                <c:pt idx="142">
                  <c:v>-2.6865671641790989E-2</c:v>
                </c:pt>
                <c:pt idx="143">
                  <c:v>-3.1914893617021156E-2</c:v>
                </c:pt>
                <c:pt idx="144">
                  <c:v>7.5301204819278045E-3</c:v>
                </c:pt>
                <c:pt idx="145">
                  <c:v>2.9096477794793296E-2</c:v>
                </c:pt>
                <c:pt idx="146">
                  <c:v>3.3742331288343586E-2</c:v>
                </c:pt>
                <c:pt idx="147">
                  <c:v>5.9654631083202458E-2</c:v>
                </c:pt>
                <c:pt idx="148">
                  <c:v>2.5411061285500525E-2</c:v>
                </c:pt>
                <c:pt idx="149">
                  <c:v>2.5297619047619069E-2</c:v>
                </c:pt>
                <c:pt idx="150">
                  <c:v>2.9673590504450953E-2</c:v>
                </c:pt>
                <c:pt idx="151">
                  <c:v>2.9629629629629672E-2</c:v>
                </c:pt>
                <c:pt idx="152">
                  <c:v>1.8950437317784452E-2</c:v>
                </c:pt>
                <c:pt idx="153">
                  <c:v>1.015965166908539E-2</c:v>
                </c:pt>
                <c:pt idx="154">
                  <c:v>8.6455331412103043E-3</c:v>
                </c:pt>
                <c:pt idx="155">
                  <c:v>1.8705035971223083E-2</c:v>
                </c:pt>
                <c:pt idx="156">
                  <c:v>1.0014306151645114E-2</c:v>
                </c:pt>
                <c:pt idx="157">
                  <c:v>3.4482758620689724E-2</c:v>
                </c:pt>
                <c:pt idx="158">
                  <c:v>5.7142857142857828E-3</c:v>
                </c:pt>
                <c:pt idx="159">
                  <c:v>3.8135593220339103E-2</c:v>
                </c:pt>
                <c:pt idx="160">
                  <c:v>5.0991501416430829E-2</c:v>
                </c:pt>
                <c:pt idx="161">
                  <c:v>6.5277777777777768E-2</c:v>
                </c:pt>
                <c:pt idx="162">
                  <c:v>0.13920454545454541</c:v>
                </c:pt>
                <c:pt idx="163">
                  <c:v>9.5238095238095344E-2</c:v>
                </c:pt>
                <c:pt idx="164">
                  <c:v>8.7601078167115931E-2</c:v>
                </c:pt>
                <c:pt idx="165">
                  <c:v>6.9100391134289341E-2</c:v>
                </c:pt>
                <c:pt idx="166">
                  <c:v>7.6059850374064819E-2</c:v>
                </c:pt>
                <c:pt idx="167">
                  <c:v>0.13043478260869557</c:v>
                </c:pt>
                <c:pt idx="168">
                  <c:v>0.14745972738537794</c:v>
                </c:pt>
                <c:pt idx="169">
                  <c:v>0.1304878048780489</c:v>
                </c:pt>
                <c:pt idx="170">
                  <c:v>0.104287369640788</c:v>
                </c:pt>
                <c:pt idx="171">
                  <c:v>8.7912087912087822E-2</c:v>
                </c:pt>
                <c:pt idx="172">
                  <c:v>6.2634989200863966E-2</c:v>
                </c:pt>
                <c:pt idx="173">
                  <c:v>7.2276159654800498E-2</c:v>
                </c:pt>
                <c:pt idx="174">
                  <c:v>5.9811122770199399E-2</c:v>
                </c:pt>
                <c:pt idx="175">
                  <c:v>2.2222222222222143E-2</c:v>
                </c:pt>
                <c:pt idx="176">
                  <c:v>2.9471544715446996E-2</c:v>
                </c:pt>
                <c:pt idx="177">
                  <c:v>0.10160965794768595</c:v>
                </c:pt>
                <c:pt idx="178">
                  <c:v>0.11584158415841594</c:v>
                </c:pt>
                <c:pt idx="179">
                  <c:v>0.14130434782608692</c:v>
                </c:pt>
                <c:pt idx="180">
                  <c:v>0.15004935834155986</c:v>
                </c:pt>
                <c:pt idx="181">
                  <c:v>5.8447488584475016E-2</c:v>
                </c:pt>
                <c:pt idx="182">
                  <c:v>6.0337178349600729E-2</c:v>
                </c:pt>
                <c:pt idx="183">
                  <c:v>2.857142857142847E-2</c:v>
                </c:pt>
                <c:pt idx="184">
                  <c:v>-7.6394849785407781E-2</c:v>
                </c:pt>
                <c:pt idx="185">
                  <c:v>-8.7144089732528074E-2</c:v>
                </c:pt>
                <c:pt idx="186">
                  <c:v>-9.7907949790794979E-2</c:v>
                </c:pt>
                <c:pt idx="187">
                  <c:v>-0.10942760942760943</c:v>
                </c:pt>
                <c:pt idx="188">
                  <c:v>-8.0855018587360439E-2</c:v>
                </c:pt>
                <c:pt idx="189">
                  <c:v>-6.7107750472589767E-2</c:v>
                </c:pt>
                <c:pt idx="190">
                  <c:v>-6.9573283858998192E-2</c:v>
                </c:pt>
                <c:pt idx="191">
                  <c:v>-7.1833648393194616E-2</c:v>
                </c:pt>
                <c:pt idx="192">
                  <c:v>-1.9211324570273081E-2</c:v>
                </c:pt>
                <c:pt idx="193">
                  <c:v>1.1144883485308954E-2</c:v>
                </c:pt>
                <c:pt idx="194">
                  <c:v>4.386839481555338E-2</c:v>
                </c:pt>
                <c:pt idx="195">
                  <c:v>8.9613034623217791E-2</c:v>
                </c:pt>
                <c:pt idx="196">
                  <c:v>0.18041237113402064</c:v>
                </c:pt>
                <c:pt idx="197">
                  <c:v>0.21843687374749488</c:v>
                </c:pt>
                <c:pt idx="198">
                  <c:v>0.25119388729703918</c:v>
                </c:pt>
                <c:pt idx="199">
                  <c:v>0.23084112149532698</c:v>
                </c:pt>
                <c:pt idx="200">
                  <c:v>0.13537117903930129</c:v>
                </c:pt>
                <c:pt idx="201">
                  <c:v>5.4276315789473673E-2</c:v>
                </c:pt>
                <c:pt idx="202">
                  <c:v>-2.2137404580152675E-2</c:v>
                </c:pt>
                <c:pt idx="203">
                  <c:v>-1.8982536066818545E-2</c:v>
                </c:pt>
                <c:pt idx="204">
                  <c:v>-1.3076923076922986E-2</c:v>
                </c:pt>
                <c:pt idx="205">
                  <c:v>-1.0140405616224535E-2</c:v>
                </c:pt>
                <c:pt idx="206">
                  <c:v>0</c:v>
                </c:pt>
                <c:pt idx="207">
                  <c:v>-8.5139318885448789E-3</c:v>
                </c:pt>
                <c:pt idx="208">
                  <c:v>-6.2353858144973406E-3</c:v>
                </c:pt>
                <c:pt idx="209">
                  <c:v>-3.9401103230890522E-3</c:v>
                </c:pt>
                <c:pt idx="210">
                  <c:v>-3.9032006245121043E-2</c:v>
                </c:pt>
                <c:pt idx="211">
                  <c:v>-7.1038251366120186E-2</c:v>
                </c:pt>
                <c:pt idx="212">
                  <c:v>-2.0392156862745092E-2</c:v>
                </c:pt>
                <c:pt idx="213">
                  <c:v>-2.8481012658227889E-2</c:v>
                </c:pt>
                <c:pt idx="214">
                  <c:v>6.0113728675873279E-2</c:v>
                </c:pt>
                <c:pt idx="215">
                  <c:v>0.10672268907563009</c:v>
                </c:pt>
                <c:pt idx="216">
                  <c:v>0.46196957566052821</c:v>
                </c:pt>
                <c:pt idx="217">
                  <c:v>0.2068403908794787</c:v>
                </c:pt>
                <c:pt idx="218">
                  <c:v>0.45440613026819943</c:v>
                </c:pt>
                <c:pt idx="219">
                  <c:v>0.48291571753986351</c:v>
                </c:pt>
                <c:pt idx="220">
                  <c:v>8.5432639649507092E-2</c:v>
                </c:pt>
                <c:pt idx="221">
                  <c:v>0.27125506072874517</c:v>
                </c:pt>
                <c:pt idx="222">
                  <c:v>1.1064278187565835E-2</c:v>
                </c:pt>
                <c:pt idx="223">
                  <c:v>-3.8402457757296449E-2</c:v>
                </c:pt>
                <c:pt idx="224">
                  <c:v>-4.1876892028254176E-2</c:v>
                </c:pt>
                <c:pt idx="225">
                  <c:v>1.3800424628449992E-2</c:v>
                </c:pt>
                <c:pt idx="226">
                  <c:v>-1.1985409067222563E-2</c:v>
                </c:pt>
                <c:pt idx="227">
                  <c:v>-1.3312034078807211E-2</c:v>
                </c:pt>
                <c:pt idx="228">
                  <c:v>-1.3691416535018375E-2</c:v>
                </c:pt>
                <c:pt idx="229">
                  <c:v>-1.5183246073298462E-2</c:v>
                </c:pt>
                <c:pt idx="230">
                  <c:v>-1.2130801687763593E-2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59-47AC-AB46-10D86B128978}"/>
            </c:ext>
          </c:extLst>
        </c:ser>
        <c:ser>
          <c:idx val="4"/>
          <c:order val="4"/>
          <c:tx>
            <c:strRef>
              <c:f>Charts!$T$51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Charts!$O$52:$O$282</c:f>
              <c:numCache>
                <c:formatCode>mmm\-yyyy</c:formatCode>
                <c:ptCount val="231"/>
                <c:pt idx="0">
                  <c:v>25082</c:v>
                </c:pt>
                <c:pt idx="1">
                  <c:v>25173</c:v>
                </c:pt>
                <c:pt idx="2">
                  <c:v>25263</c:v>
                </c:pt>
                <c:pt idx="3">
                  <c:v>25355</c:v>
                </c:pt>
                <c:pt idx="4">
                  <c:v>25447</c:v>
                </c:pt>
                <c:pt idx="5">
                  <c:v>25538</c:v>
                </c:pt>
                <c:pt idx="6">
                  <c:v>25628</c:v>
                </c:pt>
                <c:pt idx="7">
                  <c:v>25720</c:v>
                </c:pt>
                <c:pt idx="8">
                  <c:v>25812</c:v>
                </c:pt>
                <c:pt idx="9">
                  <c:v>25903</c:v>
                </c:pt>
                <c:pt idx="10">
                  <c:v>25993</c:v>
                </c:pt>
                <c:pt idx="11">
                  <c:v>26085</c:v>
                </c:pt>
                <c:pt idx="12">
                  <c:v>26177</c:v>
                </c:pt>
                <c:pt idx="13">
                  <c:v>26268</c:v>
                </c:pt>
                <c:pt idx="14">
                  <c:v>26359</c:v>
                </c:pt>
                <c:pt idx="15">
                  <c:v>26451</c:v>
                </c:pt>
                <c:pt idx="16">
                  <c:v>26543</c:v>
                </c:pt>
                <c:pt idx="17">
                  <c:v>26634</c:v>
                </c:pt>
                <c:pt idx="18">
                  <c:v>26724</c:v>
                </c:pt>
                <c:pt idx="19">
                  <c:v>26816</c:v>
                </c:pt>
                <c:pt idx="20">
                  <c:v>26908</c:v>
                </c:pt>
                <c:pt idx="21">
                  <c:v>26999</c:v>
                </c:pt>
                <c:pt idx="22">
                  <c:v>27089</c:v>
                </c:pt>
                <c:pt idx="23">
                  <c:v>27181</c:v>
                </c:pt>
                <c:pt idx="24">
                  <c:v>27273</c:v>
                </c:pt>
                <c:pt idx="25">
                  <c:v>27364</c:v>
                </c:pt>
                <c:pt idx="26">
                  <c:v>27454</c:v>
                </c:pt>
                <c:pt idx="27">
                  <c:v>27546</c:v>
                </c:pt>
                <c:pt idx="28">
                  <c:v>27638</c:v>
                </c:pt>
                <c:pt idx="29">
                  <c:v>27729</c:v>
                </c:pt>
                <c:pt idx="30">
                  <c:v>27820</c:v>
                </c:pt>
                <c:pt idx="31">
                  <c:v>27912</c:v>
                </c:pt>
                <c:pt idx="32">
                  <c:v>28004</c:v>
                </c:pt>
                <c:pt idx="33">
                  <c:v>28095</c:v>
                </c:pt>
                <c:pt idx="34">
                  <c:v>28185</c:v>
                </c:pt>
                <c:pt idx="35">
                  <c:v>28277</c:v>
                </c:pt>
                <c:pt idx="36">
                  <c:v>28369</c:v>
                </c:pt>
                <c:pt idx="37">
                  <c:v>28460</c:v>
                </c:pt>
                <c:pt idx="38">
                  <c:v>28550</c:v>
                </c:pt>
                <c:pt idx="39">
                  <c:v>28642</c:v>
                </c:pt>
                <c:pt idx="40">
                  <c:v>28734</c:v>
                </c:pt>
                <c:pt idx="41">
                  <c:v>28825</c:v>
                </c:pt>
                <c:pt idx="42">
                  <c:v>28915</c:v>
                </c:pt>
                <c:pt idx="43">
                  <c:v>29007</c:v>
                </c:pt>
                <c:pt idx="44">
                  <c:v>29099</c:v>
                </c:pt>
                <c:pt idx="45">
                  <c:v>29190</c:v>
                </c:pt>
                <c:pt idx="46">
                  <c:v>29281</c:v>
                </c:pt>
                <c:pt idx="47">
                  <c:v>29373</c:v>
                </c:pt>
                <c:pt idx="48">
                  <c:v>29465</c:v>
                </c:pt>
                <c:pt idx="49">
                  <c:v>29556</c:v>
                </c:pt>
                <c:pt idx="50">
                  <c:v>29646</c:v>
                </c:pt>
                <c:pt idx="51">
                  <c:v>29738</c:v>
                </c:pt>
                <c:pt idx="52">
                  <c:v>29830</c:v>
                </c:pt>
                <c:pt idx="53">
                  <c:v>29921</c:v>
                </c:pt>
                <c:pt idx="54">
                  <c:v>30011</c:v>
                </c:pt>
                <c:pt idx="55">
                  <c:v>30103</c:v>
                </c:pt>
                <c:pt idx="56">
                  <c:v>30195</c:v>
                </c:pt>
                <c:pt idx="57">
                  <c:v>30286</c:v>
                </c:pt>
                <c:pt idx="58">
                  <c:v>30376</c:v>
                </c:pt>
                <c:pt idx="59">
                  <c:v>30468</c:v>
                </c:pt>
                <c:pt idx="60">
                  <c:v>30560</c:v>
                </c:pt>
                <c:pt idx="61">
                  <c:v>30651</c:v>
                </c:pt>
                <c:pt idx="62">
                  <c:v>30742</c:v>
                </c:pt>
                <c:pt idx="63">
                  <c:v>30834</c:v>
                </c:pt>
                <c:pt idx="64">
                  <c:v>30926</c:v>
                </c:pt>
                <c:pt idx="65">
                  <c:v>31017</c:v>
                </c:pt>
                <c:pt idx="66">
                  <c:v>31107</c:v>
                </c:pt>
                <c:pt idx="67">
                  <c:v>31199</c:v>
                </c:pt>
                <c:pt idx="68">
                  <c:v>31291</c:v>
                </c:pt>
                <c:pt idx="69">
                  <c:v>31382</c:v>
                </c:pt>
                <c:pt idx="70">
                  <c:v>31472</c:v>
                </c:pt>
                <c:pt idx="71">
                  <c:v>31564</c:v>
                </c:pt>
                <c:pt idx="72">
                  <c:v>31656</c:v>
                </c:pt>
                <c:pt idx="73">
                  <c:v>31747</c:v>
                </c:pt>
                <c:pt idx="74">
                  <c:v>31837</c:v>
                </c:pt>
                <c:pt idx="75">
                  <c:v>31929</c:v>
                </c:pt>
                <c:pt idx="76">
                  <c:v>32021</c:v>
                </c:pt>
                <c:pt idx="77">
                  <c:v>32112</c:v>
                </c:pt>
                <c:pt idx="78">
                  <c:v>32203</c:v>
                </c:pt>
                <c:pt idx="79">
                  <c:v>32295</c:v>
                </c:pt>
                <c:pt idx="80">
                  <c:v>32387</c:v>
                </c:pt>
                <c:pt idx="81">
                  <c:v>32478</c:v>
                </c:pt>
                <c:pt idx="82">
                  <c:v>32568</c:v>
                </c:pt>
                <c:pt idx="83">
                  <c:v>32660</c:v>
                </c:pt>
                <c:pt idx="84">
                  <c:v>32752</c:v>
                </c:pt>
                <c:pt idx="85">
                  <c:v>32843</c:v>
                </c:pt>
                <c:pt idx="86">
                  <c:v>32933</c:v>
                </c:pt>
                <c:pt idx="87">
                  <c:v>33025</c:v>
                </c:pt>
                <c:pt idx="88">
                  <c:v>33117</c:v>
                </c:pt>
                <c:pt idx="89">
                  <c:v>33208</c:v>
                </c:pt>
                <c:pt idx="90">
                  <c:v>33298</c:v>
                </c:pt>
                <c:pt idx="91">
                  <c:v>33390</c:v>
                </c:pt>
                <c:pt idx="92">
                  <c:v>33482</c:v>
                </c:pt>
                <c:pt idx="93">
                  <c:v>33573</c:v>
                </c:pt>
                <c:pt idx="94">
                  <c:v>33664</c:v>
                </c:pt>
                <c:pt idx="95">
                  <c:v>33756</c:v>
                </c:pt>
                <c:pt idx="96">
                  <c:v>33848</c:v>
                </c:pt>
                <c:pt idx="97">
                  <c:v>33939</c:v>
                </c:pt>
                <c:pt idx="98">
                  <c:v>34029</c:v>
                </c:pt>
                <c:pt idx="99">
                  <c:v>34121</c:v>
                </c:pt>
                <c:pt idx="100">
                  <c:v>34213</c:v>
                </c:pt>
                <c:pt idx="101">
                  <c:v>34304</c:v>
                </c:pt>
                <c:pt idx="102">
                  <c:v>34394</c:v>
                </c:pt>
                <c:pt idx="103">
                  <c:v>34486</c:v>
                </c:pt>
                <c:pt idx="104">
                  <c:v>34578</c:v>
                </c:pt>
                <c:pt idx="105">
                  <c:v>34669</c:v>
                </c:pt>
                <c:pt idx="106">
                  <c:v>34759</c:v>
                </c:pt>
                <c:pt idx="107">
                  <c:v>34851</c:v>
                </c:pt>
                <c:pt idx="108">
                  <c:v>34943</c:v>
                </c:pt>
                <c:pt idx="109">
                  <c:v>35034</c:v>
                </c:pt>
                <c:pt idx="110">
                  <c:v>35125</c:v>
                </c:pt>
                <c:pt idx="111">
                  <c:v>35217</c:v>
                </c:pt>
                <c:pt idx="112">
                  <c:v>35309</c:v>
                </c:pt>
                <c:pt idx="113">
                  <c:v>35400</c:v>
                </c:pt>
                <c:pt idx="114">
                  <c:v>35490</c:v>
                </c:pt>
                <c:pt idx="115">
                  <c:v>35582</c:v>
                </c:pt>
                <c:pt idx="116">
                  <c:v>35674</c:v>
                </c:pt>
                <c:pt idx="117">
                  <c:v>35765</c:v>
                </c:pt>
                <c:pt idx="118">
                  <c:v>35855</c:v>
                </c:pt>
                <c:pt idx="119">
                  <c:v>35947</c:v>
                </c:pt>
                <c:pt idx="120">
                  <c:v>36039</c:v>
                </c:pt>
                <c:pt idx="121">
                  <c:v>36130</c:v>
                </c:pt>
                <c:pt idx="122">
                  <c:v>36220</c:v>
                </c:pt>
                <c:pt idx="123">
                  <c:v>36312</c:v>
                </c:pt>
                <c:pt idx="124">
                  <c:v>36404</c:v>
                </c:pt>
                <c:pt idx="125">
                  <c:v>36495</c:v>
                </c:pt>
                <c:pt idx="126">
                  <c:v>36586</c:v>
                </c:pt>
                <c:pt idx="127">
                  <c:v>36678</c:v>
                </c:pt>
                <c:pt idx="128">
                  <c:v>36770</c:v>
                </c:pt>
                <c:pt idx="129">
                  <c:v>36861</c:v>
                </c:pt>
                <c:pt idx="130">
                  <c:v>36951</c:v>
                </c:pt>
                <c:pt idx="131">
                  <c:v>37043</c:v>
                </c:pt>
                <c:pt idx="132">
                  <c:v>37135</c:v>
                </c:pt>
                <c:pt idx="133">
                  <c:v>37226</c:v>
                </c:pt>
                <c:pt idx="134">
                  <c:v>37316</c:v>
                </c:pt>
                <c:pt idx="135">
                  <c:v>37408</c:v>
                </c:pt>
                <c:pt idx="136">
                  <c:v>37500</c:v>
                </c:pt>
                <c:pt idx="137">
                  <c:v>37591</c:v>
                </c:pt>
                <c:pt idx="138">
                  <c:v>37681</c:v>
                </c:pt>
                <c:pt idx="139">
                  <c:v>37773</c:v>
                </c:pt>
                <c:pt idx="140">
                  <c:v>37865</c:v>
                </c:pt>
                <c:pt idx="141">
                  <c:v>37956</c:v>
                </c:pt>
                <c:pt idx="142">
                  <c:v>38047</c:v>
                </c:pt>
                <c:pt idx="143">
                  <c:v>38139</c:v>
                </c:pt>
                <c:pt idx="144">
                  <c:v>38231</c:v>
                </c:pt>
                <c:pt idx="145">
                  <c:v>38322</c:v>
                </c:pt>
                <c:pt idx="146">
                  <c:v>38412</c:v>
                </c:pt>
                <c:pt idx="147">
                  <c:v>38504</c:v>
                </c:pt>
                <c:pt idx="148">
                  <c:v>38596</c:v>
                </c:pt>
                <c:pt idx="149">
                  <c:v>38687</c:v>
                </c:pt>
                <c:pt idx="150">
                  <c:v>38777</c:v>
                </c:pt>
                <c:pt idx="151">
                  <c:v>38869</c:v>
                </c:pt>
                <c:pt idx="152">
                  <c:v>38961</c:v>
                </c:pt>
                <c:pt idx="153">
                  <c:v>39052</c:v>
                </c:pt>
                <c:pt idx="154">
                  <c:v>39142</c:v>
                </c:pt>
                <c:pt idx="155">
                  <c:v>39234</c:v>
                </c:pt>
                <c:pt idx="156">
                  <c:v>39326</c:v>
                </c:pt>
                <c:pt idx="157">
                  <c:v>39417</c:v>
                </c:pt>
                <c:pt idx="158">
                  <c:v>39508</c:v>
                </c:pt>
                <c:pt idx="159">
                  <c:v>39600</c:v>
                </c:pt>
                <c:pt idx="160">
                  <c:v>39692</c:v>
                </c:pt>
                <c:pt idx="161">
                  <c:v>39783</c:v>
                </c:pt>
                <c:pt idx="162">
                  <c:v>39873</c:v>
                </c:pt>
                <c:pt idx="163">
                  <c:v>39965</c:v>
                </c:pt>
                <c:pt idx="164">
                  <c:v>40057</c:v>
                </c:pt>
                <c:pt idx="165">
                  <c:v>40148</c:v>
                </c:pt>
                <c:pt idx="166">
                  <c:v>40238</c:v>
                </c:pt>
                <c:pt idx="167">
                  <c:v>40330</c:v>
                </c:pt>
                <c:pt idx="168">
                  <c:v>40422</c:v>
                </c:pt>
                <c:pt idx="169">
                  <c:v>40513</c:v>
                </c:pt>
                <c:pt idx="170">
                  <c:v>40603</c:v>
                </c:pt>
                <c:pt idx="171">
                  <c:v>40695</c:v>
                </c:pt>
                <c:pt idx="172">
                  <c:v>40787</c:v>
                </c:pt>
                <c:pt idx="173">
                  <c:v>40878</c:v>
                </c:pt>
                <c:pt idx="174">
                  <c:v>40969</c:v>
                </c:pt>
                <c:pt idx="175">
                  <c:v>41061</c:v>
                </c:pt>
                <c:pt idx="176">
                  <c:v>41153</c:v>
                </c:pt>
                <c:pt idx="177">
                  <c:v>41244</c:v>
                </c:pt>
                <c:pt idx="178">
                  <c:v>41334</c:v>
                </c:pt>
                <c:pt idx="179">
                  <c:v>41426</c:v>
                </c:pt>
                <c:pt idx="180">
                  <c:v>41518</c:v>
                </c:pt>
                <c:pt idx="181">
                  <c:v>41609</c:v>
                </c:pt>
                <c:pt idx="182">
                  <c:v>41699</c:v>
                </c:pt>
                <c:pt idx="183">
                  <c:v>41791</c:v>
                </c:pt>
                <c:pt idx="184">
                  <c:v>41883</c:v>
                </c:pt>
                <c:pt idx="185">
                  <c:v>41974</c:v>
                </c:pt>
                <c:pt idx="186">
                  <c:v>42064</c:v>
                </c:pt>
                <c:pt idx="187">
                  <c:v>42156</c:v>
                </c:pt>
                <c:pt idx="188">
                  <c:v>42248</c:v>
                </c:pt>
                <c:pt idx="189">
                  <c:v>42339</c:v>
                </c:pt>
                <c:pt idx="190">
                  <c:v>42430</c:v>
                </c:pt>
                <c:pt idx="191">
                  <c:v>42522</c:v>
                </c:pt>
                <c:pt idx="192">
                  <c:v>42614</c:v>
                </c:pt>
                <c:pt idx="193">
                  <c:v>42705</c:v>
                </c:pt>
                <c:pt idx="194">
                  <c:v>42795</c:v>
                </c:pt>
                <c:pt idx="195">
                  <c:v>42887</c:v>
                </c:pt>
                <c:pt idx="196">
                  <c:v>42979</c:v>
                </c:pt>
                <c:pt idx="197">
                  <c:v>43070</c:v>
                </c:pt>
                <c:pt idx="198">
                  <c:v>43160</c:v>
                </c:pt>
                <c:pt idx="199">
                  <c:v>43252</c:v>
                </c:pt>
                <c:pt idx="200">
                  <c:v>43344</c:v>
                </c:pt>
                <c:pt idx="201">
                  <c:v>43435</c:v>
                </c:pt>
                <c:pt idx="202">
                  <c:v>43525</c:v>
                </c:pt>
                <c:pt idx="203">
                  <c:v>43617</c:v>
                </c:pt>
                <c:pt idx="204">
                  <c:v>43709</c:v>
                </c:pt>
                <c:pt idx="205">
                  <c:v>43800</c:v>
                </c:pt>
                <c:pt idx="206">
                  <c:v>43891</c:v>
                </c:pt>
                <c:pt idx="207">
                  <c:v>43983</c:v>
                </c:pt>
                <c:pt idx="208">
                  <c:v>44075</c:v>
                </c:pt>
                <c:pt idx="209">
                  <c:v>44166</c:v>
                </c:pt>
                <c:pt idx="210">
                  <c:v>44256</c:v>
                </c:pt>
                <c:pt idx="211">
                  <c:v>44348</c:v>
                </c:pt>
                <c:pt idx="212">
                  <c:v>44440</c:v>
                </c:pt>
                <c:pt idx="213">
                  <c:v>44531</c:v>
                </c:pt>
                <c:pt idx="214">
                  <c:v>44621</c:v>
                </c:pt>
                <c:pt idx="215">
                  <c:v>44713</c:v>
                </c:pt>
                <c:pt idx="216">
                  <c:v>44805</c:v>
                </c:pt>
                <c:pt idx="217">
                  <c:v>44896</c:v>
                </c:pt>
                <c:pt idx="218">
                  <c:v>44986</c:v>
                </c:pt>
                <c:pt idx="219">
                  <c:v>45078</c:v>
                </c:pt>
                <c:pt idx="220">
                  <c:v>45170</c:v>
                </c:pt>
                <c:pt idx="221">
                  <c:v>45261</c:v>
                </c:pt>
                <c:pt idx="222">
                  <c:v>45352</c:v>
                </c:pt>
                <c:pt idx="223">
                  <c:v>45444</c:v>
                </c:pt>
                <c:pt idx="224">
                  <c:v>45536</c:v>
                </c:pt>
                <c:pt idx="225">
                  <c:v>45627</c:v>
                </c:pt>
                <c:pt idx="226">
                  <c:v>45717</c:v>
                </c:pt>
                <c:pt idx="227">
                  <c:v>45809</c:v>
                </c:pt>
                <c:pt idx="228">
                  <c:v>45901</c:v>
                </c:pt>
                <c:pt idx="229">
                  <c:v>45992</c:v>
                </c:pt>
                <c:pt idx="230">
                  <c:v>46082</c:v>
                </c:pt>
              </c:numCache>
            </c:numRef>
          </c:cat>
          <c:val>
            <c:numRef>
              <c:f>Charts!$T$52:$T$282</c:f>
              <c:numCache>
                <c:formatCode>0.0%</c:formatCode>
                <c:ptCount val="2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3.3898305084745672E-2</c:v>
                </c:pt>
                <c:pt idx="11">
                  <c:v>1.6666666666666607E-2</c:v>
                </c:pt>
                <c:pt idx="12">
                  <c:v>8.1300813008129413E-3</c:v>
                </c:pt>
                <c:pt idx="13">
                  <c:v>1.6393442622950838E-2</c:v>
                </c:pt>
                <c:pt idx="14">
                  <c:v>4.0983606557376984E-2</c:v>
                </c:pt>
                <c:pt idx="15">
                  <c:v>2.4590163934426368E-2</c:v>
                </c:pt>
                <c:pt idx="16">
                  <c:v>3.2258064516129004E-2</c:v>
                </c:pt>
                <c:pt idx="17">
                  <c:v>1.6129032258064502E-2</c:v>
                </c:pt>
                <c:pt idx="18">
                  <c:v>7.8740157480317041E-3</c:v>
                </c:pt>
                <c:pt idx="19">
                  <c:v>2.4000000000000021E-2</c:v>
                </c:pt>
                <c:pt idx="20">
                  <c:v>1.5625E-2</c:v>
                </c:pt>
                <c:pt idx="21">
                  <c:v>5.555555555555558E-2</c:v>
                </c:pt>
                <c:pt idx="22">
                  <c:v>7.0312499999999778E-2</c:v>
                </c:pt>
                <c:pt idx="23">
                  <c:v>9.375E-2</c:v>
                </c:pt>
                <c:pt idx="24">
                  <c:v>0.10000000000000009</c:v>
                </c:pt>
                <c:pt idx="25">
                  <c:v>9.7744360902255467E-2</c:v>
                </c:pt>
                <c:pt idx="26">
                  <c:v>0.18248175182481763</c:v>
                </c:pt>
                <c:pt idx="27">
                  <c:v>0.16428571428571437</c:v>
                </c:pt>
                <c:pt idx="28">
                  <c:v>0.15384615384615374</c:v>
                </c:pt>
                <c:pt idx="29">
                  <c:v>0.12328767123287654</c:v>
                </c:pt>
                <c:pt idx="30">
                  <c:v>8.0246913580247048E-2</c:v>
                </c:pt>
                <c:pt idx="31">
                  <c:v>7.9754601226993849E-2</c:v>
                </c:pt>
                <c:pt idx="32">
                  <c:v>6.0606060606060552E-2</c:v>
                </c:pt>
                <c:pt idx="33">
                  <c:v>7.317073170731736E-2</c:v>
                </c:pt>
                <c:pt idx="34">
                  <c:v>9.7142857142857197E-2</c:v>
                </c:pt>
                <c:pt idx="35">
                  <c:v>7.9545454545454364E-2</c:v>
                </c:pt>
                <c:pt idx="36">
                  <c:v>8.5714285714285632E-2</c:v>
                </c:pt>
                <c:pt idx="37">
                  <c:v>9.659090909090895E-2</c:v>
                </c:pt>
                <c:pt idx="38">
                  <c:v>5.7291666666666741E-2</c:v>
                </c:pt>
                <c:pt idx="39">
                  <c:v>8.9473684210526372E-2</c:v>
                </c:pt>
                <c:pt idx="40">
                  <c:v>9.473684210526323E-2</c:v>
                </c:pt>
                <c:pt idx="41">
                  <c:v>9.3264248704663322E-2</c:v>
                </c:pt>
                <c:pt idx="42">
                  <c:v>7.8817733990147687E-2</c:v>
                </c:pt>
                <c:pt idx="43">
                  <c:v>5.3140096618357502E-2</c:v>
                </c:pt>
                <c:pt idx="44">
                  <c:v>6.25E-2</c:v>
                </c:pt>
                <c:pt idx="45">
                  <c:v>7.1090047393364886E-2</c:v>
                </c:pt>
                <c:pt idx="46">
                  <c:v>7.762557077625587E-2</c:v>
                </c:pt>
                <c:pt idx="47">
                  <c:v>8.256880733944949E-2</c:v>
                </c:pt>
                <c:pt idx="48">
                  <c:v>0.1040723981900451</c:v>
                </c:pt>
                <c:pt idx="49">
                  <c:v>0.1017699115044246</c:v>
                </c:pt>
                <c:pt idx="50">
                  <c:v>0.14406779661016933</c:v>
                </c:pt>
                <c:pt idx="51">
                  <c:v>0.15254237288135575</c:v>
                </c:pt>
                <c:pt idx="52">
                  <c:v>0.14344262295081966</c:v>
                </c:pt>
                <c:pt idx="53">
                  <c:v>0.18473895582329325</c:v>
                </c:pt>
                <c:pt idx="54">
                  <c:v>0.2407407407407407</c:v>
                </c:pt>
                <c:pt idx="55">
                  <c:v>0.24632352941176472</c:v>
                </c:pt>
                <c:pt idx="56">
                  <c:v>0.42652329749103934</c:v>
                </c:pt>
                <c:pt idx="57">
                  <c:v>0.41355932203389845</c:v>
                </c:pt>
                <c:pt idx="58">
                  <c:v>0.23283582089552235</c:v>
                </c:pt>
                <c:pt idx="59">
                  <c:v>0.21828908554572268</c:v>
                </c:pt>
                <c:pt idx="60">
                  <c:v>5.7788944723618174E-2</c:v>
                </c:pt>
                <c:pt idx="61">
                  <c:v>4.0767386091127067E-2</c:v>
                </c:pt>
                <c:pt idx="62">
                  <c:v>5.8111380145278613E-2</c:v>
                </c:pt>
                <c:pt idx="63">
                  <c:v>5.8111380145278613E-2</c:v>
                </c:pt>
                <c:pt idx="64">
                  <c:v>4.9881235154394243E-2</c:v>
                </c:pt>
                <c:pt idx="65">
                  <c:v>2.5345622119815614E-2</c:v>
                </c:pt>
                <c:pt idx="66">
                  <c:v>2.2883295194507935E-2</c:v>
                </c:pt>
                <c:pt idx="67">
                  <c:v>2.5171624713958618E-2</c:v>
                </c:pt>
                <c:pt idx="68">
                  <c:v>4.0723981900452344E-2</c:v>
                </c:pt>
                <c:pt idx="69">
                  <c:v>2.0224719101123556E-2</c:v>
                </c:pt>
                <c:pt idx="70">
                  <c:v>2.0134228187919323E-2</c:v>
                </c:pt>
                <c:pt idx="71">
                  <c:v>3.3482142857142794E-2</c:v>
                </c:pt>
                <c:pt idx="72">
                  <c:v>3.2608695652173836E-2</c:v>
                </c:pt>
                <c:pt idx="73">
                  <c:v>5.0660792951541911E-2</c:v>
                </c:pt>
                <c:pt idx="74">
                  <c:v>5.0438596491227949E-2</c:v>
                </c:pt>
                <c:pt idx="75">
                  <c:v>4.103671706263512E-2</c:v>
                </c:pt>
                <c:pt idx="76">
                  <c:v>4.842105263157892E-2</c:v>
                </c:pt>
                <c:pt idx="77">
                  <c:v>4.6121593291404528E-2</c:v>
                </c:pt>
                <c:pt idx="78">
                  <c:v>4.175365344467652E-2</c:v>
                </c:pt>
                <c:pt idx="79">
                  <c:v>4.7717842323651283E-2</c:v>
                </c:pt>
                <c:pt idx="80">
                  <c:v>5.2208835341365445E-2</c:v>
                </c:pt>
                <c:pt idx="81">
                  <c:v>5.2104208416833719E-2</c:v>
                </c:pt>
                <c:pt idx="82">
                  <c:v>5.8116232464929807E-2</c:v>
                </c:pt>
                <c:pt idx="83">
                  <c:v>4.9504950495049549E-2</c:v>
                </c:pt>
                <c:pt idx="84">
                  <c:v>4.5801526717557328E-2</c:v>
                </c:pt>
                <c:pt idx="85">
                  <c:v>4.5714285714285596E-2</c:v>
                </c:pt>
                <c:pt idx="86">
                  <c:v>4.7348484848484862E-2</c:v>
                </c:pt>
                <c:pt idx="87">
                  <c:v>3.9622641509434064E-2</c:v>
                </c:pt>
                <c:pt idx="88">
                  <c:v>4.3795620437956373E-2</c:v>
                </c:pt>
                <c:pt idx="89">
                  <c:v>4.7358834244080272E-2</c:v>
                </c:pt>
                <c:pt idx="90">
                  <c:v>3.7974683544303778E-2</c:v>
                </c:pt>
                <c:pt idx="91">
                  <c:v>4.5372050816696818E-2</c:v>
                </c:pt>
                <c:pt idx="92">
                  <c:v>2.4475524475524368E-2</c:v>
                </c:pt>
                <c:pt idx="93">
                  <c:v>3.3043478260869508E-2</c:v>
                </c:pt>
                <c:pt idx="94">
                  <c:v>3.4843205574912828E-2</c:v>
                </c:pt>
                <c:pt idx="95">
                  <c:v>3.4722222222222321E-2</c:v>
                </c:pt>
                <c:pt idx="96">
                  <c:v>1.8771331058020424E-2</c:v>
                </c:pt>
                <c:pt idx="97">
                  <c:v>-1.6835016835017313E-3</c:v>
                </c:pt>
                <c:pt idx="98">
                  <c:v>-5.050505050504972E-3</c:v>
                </c:pt>
                <c:pt idx="99">
                  <c:v>-8.3892617449664586E-3</c:v>
                </c:pt>
                <c:pt idx="100">
                  <c:v>-5.0251256281407253E-3</c:v>
                </c:pt>
                <c:pt idx="101">
                  <c:v>0</c:v>
                </c:pt>
                <c:pt idx="102">
                  <c:v>-1.6920473773266442E-3</c:v>
                </c:pt>
                <c:pt idx="103">
                  <c:v>-5.0761421319798217E-3</c:v>
                </c:pt>
                <c:pt idx="104">
                  <c:v>-2.6936026936026924E-2</c:v>
                </c:pt>
                <c:pt idx="105">
                  <c:v>-2.02360876897133E-2</c:v>
                </c:pt>
                <c:pt idx="106">
                  <c:v>-6.7796610169491567E-3</c:v>
                </c:pt>
                <c:pt idx="107">
                  <c:v>-6.8027210884353817E-3</c:v>
                </c:pt>
                <c:pt idx="108">
                  <c:v>2.4221453287197381E-2</c:v>
                </c:pt>
                <c:pt idx="109">
                  <c:v>2.5817555938037806E-2</c:v>
                </c:pt>
                <c:pt idx="110">
                  <c:v>2.0477815699658564E-2</c:v>
                </c:pt>
                <c:pt idx="111">
                  <c:v>8.5616438356164171E-3</c:v>
                </c:pt>
                <c:pt idx="112">
                  <c:v>5.0675675675675436E-3</c:v>
                </c:pt>
                <c:pt idx="113">
                  <c:v>-8.3892617449664586E-3</c:v>
                </c:pt>
                <c:pt idx="114">
                  <c:v>-5.0167224080267525E-3</c:v>
                </c:pt>
                <c:pt idx="115">
                  <c:v>1.3582342954159721E-2</c:v>
                </c:pt>
                <c:pt idx="116">
                  <c:v>3.3613445378151141E-3</c:v>
                </c:pt>
                <c:pt idx="117">
                  <c:v>-1.1844331641285955E-2</c:v>
                </c:pt>
                <c:pt idx="118">
                  <c:v>-1.8487394957983239E-2</c:v>
                </c:pt>
                <c:pt idx="119">
                  <c:v>-2.6800670016750461E-2</c:v>
                </c:pt>
                <c:pt idx="120">
                  <c:v>-5.8626465661641536E-2</c:v>
                </c:pt>
                <c:pt idx="121">
                  <c:v>-5.6506849315068441E-2</c:v>
                </c:pt>
                <c:pt idx="122">
                  <c:v>-8.5616438356164393E-2</c:v>
                </c:pt>
                <c:pt idx="123">
                  <c:v>-7.745266781411364E-2</c:v>
                </c:pt>
                <c:pt idx="124">
                  <c:v>1.4234875444839812E-2</c:v>
                </c:pt>
                <c:pt idx="125">
                  <c:v>6.8965517241379226E-2</c:v>
                </c:pt>
                <c:pt idx="126">
                  <c:v>8.4269662921348409E-2</c:v>
                </c:pt>
                <c:pt idx="127">
                  <c:v>3.917910447761197E-2</c:v>
                </c:pt>
                <c:pt idx="128">
                  <c:v>-6.1403508771929793E-2</c:v>
                </c:pt>
                <c:pt idx="129">
                  <c:v>-7.4702886247877687E-2</c:v>
                </c:pt>
                <c:pt idx="130">
                  <c:v>-4.3177892918825567E-2</c:v>
                </c:pt>
                <c:pt idx="131">
                  <c:v>1.7953321364452268E-3</c:v>
                </c:pt>
                <c:pt idx="132">
                  <c:v>1.1214953271028172E-2</c:v>
                </c:pt>
                <c:pt idx="133">
                  <c:v>1.2844036697247763E-2</c:v>
                </c:pt>
                <c:pt idx="134">
                  <c:v>1.6245487364620947E-2</c:v>
                </c:pt>
                <c:pt idx="135">
                  <c:v>5.555555555555558E-2</c:v>
                </c:pt>
                <c:pt idx="136">
                  <c:v>0.12199630314232901</c:v>
                </c:pt>
                <c:pt idx="137">
                  <c:v>9.2391304347825942E-2</c:v>
                </c:pt>
                <c:pt idx="138">
                  <c:v>0.10834813499111906</c:v>
                </c:pt>
                <c:pt idx="139">
                  <c:v>4.9235993208828432E-2</c:v>
                </c:pt>
                <c:pt idx="140">
                  <c:v>4.2833607907742932E-2</c:v>
                </c:pt>
                <c:pt idx="141">
                  <c:v>5.1409618573797777E-2</c:v>
                </c:pt>
                <c:pt idx="142">
                  <c:v>2.7243589743589647E-2</c:v>
                </c:pt>
                <c:pt idx="143">
                  <c:v>1.6181229773462702E-2</c:v>
                </c:pt>
                <c:pt idx="144">
                  <c:v>-3.7914691943127909E-2</c:v>
                </c:pt>
                <c:pt idx="145">
                  <c:v>-3.1545741324921162E-2</c:v>
                </c:pt>
                <c:pt idx="146">
                  <c:v>-3.4321372854914101E-2</c:v>
                </c:pt>
                <c:pt idx="147">
                  <c:v>-1.5923566878980333E-3</c:v>
                </c:pt>
                <c:pt idx="148">
                  <c:v>4.1050903119868698E-2</c:v>
                </c:pt>
                <c:pt idx="149">
                  <c:v>3.9087947882736174E-2</c:v>
                </c:pt>
                <c:pt idx="150">
                  <c:v>5.0080775444264924E-2</c:v>
                </c:pt>
                <c:pt idx="151">
                  <c:v>1.2759170653907415E-2</c:v>
                </c:pt>
                <c:pt idx="152">
                  <c:v>4.7318611987381409E-3</c:v>
                </c:pt>
                <c:pt idx="153">
                  <c:v>-7.8369905956112706E-3</c:v>
                </c:pt>
                <c:pt idx="154">
                  <c:v>-9.2307692307691536E-3</c:v>
                </c:pt>
                <c:pt idx="155">
                  <c:v>3.3070866141732269E-2</c:v>
                </c:pt>
                <c:pt idx="156">
                  <c:v>5.6514913657770727E-2</c:v>
                </c:pt>
                <c:pt idx="157">
                  <c:v>8.2148499210110693E-2</c:v>
                </c:pt>
                <c:pt idx="158">
                  <c:v>9.3167701863354102E-2</c:v>
                </c:pt>
                <c:pt idx="159">
                  <c:v>0.14024390243902451</c:v>
                </c:pt>
                <c:pt idx="160">
                  <c:v>9.5096582466567714E-2</c:v>
                </c:pt>
                <c:pt idx="161">
                  <c:v>0.11970802919708023</c:v>
                </c:pt>
                <c:pt idx="162">
                  <c:v>8.8068181818181657E-2</c:v>
                </c:pt>
                <c:pt idx="163">
                  <c:v>6.5508021390374482E-2</c:v>
                </c:pt>
                <c:pt idx="164">
                  <c:v>7.327001356852092E-2</c:v>
                </c:pt>
                <c:pt idx="165">
                  <c:v>4.8239895697522961E-2</c:v>
                </c:pt>
                <c:pt idx="166">
                  <c:v>8.6161879895561455E-2</c:v>
                </c:pt>
                <c:pt idx="167">
                  <c:v>0.10037641154328725</c:v>
                </c:pt>
                <c:pt idx="168">
                  <c:v>0.11125158027812909</c:v>
                </c:pt>
                <c:pt idx="169">
                  <c:v>0.13805970149253732</c:v>
                </c:pt>
                <c:pt idx="170">
                  <c:v>0.12379807692307687</c:v>
                </c:pt>
                <c:pt idx="171">
                  <c:v>9.6921322690991962E-2</c:v>
                </c:pt>
                <c:pt idx="172">
                  <c:v>9.8976109215016983E-2</c:v>
                </c:pt>
                <c:pt idx="173">
                  <c:v>7.7595628415300544E-2</c:v>
                </c:pt>
                <c:pt idx="174">
                  <c:v>5.6684491978609586E-2</c:v>
                </c:pt>
                <c:pt idx="175">
                  <c:v>0.10187110187110182</c:v>
                </c:pt>
                <c:pt idx="176">
                  <c:v>0.17184265010351973</c:v>
                </c:pt>
                <c:pt idx="177">
                  <c:v>0.26064908722109537</c:v>
                </c:pt>
                <c:pt idx="178">
                  <c:v>0.26923076923076938</c:v>
                </c:pt>
                <c:pt idx="179">
                  <c:v>0.18207547169811322</c:v>
                </c:pt>
                <c:pt idx="180">
                  <c:v>0.11660777385159005</c:v>
                </c:pt>
                <c:pt idx="181">
                  <c:v>2.0917135961383782E-2</c:v>
                </c:pt>
                <c:pt idx="182">
                  <c:v>2.9505582137161035E-2</c:v>
                </c:pt>
                <c:pt idx="183">
                  <c:v>2.0750199521149204E-2</c:v>
                </c:pt>
                <c:pt idx="184">
                  <c:v>-4.9050632911392444E-2</c:v>
                </c:pt>
                <c:pt idx="185">
                  <c:v>-5.2009456264775489E-2</c:v>
                </c:pt>
                <c:pt idx="186">
                  <c:v>-7.0487993803253213E-2</c:v>
                </c:pt>
                <c:pt idx="187">
                  <c:v>-5.9421422986708383E-2</c:v>
                </c:pt>
                <c:pt idx="188">
                  <c:v>-3.4109816971713891E-2</c:v>
                </c:pt>
                <c:pt idx="189">
                  <c:v>-3.9068994181213679E-2</c:v>
                </c:pt>
                <c:pt idx="190">
                  <c:v>-4.2499999999999982E-2</c:v>
                </c:pt>
                <c:pt idx="191">
                  <c:v>-1.5793848711554426E-2</c:v>
                </c:pt>
                <c:pt idx="192">
                  <c:v>3.7037037037037202E-2</c:v>
                </c:pt>
                <c:pt idx="193">
                  <c:v>3.8927335640138505E-2</c:v>
                </c:pt>
                <c:pt idx="194">
                  <c:v>0.11749347258485643</c:v>
                </c:pt>
                <c:pt idx="195">
                  <c:v>8.783783783783794E-2</c:v>
                </c:pt>
                <c:pt idx="196">
                  <c:v>0.10548172757475083</c:v>
                </c:pt>
                <c:pt idx="197">
                  <c:v>0.14487926727726896</c:v>
                </c:pt>
                <c:pt idx="198">
                  <c:v>0.15965732087227424</c:v>
                </c:pt>
                <c:pt idx="199">
                  <c:v>0.16381987577639756</c:v>
                </c:pt>
                <c:pt idx="200">
                  <c:v>0.15251690458302036</c:v>
                </c:pt>
                <c:pt idx="201">
                  <c:v>0.11272727272727279</c:v>
                </c:pt>
                <c:pt idx="202">
                  <c:v>6.8502350570852855E-2</c:v>
                </c:pt>
                <c:pt idx="203">
                  <c:v>1.2675116744496284E-2</c:v>
                </c:pt>
                <c:pt idx="204">
                  <c:v>-4.1069100391134317E-2</c:v>
                </c:pt>
                <c:pt idx="205">
                  <c:v>-4.5751633986926832E-3</c:v>
                </c:pt>
                <c:pt idx="206">
                  <c:v>1.8856065367693242E-2</c:v>
                </c:pt>
                <c:pt idx="207">
                  <c:v>-6.8511198945981566E-2</c:v>
                </c:pt>
                <c:pt idx="208">
                  <c:v>-5.3704962610469087E-2</c:v>
                </c:pt>
                <c:pt idx="209">
                  <c:v>-8.076165462902174E-2</c:v>
                </c:pt>
                <c:pt idx="210">
                  <c:v>-0.1659469463294263</c:v>
                </c:pt>
                <c:pt idx="211">
                  <c:v>-7.2135785007072295E-2</c:v>
                </c:pt>
                <c:pt idx="212">
                  <c:v>-2.2270114942528729E-2</c:v>
                </c:pt>
                <c:pt idx="213">
                  <c:v>-3.5714285714285698E-2</c:v>
                </c:pt>
                <c:pt idx="214">
                  <c:v>4.4378698224851965E-2</c:v>
                </c:pt>
                <c:pt idx="215">
                  <c:v>0.12423780487804881</c:v>
                </c:pt>
                <c:pt idx="216">
                  <c:v>0.23218221895664959</c:v>
                </c:pt>
                <c:pt idx="217">
                  <c:v>0.12888888888888883</c:v>
                </c:pt>
                <c:pt idx="218">
                  <c:v>6.3031161473087849E-2</c:v>
                </c:pt>
                <c:pt idx="219">
                  <c:v>4.8813559322033795E-2</c:v>
                </c:pt>
                <c:pt idx="220">
                  <c:v>-0.11687537268932613</c:v>
                </c:pt>
                <c:pt idx="221">
                  <c:v>-4.2650918635170565E-2</c:v>
                </c:pt>
                <c:pt idx="222">
                  <c:v>-7.9946702198533393E-3</c:v>
                </c:pt>
                <c:pt idx="223">
                  <c:v>-4.6541693600517076E-2</c:v>
                </c:pt>
                <c:pt idx="224">
                  <c:v>4.726536124240388E-2</c:v>
                </c:pt>
                <c:pt idx="225">
                  <c:v>6.1000685400959709E-2</c:v>
                </c:pt>
                <c:pt idx="226">
                  <c:v>4.9026192075218189E-2</c:v>
                </c:pt>
                <c:pt idx="227">
                  <c:v>5.4237288135593253E-2</c:v>
                </c:pt>
                <c:pt idx="228">
                  <c:v>-6.447453255963298E-4</c:v>
                </c:pt>
                <c:pt idx="229">
                  <c:v>-2.6485788113695286E-2</c:v>
                </c:pt>
                <c:pt idx="230">
                  <c:v>-2.5608194622279146E-2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59-47AC-AB46-10D86B12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337008"/>
        <c:axId val="1936548960"/>
      </c:lineChart>
      <c:dateAx>
        <c:axId val="2018337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48960"/>
        <c:crosses val="autoZero"/>
        <c:auto val="1"/>
        <c:lblOffset val="100"/>
        <c:baseTimeUnit val="months"/>
      </c:dateAx>
      <c:valAx>
        <c:axId val="193654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YoY %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3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5</xdr:row>
      <xdr:rowOff>225425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5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1057275</xdr:colOff>
      <xdr:row>13</xdr:row>
      <xdr:rowOff>114300</xdr:rowOff>
    </xdr:from>
    <xdr:to>
      <xdr:col>9</xdr:col>
      <xdr:colOff>590550</xdr:colOff>
      <xdr:row>29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A8DD25-C479-1962-ED11-7FED86D01848}"/>
            </a:ext>
          </a:extLst>
        </xdr:cNvPr>
        <xdr:cNvSpPr txBox="1"/>
      </xdr:nvSpPr>
      <xdr:spPr>
        <a:xfrm>
          <a:off x="7410450" y="2647950"/>
          <a:ext cx="5248275" cy="3152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/>
        </a:p>
      </xdr:txBody>
    </xdr:sp>
    <xdr:clientData/>
  </xdr:twoCellAnchor>
  <xdr:twoCellAnchor>
    <xdr:from>
      <xdr:col>6</xdr:col>
      <xdr:colOff>95250</xdr:colOff>
      <xdr:row>19</xdr:row>
      <xdr:rowOff>171450</xdr:rowOff>
    </xdr:from>
    <xdr:to>
      <xdr:col>9</xdr:col>
      <xdr:colOff>866775</xdr:colOff>
      <xdr:row>31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0D42C7-AFF2-328F-F7C5-2862E53595EB}"/>
            </a:ext>
          </a:extLst>
        </xdr:cNvPr>
        <xdr:cNvSpPr txBox="1"/>
      </xdr:nvSpPr>
      <xdr:spPr>
        <a:xfrm>
          <a:off x="8734425" y="3867150"/>
          <a:ext cx="4200525" cy="219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/>
        </a:p>
      </xdr:txBody>
    </xdr:sp>
    <xdr:clientData/>
  </xdr:twoCellAnchor>
  <xdr:twoCellAnchor>
    <xdr:from>
      <xdr:col>6</xdr:col>
      <xdr:colOff>485775</xdr:colOff>
      <xdr:row>13</xdr:row>
      <xdr:rowOff>47625</xdr:rowOff>
    </xdr:from>
    <xdr:to>
      <xdr:col>9</xdr:col>
      <xdr:colOff>781050</xdr:colOff>
      <xdr:row>23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2981CB-15E9-8422-2DBA-D40DF215AC8E}"/>
            </a:ext>
          </a:extLst>
        </xdr:cNvPr>
        <xdr:cNvSpPr txBox="1"/>
      </xdr:nvSpPr>
      <xdr:spPr>
        <a:xfrm>
          <a:off x="9124950" y="2581275"/>
          <a:ext cx="3724275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/>
        </a:p>
      </xdr:txBody>
    </xdr:sp>
    <xdr:clientData/>
  </xdr:twoCellAnchor>
  <xdr:twoCellAnchor>
    <xdr:from>
      <xdr:col>3</xdr:col>
      <xdr:colOff>590550</xdr:colOff>
      <xdr:row>37</xdr:row>
      <xdr:rowOff>152400</xdr:rowOff>
    </xdr:from>
    <xdr:to>
      <xdr:col>8</xdr:col>
      <xdr:colOff>133350</xdr:colOff>
      <xdr:row>38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083971-0C9C-288D-A0A4-7E76C493CE71}"/>
            </a:ext>
          </a:extLst>
        </xdr:cNvPr>
        <xdr:cNvSpPr txBox="1"/>
      </xdr:nvSpPr>
      <xdr:spPr>
        <a:xfrm>
          <a:off x="5800725" y="7296150"/>
          <a:ext cx="5257800" cy="179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25C5BF-76C3-2FD4-0533-3480865CC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56CC18-0307-34E7-2EF9-CDB08C8DC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12</xdr:col>
      <xdr:colOff>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3BB162-0EB5-99E9-651B-79FAF3416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39A4D3-B7B1-4C4A-ABFF-B2F9589D96C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8beb5de-667c-4ffd-99e7-63bd8a6694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5"/>
  <sheetViews>
    <sheetView showGridLines="0" workbookViewId="0">
      <pane ySplit="11" topLeftCell="A12" activePane="bottomLeft" state="frozen"/>
      <selection pane="bottomLeft" activeCell="A7" sqref="A7"/>
    </sheetView>
  </sheetViews>
  <sheetFormatPr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10.42578125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2" spans="1:13" ht="12.75" x14ac:dyDescent="0.2">
      <c r="B2" s="12" t="s">
        <v>139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x14ac:dyDescent="0.25">
      <c r="B5" s="13" t="s">
        <v>140</v>
      </c>
    </row>
    <row r="6" spans="1:13" ht="31.5" customHeight="1" x14ac:dyDescent="0.2">
      <c r="B6" s="19" t="s">
        <v>141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5" x14ac:dyDescent="0.25">
      <c r="D8" s="15" t="s">
        <v>144</v>
      </c>
    </row>
    <row r="9" spans="1:13" s="16" customFormat="1" x14ac:dyDescent="0.2"/>
    <row r="10" spans="1:13" ht="22.5" customHeight="1" x14ac:dyDescent="0.2">
      <c r="A10" s="17" t="s">
        <v>145</v>
      </c>
      <c r="B10" s="17"/>
      <c r="C10" s="17"/>
      <c r="D10" s="17" t="s">
        <v>63</v>
      </c>
      <c r="E10" s="17" t="s">
        <v>70</v>
      </c>
      <c r="F10" s="17" t="s">
        <v>67</v>
      </c>
      <c r="G10" s="17" t="s">
        <v>68</v>
      </c>
      <c r="H10" s="17" t="s">
        <v>146</v>
      </c>
      <c r="I10" s="17" t="s">
        <v>62</v>
      </c>
      <c r="J10" s="17" t="s">
        <v>64</v>
      </c>
      <c r="K10" s="17" t="s">
        <v>147</v>
      </c>
      <c r="L10" s="17" t="s">
        <v>66</v>
      </c>
    </row>
    <row r="12" spans="1:13" x14ac:dyDescent="0.2">
      <c r="A12" s="10" t="s">
        <v>0</v>
      </c>
      <c r="D12" s="10" t="s">
        <v>72</v>
      </c>
      <c r="E12" s="18" t="s">
        <v>75</v>
      </c>
      <c r="F12" s="9">
        <v>25082</v>
      </c>
      <c r="G12" s="9">
        <v>46082</v>
      </c>
      <c r="H12" s="10">
        <v>231</v>
      </c>
      <c r="I12" s="10" t="s">
        <v>71</v>
      </c>
      <c r="J12" s="10" t="s">
        <v>73</v>
      </c>
      <c r="K12" s="10" t="s">
        <v>74</v>
      </c>
      <c r="L12" s="10">
        <v>3</v>
      </c>
    </row>
    <row r="13" spans="1:13" x14ac:dyDescent="0.2">
      <c r="A13" s="10" t="s">
        <v>1</v>
      </c>
      <c r="D13" s="10" t="s">
        <v>72</v>
      </c>
      <c r="E13" s="18" t="s">
        <v>76</v>
      </c>
      <c r="F13" s="9">
        <v>25082</v>
      </c>
      <c r="G13" s="9">
        <v>46082</v>
      </c>
      <c r="H13" s="10">
        <v>231</v>
      </c>
      <c r="I13" s="10" t="s">
        <v>71</v>
      </c>
      <c r="J13" s="10" t="s">
        <v>73</v>
      </c>
      <c r="K13" s="10" t="s">
        <v>74</v>
      </c>
      <c r="L13" s="10">
        <v>3</v>
      </c>
    </row>
    <row r="14" spans="1:13" x14ac:dyDescent="0.2">
      <c r="A14" s="10" t="s">
        <v>2</v>
      </c>
      <c r="D14" s="10" t="s">
        <v>72</v>
      </c>
      <c r="E14" s="18" t="s">
        <v>77</v>
      </c>
      <c r="F14" s="9">
        <v>25082</v>
      </c>
      <c r="G14" s="9">
        <v>46082</v>
      </c>
      <c r="H14" s="10">
        <v>231</v>
      </c>
      <c r="I14" s="10" t="s">
        <v>71</v>
      </c>
      <c r="J14" s="10" t="s">
        <v>73</v>
      </c>
      <c r="K14" s="10" t="s">
        <v>74</v>
      </c>
      <c r="L14" s="10">
        <v>3</v>
      </c>
    </row>
    <row r="15" spans="1:13" x14ac:dyDescent="0.2">
      <c r="A15" s="10" t="s">
        <v>3</v>
      </c>
      <c r="D15" s="10" t="s">
        <v>72</v>
      </c>
      <c r="E15" s="18" t="s">
        <v>78</v>
      </c>
      <c r="F15" s="9">
        <v>32021</v>
      </c>
      <c r="G15" s="9">
        <v>46082</v>
      </c>
      <c r="H15" s="10">
        <v>155</v>
      </c>
      <c r="I15" s="10" t="s">
        <v>71</v>
      </c>
      <c r="J15" s="10" t="s">
        <v>73</v>
      </c>
      <c r="K15" s="10" t="s">
        <v>74</v>
      </c>
      <c r="L15" s="10">
        <v>3</v>
      </c>
    </row>
    <row r="16" spans="1:13" x14ac:dyDescent="0.2">
      <c r="A16" s="10" t="s">
        <v>4</v>
      </c>
      <c r="D16" s="10" t="s">
        <v>72</v>
      </c>
      <c r="E16" s="18" t="s">
        <v>81</v>
      </c>
      <c r="F16" s="9">
        <v>25173</v>
      </c>
      <c r="G16" s="9">
        <v>46082</v>
      </c>
      <c r="H16" s="10">
        <v>230</v>
      </c>
      <c r="I16" s="10" t="s">
        <v>79</v>
      </c>
      <c r="J16" s="10" t="s">
        <v>80</v>
      </c>
      <c r="K16" s="10" t="s">
        <v>74</v>
      </c>
      <c r="L16" s="10">
        <v>3</v>
      </c>
    </row>
    <row r="17" spans="1:12" x14ac:dyDescent="0.2">
      <c r="A17" s="10" t="s">
        <v>5</v>
      </c>
      <c r="D17" s="10" t="s">
        <v>72</v>
      </c>
      <c r="E17" s="18" t="s">
        <v>82</v>
      </c>
      <c r="F17" s="9">
        <v>25173</v>
      </c>
      <c r="G17" s="9">
        <v>46082</v>
      </c>
      <c r="H17" s="10">
        <v>230</v>
      </c>
      <c r="I17" s="10" t="s">
        <v>79</v>
      </c>
      <c r="J17" s="10" t="s">
        <v>80</v>
      </c>
      <c r="K17" s="10" t="s">
        <v>74</v>
      </c>
      <c r="L17" s="10">
        <v>3</v>
      </c>
    </row>
    <row r="18" spans="1:12" x14ac:dyDescent="0.2">
      <c r="A18" s="10" t="s">
        <v>6</v>
      </c>
      <c r="D18" s="10" t="s">
        <v>72</v>
      </c>
      <c r="E18" s="18" t="s">
        <v>83</v>
      </c>
      <c r="F18" s="9">
        <v>25173</v>
      </c>
      <c r="G18" s="9">
        <v>46082</v>
      </c>
      <c r="H18" s="10">
        <v>230</v>
      </c>
      <c r="I18" s="10" t="s">
        <v>79</v>
      </c>
      <c r="J18" s="10" t="s">
        <v>80</v>
      </c>
      <c r="K18" s="10" t="s">
        <v>74</v>
      </c>
      <c r="L18" s="10">
        <v>3</v>
      </c>
    </row>
    <row r="19" spans="1:12" x14ac:dyDescent="0.2">
      <c r="A19" s="10" t="s">
        <v>7</v>
      </c>
      <c r="D19" s="10" t="s">
        <v>72</v>
      </c>
      <c r="E19" s="18" t="s">
        <v>84</v>
      </c>
      <c r="F19" s="9">
        <v>25447</v>
      </c>
      <c r="G19" s="9">
        <v>46082</v>
      </c>
      <c r="H19" s="10">
        <v>227</v>
      </c>
      <c r="I19" s="10" t="s">
        <v>79</v>
      </c>
      <c r="J19" s="10" t="s">
        <v>80</v>
      </c>
      <c r="K19" s="10" t="s">
        <v>74</v>
      </c>
      <c r="L19" s="10">
        <v>3</v>
      </c>
    </row>
    <row r="20" spans="1:12" x14ac:dyDescent="0.2">
      <c r="A20" s="10" t="s">
        <v>8</v>
      </c>
      <c r="D20" s="10" t="s">
        <v>72</v>
      </c>
      <c r="E20" s="18" t="s">
        <v>85</v>
      </c>
      <c r="F20" s="9">
        <v>25447</v>
      </c>
      <c r="G20" s="9">
        <v>46082</v>
      </c>
      <c r="H20" s="10">
        <v>227</v>
      </c>
      <c r="I20" s="10" t="s">
        <v>79</v>
      </c>
      <c r="J20" s="10" t="s">
        <v>80</v>
      </c>
      <c r="K20" s="10" t="s">
        <v>74</v>
      </c>
      <c r="L20" s="10">
        <v>3</v>
      </c>
    </row>
    <row r="21" spans="1:12" x14ac:dyDescent="0.2">
      <c r="A21" s="10" t="s">
        <v>9</v>
      </c>
      <c r="D21" s="10" t="s">
        <v>72</v>
      </c>
      <c r="E21" s="18" t="s">
        <v>86</v>
      </c>
      <c r="F21" s="9">
        <v>25447</v>
      </c>
      <c r="G21" s="9">
        <v>46082</v>
      </c>
      <c r="H21" s="10">
        <v>227</v>
      </c>
      <c r="I21" s="10" t="s">
        <v>79</v>
      </c>
      <c r="J21" s="10" t="s">
        <v>80</v>
      </c>
      <c r="K21" s="10" t="s">
        <v>74</v>
      </c>
      <c r="L21" s="10">
        <v>3</v>
      </c>
    </row>
    <row r="22" spans="1:12" x14ac:dyDescent="0.2">
      <c r="A22" s="10" t="s">
        <v>10</v>
      </c>
      <c r="D22" s="10" t="s">
        <v>72</v>
      </c>
      <c r="E22" s="18" t="s">
        <v>87</v>
      </c>
      <c r="F22" s="9">
        <v>35217</v>
      </c>
      <c r="G22" s="9">
        <v>46082</v>
      </c>
      <c r="H22" s="10">
        <v>120</v>
      </c>
      <c r="I22" s="10" t="s">
        <v>71</v>
      </c>
      <c r="J22" s="10" t="s">
        <v>73</v>
      </c>
      <c r="K22" s="10" t="s">
        <v>74</v>
      </c>
      <c r="L22" s="10">
        <v>3</v>
      </c>
    </row>
    <row r="23" spans="1:12" x14ac:dyDescent="0.2">
      <c r="A23" s="10" t="s">
        <v>11</v>
      </c>
      <c r="D23" s="10" t="s">
        <v>72</v>
      </c>
      <c r="E23" s="18" t="s">
        <v>88</v>
      </c>
      <c r="F23" s="9">
        <v>37135</v>
      </c>
      <c r="G23" s="9">
        <v>46082</v>
      </c>
      <c r="H23" s="10">
        <v>99</v>
      </c>
      <c r="I23" s="10" t="s">
        <v>71</v>
      </c>
      <c r="J23" s="10" t="s">
        <v>73</v>
      </c>
      <c r="K23" s="10" t="s">
        <v>74</v>
      </c>
      <c r="L23" s="10">
        <v>3</v>
      </c>
    </row>
    <row r="24" spans="1:12" x14ac:dyDescent="0.2">
      <c r="A24" s="10" t="s">
        <v>12</v>
      </c>
      <c r="D24" s="10" t="s">
        <v>72</v>
      </c>
      <c r="E24" s="18" t="s">
        <v>89</v>
      </c>
      <c r="F24" s="9">
        <v>37135</v>
      </c>
      <c r="G24" s="9">
        <v>46082</v>
      </c>
      <c r="H24" s="10">
        <v>99</v>
      </c>
      <c r="I24" s="10" t="s">
        <v>71</v>
      </c>
      <c r="J24" s="10" t="s">
        <v>73</v>
      </c>
      <c r="K24" s="10" t="s">
        <v>74</v>
      </c>
      <c r="L24" s="10">
        <v>3</v>
      </c>
    </row>
    <row r="25" spans="1:12" x14ac:dyDescent="0.2">
      <c r="A25" s="10" t="s">
        <v>13</v>
      </c>
      <c r="D25" s="10" t="s">
        <v>72</v>
      </c>
      <c r="E25" s="18" t="s">
        <v>90</v>
      </c>
      <c r="F25" s="9">
        <v>35217</v>
      </c>
      <c r="G25" s="9">
        <v>46082</v>
      </c>
      <c r="H25" s="10">
        <v>120</v>
      </c>
      <c r="I25" s="10" t="s">
        <v>71</v>
      </c>
      <c r="J25" s="10" t="s">
        <v>73</v>
      </c>
      <c r="K25" s="10" t="s">
        <v>74</v>
      </c>
      <c r="L25" s="10">
        <v>3</v>
      </c>
    </row>
    <row r="26" spans="1:12" x14ac:dyDescent="0.2">
      <c r="A26" s="10" t="s">
        <v>14</v>
      </c>
      <c r="D26" s="10" t="s">
        <v>72</v>
      </c>
      <c r="E26" s="18" t="s">
        <v>91</v>
      </c>
      <c r="F26" s="9">
        <v>37135</v>
      </c>
      <c r="G26" s="9">
        <v>46082</v>
      </c>
      <c r="H26" s="10">
        <v>99</v>
      </c>
      <c r="I26" s="10" t="s">
        <v>71</v>
      </c>
      <c r="J26" s="10" t="s">
        <v>73</v>
      </c>
      <c r="K26" s="10" t="s">
        <v>74</v>
      </c>
      <c r="L26" s="10">
        <v>3</v>
      </c>
    </row>
    <row r="27" spans="1:12" x14ac:dyDescent="0.2">
      <c r="A27" s="10" t="s">
        <v>15</v>
      </c>
      <c r="D27" s="10" t="s">
        <v>72</v>
      </c>
      <c r="E27" s="18" t="s">
        <v>92</v>
      </c>
      <c r="F27" s="9">
        <v>35217</v>
      </c>
      <c r="G27" s="9">
        <v>46082</v>
      </c>
      <c r="H27" s="10">
        <v>120</v>
      </c>
      <c r="I27" s="10" t="s">
        <v>71</v>
      </c>
      <c r="J27" s="10" t="s">
        <v>73</v>
      </c>
      <c r="K27" s="10" t="s">
        <v>74</v>
      </c>
      <c r="L27" s="10">
        <v>3</v>
      </c>
    </row>
    <row r="28" spans="1:12" x14ac:dyDescent="0.2">
      <c r="A28" s="10" t="s">
        <v>16</v>
      </c>
      <c r="D28" s="10" t="s">
        <v>72</v>
      </c>
      <c r="E28" s="18" t="s">
        <v>93</v>
      </c>
      <c r="F28" s="9">
        <v>35217</v>
      </c>
      <c r="G28" s="9">
        <v>46082</v>
      </c>
      <c r="H28" s="10">
        <v>120</v>
      </c>
      <c r="I28" s="10" t="s">
        <v>71</v>
      </c>
      <c r="J28" s="10" t="s">
        <v>73</v>
      </c>
      <c r="K28" s="10" t="s">
        <v>74</v>
      </c>
      <c r="L28" s="10">
        <v>3</v>
      </c>
    </row>
    <row r="29" spans="1:12" x14ac:dyDescent="0.2">
      <c r="A29" s="10" t="s">
        <v>17</v>
      </c>
      <c r="D29" s="10" t="s">
        <v>72</v>
      </c>
      <c r="E29" s="18" t="s">
        <v>94</v>
      </c>
      <c r="F29" s="9">
        <v>35217</v>
      </c>
      <c r="G29" s="9">
        <v>46082</v>
      </c>
      <c r="H29" s="10">
        <v>120</v>
      </c>
      <c r="I29" s="10" t="s">
        <v>71</v>
      </c>
      <c r="J29" s="10" t="s">
        <v>73</v>
      </c>
      <c r="K29" s="10" t="s">
        <v>74</v>
      </c>
      <c r="L29" s="10">
        <v>3</v>
      </c>
    </row>
    <row r="30" spans="1:12" x14ac:dyDescent="0.2">
      <c r="A30" s="10" t="s">
        <v>18</v>
      </c>
      <c r="D30" s="10" t="s">
        <v>72</v>
      </c>
      <c r="E30" s="18" t="s">
        <v>95</v>
      </c>
      <c r="F30" s="9">
        <v>35217</v>
      </c>
      <c r="G30" s="9">
        <v>46082</v>
      </c>
      <c r="H30" s="10">
        <v>120</v>
      </c>
      <c r="I30" s="10" t="s">
        <v>71</v>
      </c>
      <c r="J30" s="10" t="s">
        <v>73</v>
      </c>
      <c r="K30" s="10" t="s">
        <v>74</v>
      </c>
      <c r="L30" s="10">
        <v>3</v>
      </c>
    </row>
    <row r="31" spans="1:12" x14ac:dyDescent="0.2">
      <c r="A31" s="10" t="s">
        <v>19</v>
      </c>
      <c r="D31" s="10" t="s">
        <v>72</v>
      </c>
      <c r="E31" s="18" t="s">
        <v>96</v>
      </c>
      <c r="F31" s="9">
        <v>35217</v>
      </c>
      <c r="G31" s="9">
        <v>46082</v>
      </c>
      <c r="H31" s="10">
        <v>120</v>
      </c>
      <c r="I31" s="10" t="s">
        <v>71</v>
      </c>
      <c r="J31" s="10" t="s">
        <v>73</v>
      </c>
      <c r="K31" s="10" t="s">
        <v>74</v>
      </c>
      <c r="L31" s="10">
        <v>3</v>
      </c>
    </row>
    <row r="32" spans="1:12" x14ac:dyDescent="0.2">
      <c r="A32" s="10" t="s">
        <v>20</v>
      </c>
      <c r="D32" s="10" t="s">
        <v>72</v>
      </c>
      <c r="E32" s="18" t="s">
        <v>97</v>
      </c>
      <c r="F32" s="9">
        <v>35217</v>
      </c>
      <c r="G32" s="9">
        <v>46082</v>
      </c>
      <c r="H32" s="10">
        <v>120</v>
      </c>
      <c r="I32" s="10" t="s">
        <v>71</v>
      </c>
      <c r="J32" s="10" t="s">
        <v>73</v>
      </c>
      <c r="K32" s="10" t="s">
        <v>74</v>
      </c>
      <c r="L32" s="10">
        <v>3</v>
      </c>
    </row>
    <row r="33" spans="1:12" x14ac:dyDescent="0.2">
      <c r="A33" s="10" t="s">
        <v>21</v>
      </c>
      <c r="D33" s="10" t="s">
        <v>72</v>
      </c>
      <c r="E33" s="18" t="s">
        <v>98</v>
      </c>
      <c r="F33" s="9">
        <v>35217</v>
      </c>
      <c r="G33" s="9">
        <v>46082</v>
      </c>
      <c r="H33" s="10">
        <v>120</v>
      </c>
      <c r="I33" s="10" t="s">
        <v>71</v>
      </c>
      <c r="J33" s="10" t="s">
        <v>73</v>
      </c>
      <c r="K33" s="10" t="s">
        <v>74</v>
      </c>
      <c r="L33" s="10">
        <v>3</v>
      </c>
    </row>
    <row r="34" spans="1:12" x14ac:dyDescent="0.2">
      <c r="A34" s="10" t="s">
        <v>22</v>
      </c>
      <c r="D34" s="10" t="s">
        <v>72</v>
      </c>
      <c r="E34" s="18" t="s">
        <v>99</v>
      </c>
      <c r="F34" s="9">
        <v>35217</v>
      </c>
      <c r="G34" s="9">
        <v>46082</v>
      </c>
      <c r="H34" s="10">
        <v>120</v>
      </c>
      <c r="I34" s="10" t="s">
        <v>71</v>
      </c>
      <c r="J34" s="10" t="s">
        <v>73</v>
      </c>
      <c r="K34" s="10" t="s">
        <v>74</v>
      </c>
      <c r="L34" s="10">
        <v>3</v>
      </c>
    </row>
    <row r="35" spans="1:12" x14ac:dyDescent="0.2">
      <c r="A35" s="10" t="s">
        <v>23</v>
      </c>
      <c r="D35" s="10" t="s">
        <v>72</v>
      </c>
      <c r="E35" s="18" t="s">
        <v>100</v>
      </c>
      <c r="F35" s="9">
        <v>35217</v>
      </c>
      <c r="G35" s="9">
        <v>46082</v>
      </c>
      <c r="H35" s="10">
        <v>120</v>
      </c>
      <c r="I35" s="10" t="s">
        <v>71</v>
      </c>
      <c r="J35" s="10" t="s">
        <v>73</v>
      </c>
      <c r="K35" s="10" t="s">
        <v>74</v>
      </c>
      <c r="L35" s="10">
        <v>3</v>
      </c>
    </row>
    <row r="36" spans="1:12" x14ac:dyDescent="0.2">
      <c r="A36" s="10" t="s">
        <v>24</v>
      </c>
      <c r="D36" s="10" t="s">
        <v>72</v>
      </c>
      <c r="E36" s="18" t="s">
        <v>101</v>
      </c>
      <c r="F36" s="9">
        <v>35217</v>
      </c>
      <c r="G36" s="9">
        <v>46082</v>
      </c>
      <c r="H36" s="10">
        <v>120</v>
      </c>
      <c r="I36" s="10" t="s">
        <v>71</v>
      </c>
      <c r="J36" s="10" t="s">
        <v>73</v>
      </c>
      <c r="K36" s="10" t="s">
        <v>74</v>
      </c>
      <c r="L36" s="10">
        <v>3</v>
      </c>
    </row>
    <row r="37" spans="1:12" x14ac:dyDescent="0.2">
      <c r="A37" s="10" t="s">
        <v>25</v>
      </c>
      <c r="D37" s="10" t="s">
        <v>72</v>
      </c>
      <c r="E37" s="18" t="s">
        <v>102</v>
      </c>
      <c r="F37" s="9">
        <v>35217</v>
      </c>
      <c r="G37" s="9">
        <v>46082</v>
      </c>
      <c r="H37" s="10">
        <v>120</v>
      </c>
      <c r="I37" s="10" t="s">
        <v>71</v>
      </c>
      <c r="J37" s="10" t="s">
        <v>73</v>
      </c>
      <c r="K37" s="10" t="s">
        <v>74</v>
      </c>
      <c r="L37" s="10">
        <v>3</v>
      </c>
    </row>
    <row r="38" spans="1:12" x14ac:dyDescent="0.2">
      <c r="A38" s="10" t="s">
        <v>26</v>
      </c>
      <c r="D38" s="10" t="s">
        <v>72</v>
      </c>
      <c r="E38" s="18" t="s">
        <v>103</v>
      </c>
      <c r="F38" s="9">
        <v>37135</v>
      </c>
      <c r="G38" s="9">
        <v>46082</v>
      </c>
      <c r="H38" s="10">
        <v>99</v>
      </c>
      <c r="I38" s="10" t="s">
        <v>71</v>
      </c>
      <c r="J38" s="10" t="s">
        <v>73</v>
      </c>
      <c r="K38" s="10" t="s">
        <v>74</v>
      </c>
      <c r="L38" s="10">
        <v>3</v>
      </c>
    </row>
    <row r="39" spans="1:12" x14ac:dyDescent="0.2">
      <c r="A39" s="10" t="s">
        <v>27</v>
      </c>
      <c r="D39" s="10" t="s">
        <v>72</v>
      </c>
      <c r="E39" s="18" t="s">
        <v>104</v>
      </c>
      <c r="F39" s="9">
        <v>35217</v>
      </c>
      <c r="G39" s="9">
        <v>46082</v>
      </c>
      <c r="H39" s="10">
        <v>120</v>
      </c>
      <c r="I39" s="10" t="s">
        <v>71</v>
      </c>
      <c r="J39" s="10" t="s">
        <v>73</v>
      </c>
      <c r="K39" s="10" t="s">
        <v>74</v>
      </c>
      <c r="L39" s="10">
        <v>3</v>
      </c>
    </row>
    <row r="40" spans="1:12" x14ac:dyDescent="0.2">
      <c r="A40" s="10" t="s">
        <v>28</v>
      </c>
      <c r="D40" s="10" t="s">
        <v>72</v>
      </c>
      <c r="E40" s="18" t="s">
        <v>105</v>
      </c>
      <c r="F40" s="9">
        <v>37135</v>
      </c>
      <c r="G40" s="9">
        <v>46082</v>
      </c>
      <c r="H40" s="10">
        <v>99</v>
      </c>
      <c r="I40" s="10" t="s">
        <v>71</v>
      </c>
      <c r="J40" s="10" t="s">
        <v>73</v>
      </c>
      <c r="K40" s="10" t="s">
        <v>74</v>
      </c>
      <c r="L40" s="10">
        <v>3</v>
      </c>
    </row>
    <row r="41" spans="1:12" x14ac:dyDescent="0.2">
      <c r="A41" s="10" t="s">
        <v>29</v>
      </c>
      <c r="D41" s="10" t="s">
        <v>72</v>
      </c>
      <c r="E41" s="18" t="s">
        <v>106</v>
      </c>
      <c r="F41" s="9">
        <v>35217</v>
      </c>
      <c r="G41" s="9">
        <v>46082</v>
      </c>
      <c r="H41" s="10">
        <v>120</v>
      </c>
      <c r="I41" s="10" t="s">
        <v>71</v>
      </c>
      <c r="J41" s="10" t="s">
        <v>73</v>
      </c>
      <c r="K41" s="10" t="s">
        <v>74</v>
      </c>
      <c r="L41" s="10">
        <v>3</v>
      </c>
    </row>
    <row r="42" spans="1:12" x14ac:dyDescent="0.2">
      <c r="A42" s="10" t="s">
        <v>30</v>
      </c>
      <c r="D42" s="10" t="s">
        <v>72</v>
      </c>
      <c r="E42" s="18" t="s">
        <v>107</v>
      </c>
      <c r="F42" s="9">
        <v>37135</v>
      </c>
      <c r="G42" s="9">
        <v>46082</v>
      </c>
      <c r="H42" s="10">
        <v>99</v>
      </c>
      <c r="I42" s="10" t="s">
        <v>71</v>
      </c>
      <c r="J42" s="10" t="s">
        <v>73</v>
      </c>
      <c r="K42" s="10" t="s">
        <v>74</v>
      </c>
      <c r="L42" s="10">
        <v>3</v>
      </c>
    </row>
    <row r="43" spans="1:12" x14ac:dyDescent="0.2">
      <c r="A43" s="10" t="s">
        <v>31</v>
      </c>
      <c r="D43" s="10" t="s">
        <v>72</v>
      </c>
      <c r="E43" s="18" t="s">
        <v>108</v>
      </c>
      <c r="F43" s="9">
        <v>35217</v>
      </c>
      <c r="G43" s="9">
        <v>46082</v>
      </c>
      <c r="H43" s="10">
        <v>120</v>
      </c>
      <c r="I43" s="10" t="s">
        <v>71</v>
      </c>
      <c r="J43" s="10" t="s">
        <v>73</v>
      </c>
      <c r="K43" s="10" t="s">
        <v>74</v>
      </c>
      <c r="L43" s="10">
        <v>3</v>
      </c>
    </row>
    <row r="44" spans="1:12" x14ac:dyDescent="0.2">
      <c r="A44" s="10" t="s">
        <v>32</v>
      </c>
      <c r="D44" s="10" t="s">
        <v>72</v>
      </c>
      <c r="E44" s="18" t="s">
        <v>109</v>
      </c>
      <c r="F44" s="9">
        <v>35217</v>
      </c>
      <c r="G44" s="9">
        <v>46082</v>
      </c>
      <c r="H44" s="10">
        <v>120</v>
      </c>
      <c r="I44" s="10" t="s">
        <v>71</v>
      </c>
      <c r="J44" s="10" t="s">
        <v>73</v>
      </c>
      <c r="K44" s="10" t="s">
        <v>74</v>
      </c>
      <c r="L44" s="10">
        <v>3</v>
      </c>
    </row>
    <row r="45" spans="1:12" x14ac:dyDescent="0.2">
      <c r="A45" s="10" t="s">
        <v>33</v>
      </c>
      <c r="D45" s="10" t="s">
        <v>72</v>
      </c>
      <c r="E45" s="18" t="s">
        <v>110</v>
      </c>
      <c r="F45" s="9">
        <v>35217</v>
      </c>
      <c r="G45" s="9">
        <v>46082</v>
      </c>
      <c r="H45" s="10">
        <v>120</v>
      </c>
      <c r="I45" s="10" t="s">
        <v>71</v>
      </c>
      <c r="J45" s="10" t="s">
        <v>73</v>
      </c>
      <c r="K45" s="10" t="s">
        <v>74</v>
      </c>
      <c r="L45" s="10">
        <v>3</v>
      </c>
    </row>
    <row r="46" spans="1:12" x14ac:dyDescent="0.2">
      <c r="A46" s="10" t="s">
        <v>34</v>
      </c>
      <c r="D46" s="10" t="s">
        <v>72</v>
      </c>
      <c r="E46" s="18" t="s">
        <v>111</v>
      </c>
      <c r="F46" s="9">
        <v>37135</v>
      </c>
      <c r="G46" s="9">
        <v>46082</v>
      </c>
      <c r="H46" s="10">
        <v>99</v>
      </c>
      <c r="I46" s="10" t="s">
        <v>71</v>
      </c>
      <c r="J46" s="10" t="s">
        <v>73</v>
      </c>
      <c r="K46" s="10" t="s">
        <v>74</v>
      </c>
      <c r="L46" s="10">
        <v>3</v>
      </c>
    </row>
    <row r="47" spans="1:12" x14ac:dyDescent="0.2">
      <c r="A47" s="10" t="s">
        <v>35</v>
      </c>
      <c r="D47" s="10" t="s">
        <v>72</v>
      </c>
      <c r="E47" s="18" t="s">
        <v>112</v>
      </c>
      <c r="F47" s="9">
        <v>37135</v>
      </c>
      <c r="G47" s="9">
        <v>46082</v>
      </c>
      <c r="H47" s="10">
        <v>99</v>
      </c>
      <c r="I47" s="10" t="s">
        <v>71</v>
      </c>
      <c r="J47" s="10" t="s">
        <v>73</v>
      </c>
      <c r="K47" s="10" t="s">
        <v>74</v>
      </c>
      <c r="L47" s="10">
        <v>3</v>
      </c>
    </row>
    <row r="48" spans="1:12" x14ac:dyDescent="0.2">
      <c r="A48" s="10" t="s">
        <v>36</v>
      </c>
      <c r="D48" s="10" t="s">
        <v>72</v>
      </c>
      <c r="E48" s="18" t="s">
        <v>113</v>
      </c>
      <c r="F48" s="9">
        <v>35217</v>
      </c>
      <c r="G48" s="9">
        <v>46082</v>
      </c>
      <c r="H48" s="10">
        <v>120</v>
      </c>
      <c r="I48" s="10" t="s">
        <v>71</v>
      </c>
      <c r="J48" s="10" t="s">
        <v>73</v>
      </c>
      <c r="K48" s="10" t="s">
        <v>74</v>
      </c>
      <c r="L48" s="10">
        <v>3</v>
      </c>
    </row>
    <row r="49" spans="1:12" x14ac:dyDescent="0.2">
      <c r="A49" s="10" t="s">
        <v>37</v>
      </c>
      <c r="D49" s="10" t="s">
        <v>72</v>
      </c>
      <c r="E49" s="18" t="s">
        <v>114</v>
      </c>
      <c r="F49" s="9">
        <v>37135</v>
      </c>
      <c r="G49" s="9">
        <v>46082</v>
      </c>
      <c r="H49" s="10">
        <v>99</v>
      </c>
      <c r="I49" s="10" t="s">
        <v>71</v>
      </c>
      <c r="J49" s="10" t="s">
        <v>73</v>
      </c>
      <c r="K49" s="10" t="s">
        <v>74</v>
      </c>
      <c r="L49" s="10">
        <v>3</v>
      </c>
    </row>
    <row r="50" spans="1:12" x14ac:dyDescent="0.2">
      <c r="A50" s="10" t="s">
        <v>38</v>
      </c>
      <c r="D50" s="10" t="s">
        <v>72</v>
      </c>
      <c r="E50" s="18" t="s">
        <v>115</v>
      </c>
      <c r="F50" s="9">
        <v>37135</v>
      </c>
      <c r="G50" s="9">
        <v>46082</v>
      </c>
      <c r="H50" s="10">
        <v>99</v>
      </c>
      <c r="I50" s="10" t="s">
        <v>71</v>
      </c>
      <c r="J50" s="10" t="s">
        <v>73</v>
      </c>
      <c r="K50" s="10" t="s">
        <v>74</v>
      </c>
      <c r="L50" s="10">
        <v>3</v>
      </c>
    </row>
    <row r="51" spans="1:12" x14ac:dyDescent="0.2">
      <c r="A51" s="10" t="s">
        <v>39</v>
      </c>
      <c r="D51" s="10" t="s">
        <v>72</v>
      </c>
      <c r="E51" s="18" t="s">
        <v>116</v>
      </c>
      <c r="F51" s="9">
        <v>37135</v>
      </c>
      <c r="G51" s="9">
        <v>46082</v>
      </c>
      <c r="H51" s="10">
        <v>99</v>
      </c>
      <c r="I51" s="10" t="s">
        <v>71</v>
      </c>
      <c r="J51" s="10" t="s">
        <v>73</v>
      </c>
      <c r="K51" s="10" t="s">
        <v>74</v>
      </c>
      <c r="L51" s="10">
        <v>3</v>
      </c>
    </row>
    <row r="52" spans="1:12" x14ac:dyDescent="0.2">
      <c r="A52" s="10" t="s">
        <v>40</v>
      </c>
      <c r="D52" s="10" t="s">
        <v>72</v>
      </c>
      <c r="E52" s="18" t="s">
        <v>117</v>
      </c>
      <c r="F52" s="9">
        <v>35217</v>
      </c>
      <c r="G52" s="9">
        <v>46082</v>
      </c>
      <c r="H52" s="10">
        <v>120</v>
      </c>
      <c r="I52" s="10" t="s">
        <v>71</v>
      </c>
      <c r="J52" s="10" t="s">
        <v>73</v>
      </c>
      <c r="K52" s="10" t="s">
        <v>74</v>
      </c>
      <c r="L52" s="10">
        <v>3</v>
      </c>
    </row>
    <row r="53" spans="1:12" x14ac:dyDescent="0.2">
      <c r="A53" s="10" t="s">
        <v>41</v>
      </c>
      <c r="D53" s="10" t="s">
        <v>72</v>
      </c>
      <c r="E53" s="18" t="s">
        <v>118</v>
      </c>
      <c r="F53" s="9">
        <v>35217</v>
      </c>
      <c r="G53" s="9">
        <v>46082</v>
      </c>
      <c r="H53" s="10">
        <v>120</v>
      </c>
      <c r="I53" s="10" t="s">
        <v>71</v>
      </c>
      <c r="J53" s="10" t="s">
        <v>73</v>
      </c>
      <c r="K53" s="10" t="s">
        <v>74</v>
      </c>
      <c r="L53" s="10">
        <v>3</v>
      </c>
    </row>
    <row r="54" spans="1:12" x14ac:dyDescent="0.2">
      <c r="A54" s="10" t="s">
        <v>42</v>
      </c>
      <c r="D54" s="10" t="s">
        <v>72</v>
      </c>
      <c r="E54" s="18" t="s">
        <v>119</v>
      </c>
      <c r="F54" s="9">
        <v>35217</v>
      </c>
      <c r="G54" s="9">
        <v>46082</v>
      </c>
      <c r="H54" s="10">
        <v>120</v>
      </c>
      <c r="I54" s="10" t="s">
        <v>71</v>
      </c>
      <c r="J54" s="10" t="s">
        <v>73</v>
      </c>
      <c r="K54" s="10" t="s">
        <v>74</v>
      </c>
      <c r="L54" s="10">
        <v>3</v>
      </c>
    </row>
    <row r="55" spans="1:12" x14ac:dyDescent="0.2">
      <c r="A55" s="10" t="s">
        <v>43</v>
      </c>
      <c r="D55" s="10" t="s">
        <v>72</v>
      </c>
      <c r="E55" s="18" t="s">
        <v>120</v>
      </c>
      <c r="F55" s="9">
        <v>37135</v>
      </c>
      <c r="G55" s="9">
        <v>46082</v>
      </c>
      <c r="H55" s="10">
        <v>99</v>
      </c>
      <c r="I55" s="10" t="s">
        <v>71</v>
      </c>
      <c r="J55" s="10" t="s">
        <v>73</v>
      </c>
      <c r="K55" s="10" t="s">
        <v>74</v>
      </c>
      <c r="L55" s="10">
        <v>3</v>
      </c>
    </row>
    <row r="56" spans="1:12" x14ac:dyDescent="0.2">
      <c r="A56" s="10" t="s">
        <v>44</v>
      </c>
      <c r="D56" s="10" t="s">
        <v>72</v>
      </c>
      <c r="E56" s="18" t="s">
        <v>121</v>
      </c>
      <c r="F56" s="9">
        <v>37135</v>
      </c>
      <c r="G56" s="9">
        <v>46082</v>
      </c>
      <c r="H56" s="10">
        <v>99</v>
      </c>
      <c r="I56" s="10" t="s">
        <v>71</v>
      </c>
      <c r="J56" s="10" t="s">
        <v>73</v>
      </c>
      <c r="K56" s="10" t="s">
        <v>74</v>
      </c>
      <c r="L56" s="10">
        <v>3</v>
      </c>
    </row>
    <row r="57" spans="1:12" x14ac:dyDescent="0.2">
      <c r="A57" s="10" t="s">
        <v>45</v>
      </c>
      <c r="D57" s="10" t="s">
        <v>72</v>
      </c>
      <c r="E57" s="18" t="s">
        <v>122</v>
      </c>
      <c r="F57" s="9">
        <v>37135</v>
      </c>
      <c r="G57" s="9">
        <v>46082</v>
      </c>
      <c r="H57" s="10">
        <v>99</v>
      </c>
      <c r="I57" s="10" t="s">
        <v>71</v>
      </c>
      <c r="J57" s="10" t="s">
        <v>73</v>
      </c>
      <c r="K57" s="10" t="s">
        <v>74</v>
      </c>
      <c r="L57" s="10">
        <v>3</v>
      </c>
    </row>
    <row r="58" spans="1:12" x14ac:dyDescent="0.2">
      <c r="A58" s="10" t="s">
        <v>46</v>
      </c>
      <c r="D58" s="10" t="s">
        <v>72</v>
      </c>
      <c r="E58" s="18" t="s">
        <v>123</v>
      </c>
      <c r="F58" s="9">
        <v>37135</v>
      </c>
      <c r="G58" s="9">
        <v>46082</v>
      </c>
      <c r="H58" s="10">
        <v>99</v>
      </c>
      <c r="I58" s="10" t="s">
        <v>71</v>
      </c>
      <c r="J58" s="10" t="s">
        <v>73</v>
      </c>
      <c r="K58" s="10" t="s">
        <v>74</v>
      </c>
      <c r="L58" s="10">
        <v>3</v>
      </c>
    </row>
    <row r="59" spans="1:12" x14ac:dyDescent="0.2">
      <c r="A59" s="10" t="s">
        <v>47</v>
      </c>
      <c r="D59" s="10" t="s">
        <v>72</v>
      </c>
      <c r="E59" s="18" t="s">
        <v>124</v>
      </c>
      <c r="F59" s="9">
        <v>37135</v>
      </c>
      <c r="G59" s="9">
        <v>46082</v>
      </c>
      <c r="H59" s="10">
        <v>99</v>
      </c>
      <c r="I59" s="10" t="s">
        <v>71</v>
      </c>
      <c r="J59" s="10" t="s">
        <v>73</v>
      </c>
      <c r="K59" s="10" t="s">
        <v>74</v>
      </c>
      <c r="L59" s="10">
        <v>3</v>
      </c>
    </row>
    <row r="60" spans="1:12" x14ac:dyDescent="0.2">
      <c r="A60" s="10" t="s">
        <v>48</v>
      </c>
      <c r="D60" s="10" t="s">
        <v>72</v>
      </c>
      <c r="E60" s="18" t="s">
        <v>125</v>
      </c>
      <c r="F60" s="9">
        <v>35217</v>
      </c>
      <c r="G60" s="9">
        <v>46082</v>
      </c>
      <c r="H60" s="10">
        <v>120</v>
      </c>
      <c r="I60" s="10" t="s">
        <v>71</v>
      </c>
      <c r="J60" s="10" t="s">
        <v>73</v>
      </c>
      <c r="K60" s="10" t="s">
        <v>74</v>
      </c>
      <c r="L60" s="10">
        <v>3</v>
      </c>
    </row>
    <row r="61" spans="1:12" x14ac:dyDescent="0.2">
      <c r="A61" s="10" t="s">
        <v>49</v>
      </c>
      <c r="D61" s="10" t="s">
        <v>72</v>
      </c>
      <c r="E61" s="18" t="s">
        <v>126</v>
      </c>
      <c r="F61" s="9">
        <v>37135</v>
      </c>
      <c r="G61" s="9">
        <v>46082</v>
      </c>
      <c r="H61" s="10">
        <v>99</v>
      </c>
      <c r="I61" s="10" t="s">
        <v>71</v>
      </c>
      <c r="J61" s="10" t="s">
        <v>73</v>
      </c>
      <c r="K61" s="10" t="s">
        <v>74</v>
      </c>
      <c r="L61" s="10">
        <v>3</v>
      </c>
    </row>
    <row r="62" spans="1:12" x14ac:dyDescent="0.2">
      <c r="A62" s="10" t="s">
        <v>50</v>
      </c>
      <c r="D62" s="10" t="s">
        <v>72</v>
      </c>
      <c r="E62" s="18" t="s">
        <v>127</v>
      </c>
      <c r="F62" s="9">
        <v>35217</v>
      </c>
      <c r="G62" s="9">
        <v>46082</v>
      </c>
      <c r="H62" s="10">
        <v>120</v>
      </c>
      <c r="I62" s="10" t="s">
        <v>71</v>
      </c>
      <c r="J62" s="10" t="s">
        <v>73</v>
      </c>
      <c r="K62" s="10" t="s">
        <v>74</v>
      </c>
      <c r="L62" s="10">
        <v>3</v>
      </c>
    </row>
    <row r="63" spans="1:12" x14ac:dyDescent="0.2">
      <c r="A63" s="10" t="s">
        <v>51</v>
      </c>
      <c r="D63" s="10" t="s">
        <v>72</v>
      </c>
      <c r="E63" s="18" t="s">
        <v>128</v>
      </c>
      <c r="F63" s="9">
        <v>35217</v>
      </c>
      <c r="G63" s="9">
        <v>46082</v>
      </c>
      <c r="H63" s="10">
        <v>120</v>
      </c>
      <c r="I63" s="10" t="s">
        <v>71</v>
      </c>
      <c r="J63" s="10" t="s">
        <v>73</v>
      </c>
      <c r="K63" s="10" t="s">
        <v>74</v>
      </c>
      <c r="L63" s="10">
        <v>3</v>
      </c>
    </row>
    <row r="64" spans="1:12" x14ac:dyDescent="0.2">
      <c r="A64" s="10" t="s">
        <v>52</v>
      </c>
      <c r="D64" s="10" t="s">
        <v>72</v>
      </c>
      <c r="E64" s="18" t="s">
        <v>129</v>
      </c>
      <c r="F64" s="9">
        <v>37135</v>
      </c>
      <c r="G64" s="9">
        <v>46082</v>
      </c>
      <c r="H64" s="10">
        <v>99</v>
      </c>
      <c r="I64" s="10" t="s">
        <v>71</v>
      </c>
      <c r="J64" s="10" t="s">
        <v>73</v>
      </c>
      <c r="K64" s="10" t="s">
        <v>74</v>
      </c>
      <c r="L64" s="10">
        <v>3</v>
      </c>
    </row>
    <row r="65" spans="1:12" x14ac:dyDescent="0.2">
      <c r="A65" s="10" t="s">
        <v>53</v>
      </c>
      <c r="D65" s="10" t="s">
        <v>72</v>
      </c>
      <c r="E65" s="18" t="s">
        <v>130</v>
      </c>
      <c r="F65" s="9">
        <v>35217</v>
      </c>
      <c r="G65" s="9">
        <v>46082</v>
      </c>
      <c r="H65" s="10">
        <v>120</v>
      </c>
      <c r="I65" s="10" t="s">
        <v>71</v>
      </c>
      <c r="J65" s="10" t="s">
        <v>73</v>
      </c>
      <c r="K65" s="10" t="s">
        <v>74</v>
      </c>
      <c r="L65" s="10">
        <v>3</v>
      </c>
    </row>
    <row r="66" spans="1:12" x14ac:dyDescent="0.2">
      <c r="A66" s="10" t="s">
        <v>54</v>
      </c>
      <c r="D66" s="10" t="s">
        <v>72</v>
      </c>
      <c r="E66" s="18" t="s">
        <v>131</v>
      </c>
      <c r="F66" s="9">
        <v>35217</v>
      </c>
      <c r="G66" s="9">
        <v>46082</v>
      </c>
      <c r="H66" s="10">
        <v>120</v>
      </c>
      <c r="I66" s="10" t="s">
        <v>71</v>
      </c>
      <c r="J66" s="10" t="s">
        <v>73</v>
      </c>
      <c r="K66" s="10" t="s">
        <v>74</v>
      </c>
      <c r="L66" s="10">
        <v>3</v>
      </c>
    </row>
    <row r="67" spans="1:12" x14ac:dyDescent="0.2">
      <c r="A67" s="10" t="s">
        <v>55</v>
      </c>
      <c r="D67" s="10" t="s">
        <v>72</v>
      </c>
      <c r="E67" s="18" t="s">
        <v>132</v>
      </c>
      <c r="F67" s="9">
        <v>37135</v>
      </c>
      <c r="G67" s="9">
        <v>46082</v>
      </c>
      <c r="H67" s="10">
        <v>99</v>
      </c>
      <c r="I67" s="10" t="s">
        <v>71</v>
      </c>
      <c r="J67" s="10" t="s">
        <v>73</v>
      </c>
      <c r="K67" s="10" t="s">
        <v>74</v>
      </c>
      <c r="L67" s="10">
        <v>3</v>
      </c>
    </row>
    <row r="68" spans="1:12" x14ac:dyDescent="0.2">
      <c r="A68" s="10" t="s">
        <v>56</v>
      </c>
      <c r="D68" s="10" t="s">
        <v>72</v>
      </c>
      <c r="E68" s="18" t="s">
        <v>133</v>
      </c>
      <c r="F68" s="9">
        <v>37135</v>
      </c>
      <c r="G68" s="9">
        <v>46082</v>
      </c>
      <c r="H68" s="10">
        <v>99</v>
      </c>
      <c r="I68" s="10" t="s">
        <v>71</v>
      </c>
      <c r="J68" s="10" t="s">
        <v>73</v>
      </c>
      <c r="K68" s="10" t="s">
        <v>74</v>
      </c>
      <c r="L68" s="10">
        <v>3</v>
      </c>
    </row>
    <row r="69" spans="1:12" x14ac:dyDescent="0.2">
      <c r="A69" s="10" t="s">
        <v>57</v>
      </c>
      <c r="D69" s="10" t="s">
        <v>72</v>
      </c>
      <c r="E69" s="18" t="s">
        <v>134</v>
      </c>
      <c r="F69" s="9">
        <v>37135</v>
      </c>
      <c r="G69" s="9">
        <v>46082</v>
      </c>
      <c r="H69" s="10">
        <v>99</v>
      </c>
      <c r="I69" s="10" t="s">
        <v>71</v>
      </c>
      <c r="J69" s="10" t="s">
        <v>73</v>
      </c>
      <c r="K69" s="10" t="s">
        <v>74</v>
      </c>
      <c r="L69" s="10">
        <v>3</v>
      </c>
    </row>
    <row r="70" spans="1:12" x14ac:dyDescent="0.2">
      <c r="A70" s="10" t="s">
        <v>58</v>
      </c>
      <c r="D70" s="10" t="s">
        <v>72</v>
      </c>
      <c r="E70" s="18" t="s">
        <v>135</v>
      </c>
      <c r="F70" s="9">
        <v>37135</v>
      </c>
      <c r="G70" s="9">
        <v>46082</v>
      </c>
      <c r="H70" s="10">
        <v>99</v>
      </c>
      <c r="I70" s="10" t="s">
        <v>71</v>
      </c>
      <c r="J70" s="10" t="s">
        <v>73</v>
      </c>
      <c r="K70" s="10" t="s">
        <v>74</v>
      </c>
      <c r="L70" s="10">
        <v>3</v>
      </c>
    </row>
    <row r="71" spans="1:12" x14ac:dyDescent="0.2">
      <c r="A71" s="10" t="s">
        <v>59</v>
      </c>
      <c r="D71" s="10" t="s">
        <v>72</v>
      </c>
      <c r="E71" s="18" t="s">
        <v>136</v>
      </c>
      <c r="F71" s="9">
        <v>37135</v>
      </c>
      <c r="G71" s="9">
        <v>46082</v>
      </c>
      <c r="H71" s="10">
        <v>99</v>
      </c>
      <c r="I71" s="10" t="s">
        <v>71</v>
      </c>
      <c r="J71" s="10" t="s">
        <v>73</v>
      </c>
      <c r="K71" s="10" t="s">
        <v>74</v>
      </c>
      <c r="L71" s="10">
        <v>3</v>
      </c>
    </row>
    <row r="72" spans="1:12" x14ac:dyDescent="0.2">
      <c r="A72" s="10" t="s">
        <v>60</v>
      </c>
      <c r="D72" s="10" t="s">
        <v>72</v>
      </c>
      <c r="E72" s="18" t="s">
        <v>137</v>
      </c>
      <c r="F72" s="9">
        <v>25628</v>
      </c>
      <c r="G72" s="9">
        <v>46082</v>
      </c>
      <c r="H72" s="10">
        <v>225</v>
      </c>
      <c r="I72" s="10" t="s">
        <v>71</v>
      </c>
      <c r="J72" s="10" t="s">
        <v>73</v>
      </c>
      <c r="K72" s="10" t="s">
        <v>74</v>
      </c>
      <c r="L72" s="10">
        <v>3</v>
      </c>
    </row>
    <row r="73" spans="1:12" x14ac:dyDescent="0.2">
      <c r="A73" s="10" t="s">
        <v>61</v>
      </c>
      <c r="D73" s="10" t="s">
        <v>72</v>
      </c>
      <c r="E73" s="18" t="s">
        <v>138</v>
      </c>
      <c r="F73" s="9">
        <v>25628</v>
      </c>
      <c r="G73" s="9">
        <v>46082</v>
      </c>
      <c r="H73" s="10">
        <v>225</v>
      </c>
      <c r="I73" s="10" t="s">
        <v>71</v>
      </c>
      <c r="J73" s="10" t="s">
        <v>73</v>
      </c>
      <c r="K73" s="10" t="s">
        <v>74</v>
      </c>
      <c r="L73" s="10">
        <v>3</v>
      </c>
    </row>
    <row r="75" spans="1:12" x14ac:dyDescent="0.2">
      <c r="A75" s="10" t="s">
        <v>148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309054F" display="A2309054F" xr:uid="{00000000-0004-0000-0000-000001000000}"/>
    <hyperlink ref="E13" location="A2313785L" display="A2313785L" xr:uid="{00000000-0004-0000-0000-000002000000}"/>
    <hyperlink ref="E14" location="A2313788V" display="A2313788V" xr:uid="{00000000-0004-0000-0000-000003000000}"/>
    <hyperlink ref="E15" location="A2313704X" display="A2313704X" xr:uid="{00000000-0004-0000-0000-000004000000}"/>
    <hyperlink ref="E16" location="A2309055J" display="A2309055J" xr:uid="{00000000-0004-0000-0000-000005000000}"/>
    <hyperlink ref="E17" location="A2313786R" display="A2313786R" xr:uid="{00000000-0004-0000-0000-000006000000}"/>
    <hyperlink ref="E18" location="A2313789W" display="A2313789W" xr:uid="{00000000-0004-0000-0000-000007000000}"/>
    <hyperlink ref="E19" location="A2309056K" display="A2309056K" xr:uid="{00000000-0004-0000-0000-000008000000}"/>
    <hyperlink ref="E20" location="A2313787T" display="A2313787T" xr:uid="{00000000-0004-0000-0000-000009000000}"/>
    <hyperlink ref="E21" location="A2313790F" display="A2313790F" xr:uid="{00000000-0004-0000-0000-00000A000000}"/>
    <hyperlink ref="E22" location="A2309057L" display="A2309057L" xr:uid="{00000000-0004-0000-0000-00000B000000}"/>
    <hyperlink ref="E23" location="A3343966C" display="A3343966C" xr:uid="{00000000-0004-0000-0000-00000C000000}"/>
    <hyperlink ref="E24" location="A3343968J" display="A3343968J" xr:uid="{00000000-0004-0000-0000-00000D000000}"/>
    <hyperlink ref="E25" location="A2309099K" display="A2309099K" xr:uid="{00000000-0004-0000-0000-00000E000000}"/>
    <hyperlink ref="E26" location="A3343970V" display="A3343970V" xr:uid="{00000000-0004-0000-0000-00000F000000}"/>
    <hyperlink ref="E27" location="A2309102L" display="A2309102L" xr:uid="{00000000-0004-0000-0000-000010000000}"/>
    <hyperlink ref="E28" location="A2309105V" display="A2309105V" xr:uid="{00000000-0004-0000-0000-000011000000}"/>
    <hyperlink ref="E29" location="A2309108A" display="A2309108A" xr:uid="{00000000-0004-0000-0000-000012000000}"/>
    <hyperlink ref="E30" location="A2309060A" display="A2309060A" xr:uid="{00000000-0004-0000-0000-000013000000}"/>
    <hyperlink ref="E31" location="A2309063J" display="A2309063J" xr:uid="{00000000-0004-0000-0000-000014000000}"/>
    <hyperlink ref="E32" location="A2309066R" display="A2309066R" xr:uid="{00000000-0004-0000-0000-000015000000}"/>
    <hyperlink ref="E33" location="A2309069W" display="A2309069W" xr:uid="{00000000-0004-0000-0000-000016000000}"/>
    <hyperlink ref="E34" location="A2309072K" display="A2309072K" xr:uid="{00000000-0004-0000-0000-000017000000}"/>
    <hyperlink ref="E35" location="A2309126F" display="A2309126F" xr:uid="{00000000-0004-0000-0000-000018000000}"/>
    <hyperlink ref="E36" location="A2309129L" display="A2309129L" xr:uid="{00000000-0004-0000-0000-000019000000}"/>
    <hyperlink ref="E37" location="A2309075T" display="A2309075T" xr:uid="{00000000-0004-0000-0000-00001A000000}"/>
    <hyperlink ref="E38" location="A3343972X" display="A3343972X" xr:uid="{00000000-0004-0000-0000-00001B000000}"/>
    <hyperlink ref="E39" location="A2309138R" display="A2309138R" xr:uid="{00000000-0004-0000-0000-00001C000000}"/>
    <hyperlink ref="E40" location="A3343974C" display="A3343974C" xr:uid="{00000000-0004-0000-0000-00001D000000}"/>
    <hyperlink ref="E41" location="A2309135J" display="A2309135J" xr:uid="{00000000-0004-0000-0000-00001E000000}"/>
    <hyperlink ref="E42" location="A3343976J" display="A3343976J" xr:uid="{00000000-0004-0000-0000-00001F000000}"/>
    <hyperlink ref="E43" location="A2309141C" display="A2309141C" xr:uid="{00000000-0004-0000-0000-000020000000}"/>
    <hyperlink ref="E44" location="A2309144K" display="A2309144K" xr:uid="{00000000-0004-0000-0000-000021000000}"/>
    <hyperlink ref="E45" location="A2309147T" display="A2309147T" xr:uid="{00000000-0004-0000-0000-000022000000}"/>
    <hyperlink ref="E46" location="A3343978L" display="A3343978L" xr:uid="{00000000-0004-0000-0000-000023000000}"/>
    <hyperlink ref="E47" location="A3343980X" display="A3343980X" xr:uid="{00000000-0004-0000-0000-000024000000}"/>
    <hyperlink ref="E48" location="A2309150F" display="A2309150F" xr:uid="{00000000-0004-0000-0000-000025000000}"/>
    <hyperlink ref="E49" location="A3343982C" display="A3343982C" xr:uid="{00000000-0004-0000-0000-000026000000}"/>
    <hyperlink ref="E50" location="A3343984J" display="A3343984J" xr:uid="{00000000-0004-0000-0000-000027000000}"/>
    <hyperlink ref="E51" location="A3343986L" display="A3343986L" xr:uid="{00000000-0004-0000-0000-000028000000}"/>
    <hyperlink ref="E52" location="A2309156V" display="A2309156V" xr:uid="{00000000-0004-0000-0000-000029000000}"/>
    <hyperlink ref="E53" location="A2309084V" display="A2309084V" xr:uid="{00000000-0004-0000-0000-00002A000000}"/>
    <hyperlink ref="E54" location="A2309162R" display="A2309162R" xr:uid="{00000000-0004-0000-0000-00002B000000}"/>
    <hyperlink ref="E55" location="A3343988T" display="A3343988T" xr:uid="{00000000-0004-0000-0000-00002C000000}"/>
    <hyperlink ref="E56" location="A3343990C" display="A3343990C" xr:uid="{00000000-0004-0000-0000-00002D000000}"/>
    <hyperlink ref="E57" location="A3343992J" display="A3343992J" xr:uid="{00000000-0004-0000-0000-00002E000000}"/>
    <hyperlink ref="E58" location="A117729353V" display="A117729353V" xr:uid="{00000000-0004-0000-0000-00002F000000}"/>
    <hyperlink ref="E59" location="A3343994L" display="A3343994L" xr:uid="{00000000-0004-0000-0000-000030000000}"/>
    <hyperlink ref="E60" location="A2309171T" display="A2309171T" xr:uid="{00000000-0004-0000-0000-000031000000}"/>
    <hyperlink ref="E61" location="A3343996T" display="A3343996T" xr:uid="{00000000-0004-0000-0000-000032000000}"/>
    <hyperlink ref="E62" location="A2309174X" display="A2309174X" xr:uid="{00000000-0004-0000-0000-000033000000}"/>
    <hyperlink ref="E63" location="A2309177F" display="A2309177F" xr:uid="{00000000-0004-0000-0000-000034000000}"/>
    <hyperlink ref="E64" location="A3343998W" display="A3343998W" xr:uid="{00000000-0004-0000-0000-000035000000}"/>
    <hyperlink ref="E65" location="A2309180V" display="A2309180V" xr:uid="{00000000-0004-0000-0000-000036000000}"/>
    <hyperlink ref="E66" location="A2309183A" display="A2309183A" xr:uid="{00000000-0004-0000-0000-000037000000}"/>
    <hyperlink ref="E67" location="A3344000X" display="A3344000X" xr:uid="{00000000-0004-0000-0000-000038000000}"/>
    <hyperlink ref="E68" location="A3344002C" display="A3344002C" xr:uid="{00000000-0004-0000-0000-000039000000}"/>
    <hyperlink ref="E69" location="A3344004J" display="A3344004J" xr:uid="{00000000-0004-0000-0000-00003A000000}"/>
    <hyperlink ref="E70" location="A3344006L" display="A3344006L" xr:uid="{00000000-0004-0000-0000-00003B000000}"/>
    <hyperlink ref="E71" location="A3344008T" display="A3344008T" xr:uid="{00000000-0004-0000-0000-00003C000000}"/>
    <hyperlink ref="E72" location="A2309195K" display="A2309195K" xr:uid="{00000000-0004-0000-0000-00003D000000}"/>
    <hyperlink ref="E73" location="A2309192C" display="A2309192C" xr:uid="{00000000-0004-0000-0000-00003E000000}"/>
  </hyperlinks>
  <pageMargins left="0.7" right="0.7" top="0.75" bottom="0.75" header="0.3" footer="0.3"/>
  <headerFooter>
    <oddHeader>&amp;C&amp;"Aptos"&amp;10&amp;KFF0000 OFFICIAL: Census and Statistics Act&amp;1#_x000D_</oddHeader>
    <oddFooter>&amp;C_x000D_&amp;1#&amp;"Aptos"&amp;10&amp;KFF0000 OFFICIAL: Census and Statistics Act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241"/>
  <sheetViews>
    <sheetView workbookViewId="0">
      <pane xSplit="1" ySplit="10" topLeftCell="J203" activePane="bottomRight" state="frozen"/>
      <selection pane="topRight" activeCell="B1" sqref="B1"/>
      <selection pane="bottomLeft" activeCell="A11" sqref="A11"/>
      <selection pane="bottomRight" activeCell="AE244" sqref="AE244"/>
    </sheetView>
  </sheetViews>
  <sheetFormatPr defaultColWidth="14.7109375" defaultRowHeight="11.25" x14ac:dyDescent="0.2"/>
  <cols>
    <col min="1" max="16384" width="14.7109375" style="1"/>
  </cols>
  <sheetData>
    <row r="1" spans="1:63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</row>
    <row r="2" spans="1:63" x14ac:dyDescent="0.2">
      <c r="A2" s="4" t="s">
        <v>62</v>
      </c>
      <c r="B2" s="7" t="s">
        <v>71</v>
      </c>
      <c r="C2" s="7" t="s">
        <v>71</v>
      </c>
      <c r="D2" s="7" t="s">
        <v>71</v>
      </c>
      <c r="E2" s="7" t="s">
        <v>71</v>
      </c>
      <c r="F2" s="7" t="s">
        <v>79</v>
      </c>
      <c r="G2" s="7" t="s">
        <v>79</v>
      </c>
      <c r="H2" s="7" t="s">
        <v>79</v>
      </c>
      <c r="I2" s="7" t="s">
        <v>79</v>
      </c>
      <c r="J2" s="7" t="s">
        <v>79</v>
      </c>
      <c r="K2" s="7" t="s">
        <v>79</v>
      </c>
      <c r="L2" s="7" t="s">
        <v>71</v>
      </c>
      <c r="M2" s="7" t="s">
        <v>71</v>
      </c>
      <c r="N2" s="7" t="s">
        <v>71</v>
      </c>
      <c r="O2" s="7" t="s">
        <v>71</v>
      </c>
      <c r="P2" s="7" t="s">
        <v>71</v>
      </c>
      <c r="Q2" s="7" t="s">
        <v>71</v>
      </c>
      <c r="R2" s="7" t="s">
        <v>71</v>
      </c>
      <c r="S2" s="7" t="s">
        <v>71</v>
      </c>
      <c r="T2" s="7" t="s">
        <v>71</v>
      </c>
      <c r="U2" s="7" t="s">
        <v>71</v>
      </c>
      <c r="V2" s="7" t="s">
        <v>71</v>
      </c>
      <c r="W2" s="7" t="s">
        <v>71</v>
      </c>
      <c r="X2" s="7" t="s">
        <v>71</v>
      </c>
      <c r="Y2" s="7" t="s">
        <v>71</v>
      </c>
      <c r="Z2" s="7" t="s">
        <v>71</v>
      </c>
      <c r="AA2" s="7" t="s">
        <v>71</v>
      </c>
      <c r="AB2" s="7" t="s">
        <v>71</v>
      </c>
      <c r="AC2" s="7" t="s">
        <v>71</v>
      </c>
      <c r="AD2" s="7" t="s">
        <v>71</v>
      </c>
      <c r="AE2" s="7" t="s">
        <v>71</v>
      </c>
      <c r="AF2" s="7" t="s">
        <v>71</v>
      </c>
      <c r="AG2" s="7" t="s">
        <v>71</v>
      </c>
      <c r="AH2" s="7" t="s">
        <v>71</v>
      </c>
      <c r="AI2" s="7" t="s">
        <v>71</v>
      </c>
      <c r="AJ2" s="7" t="s">
        <v>71</v>
      </c>
      <c r="AK2" s="7" t="s">
        <v>71</v>
      </c>
      <c r="AL2" s="7" t="s">
        <v>71</v>
      </c>
      <c r="AM2" s="7" t="s">
        <v>71</v>
      </c>
      <c r="AN2" s="7" t="s">
        <v>71</v>
      </c>
      <c r="AO2" s="7" t="s">
        <v>71</v>
      </c>
      <c r="AP2" s="7" t="s">
        <v>71</v>
      </c>
      <c r="AQ2" s="7" t="s">
        <v>71</v>
      </c>
      <c r="AR2" s="7" t="s">
        <v>71</v>
      </c>
      <c r="AS2" s="7" t="s">
        <v>71</v>
      </c>
      <c r="AT2" s="7" t="s">
        <v>71</v>
      </c>
      <c r="AU2" s="7" t="s">
        <v>71</v>
      </c>
      <c r="AV2" s="7" t="s">
        <v>71</v>
      </c>
      <c r="AW2" s="7" t="s">
        <v>71</v>
      </c>
      <c r="AX2" s="7" t="s">
        <v>71</v>
      </c>
      <c r="AY2" s="7" t="s">
        <v>71</v>
      </c>
      <c r="AZ2" s="7" t="s">
        <v>71</v>
      </c>
      <c r="BA2" s="7" t="s">
        <v>71</v>
      </c>
      <c r="BB2" s="7" t="s">
        <v>71</v>
      </c>
      <c r="BC2" s="7" t="s">
        <v>71</v>
      </c>
      <c r="BD2" s="7" t="s">
        <v>71</v>
      </c>
      <c r="BE2" s="7" t="s">
        <v>71</v>
      </c>
      <c r="BF2" s="7" t="s">
        <v>71</v>
      </c>
      <c r="BG2" s="7" t="s">
        <v>71</v>
      </c>
      <c r="BH2" s="7" t="s">
        <v>71</v>
      </c>
      <c r="BI2" s="7" t="s">
        <v>71</v>
      </c>
      <c r="BJ2" s="7" t="s">
        <v>71</v>
      </c>
      <c r="BK2" s="7" t="s">
        <v>71</v>
      </c>
    </row>
    <row r="3" spans="1:63" x14ac:dyDescent="0.2">
      <c r="A3" s="4" t="s">
        <v>63</v>
      </c>
      <c r="B3" s="7" t="s">
        <v>72</v>
      </c>
      <c r="C3" s="7" t="s">
        <v>72</v>
      </c>
      <c r="D3" s="7" t="s">
        <v>72</v>
      </c>
      <c r="E3" s="7" t="s">
        <v>72</v>
      </c>
      <c r="F3" s="7" t="s">
        <v>72</v>
      </c>
      <c r="G3" s="7" t="s">
        <v>72</v>
      </c>
      <c r="H3" s="7" t="s">
        <v>72</v>
      </c>
      <c r="I3" s="7" t="s">
        <v>72</v>
      </c>
      <c r="J3" s="7" t="s">
        <v>72</v>
      </c>
      <c r="K3" s="7" t="s">
        <v>72</v>
      </c>
      <c r="L3" s="7" t="s">
        <v>72</v>
      </c>
      <c r="M3" s="7" t="s">
        <v>72</v>
      </c>
      <c r="N3" s="7" t="s">
        <v>72</v>
      </c>
      <c r="O3" s="7" t="s">
        <v>72</v>
      </c>
      <c r="P3" s="7" t="s">
        <v>72</v>
      </c>
      <c r="Q3" s="7" t="s">
        <v>72</v>
      </c>
      <c r="R3" s="7" t="s">
        <v>72</v>
      </c>
      <c r="S3" s="7" t="s">
        <v>72</v>
      </c>
      <c r="T3" s="7" t="s">
        <v>72</v>
      </c>
      <c r="U3" s="7" t="s">
        <v>72</v>
      </c>
      <c r="V3" s="7" t="s">
        <v>72</v>
      </c>
      <c r="W3" s="7" t="s">
        <v>72</v>
      </c>
      <c r="X3" s="7" t="s">
        <v>72</v>
      </c>
      <c r="Y3" s="7" t="s">
        <v>72</v>
      </c>
      <c r="Z3" s="7" t="s">
        <v>72</v>
      </c>
      <c r="AA3" s="7" t="s">
        <v>72</v>
      </c>
      <c r="AB3" s="7" t="s">
        <v>72</v>
      </c>
      <c r="AC3" s="7" t="s">
        <v>72</v>
      </c>
      <c r="AD3" s="7" t="s">
        <v>72</v>
      </c>
      <c r="AE3" s="7" t="s">
        <v>72</v>
      </c>
      <c r="AF3" s="7" t="s">
        <v>72</v>
      </c>
      <c r="AG3" s="7" t="s">
        <v>72</v>
      </c>
      <c r="AH3" s="7" t="s">
        <v>72</v>
      </c>
      <c r="AI3" s="7" t="s">
        <v>72</v>
      </c>
      <c r="AJ3" s="7" t="s">
        <v>72</v>
      </c>
      <c r="AK3" s="7" t="s">
        <v>72</v>
      </c>
      <c r="AL3" s="7" t="s">
        <v>72</v>
      </c>
      <c r="AM3" s="7" t="s">
        <v>72</v>
      </c>
      <c r="AN3" s="7" t="s">
        <v>72</v>
      </c>
      <c r="AO3" s="7" t="s">
        <v>72</v>
      </c>
      <c r="AP3" s="7" t="s">
        <v>72</v>
      </c>
      <c r="AQ3" s="7" t="s">
        <v>72</v>
      </c>
      <c r="AR3" s="7" t="s">
        <v>72</v>
      </c>
      <c r="AS3" s="7" t="s">
        <v>72</v>
      </c>
      <c r="AT3" s="7" t="s">
        <v>72</v>
      </c>
      <c r="AU3" s="7" t="s">
        <v>72</v>
      </c>
      <c r="AV3" s="7" t="s">
        <v>72</v>
      </c>
      <c r="AW3" s="7" t="s">
        <v>72</v>
      </c>
      <c r="AX3" s="7" t="s">
        <v>72</v>
      </c>
      <c r="AY3" s="7" t="s">
        <v>72</v>
      </c>
      <c r="AZ3" s="7" t="s">
        <v>72</v>
      </c>
      <c r="BA3" s="7" t="s">
        <v>72</v>
      </c>
      <c r="BB3" s="7" t="s">
        <v>72</v>
      </c>
      <c r="BC3" s="7" t="s">
        <v>72</v>
      </c>
      <c r="BD3" s="7" t="s">
        <v>72</v>
      </c>
      <c r="BE3" s="7" t="s">
        <v>72</v>
      </c>
      <c r="BF3" s="7" t="s">
        <v>72</v>
      </c>
      <c r="BG3" s="7" t="s">
        <v>72</v>
      </c>
      <c r="BH3" s="7" t="s">
        <v>72</v>
      </c>
      <c r="BI3" s="7" t="s">
        <v>72</v>
      </c>
      <c r="BJ3" s="7" t="s">
        <v>72</v>
      </c>
      <c r="BK3" s="7" t="s">
        <v>72</v>
      </c>
    </row>
    <row r="4" spans="1:63" x14ac:dyDescent="0.2">
      <c r="A4" s="4" t="s">
        <v>64</v>
      </c>
      <c r="B4" s="7" t="s">
        <v>73</v>
      </c>
      <c r="C4" s="7" t="s">
        <v>73</v>
      </c>
      <c r="D4" s="7" t="s">
        <v>73</v>
      </c>
      <c r="E4" s="7" t="s">
        <v>73</v>
      </c>
      <c r="F4" s="7" t="s">
        <v>80</v>
      </c>
      <c r="G4" s="7" t="s">
        <v>80</v>
      </c>
      <c r="H4" s="7" t="s">
        <v>80</v>
      </c>
      <c r="I4" s="7" t="s">
        <v>80</v>
      </c>
      <c r="J4" s="7" t="s">
        <v>80</v>
      </c>
      <c r="K4" s="7" t="s">
        <v>80</v>
      </c>
      <c r="L4" s="7" t="s">
        <v>73</v>
      </c>
      <c r="M4" s="7" t="s">
        <v>73</v>
      </c>
      <c r="N4" s="7" t="s">
        <v>73</v>
      </c>
      <c r="O4" s="7" t="s">
        <v>73</v>
      </c>
      <c r="P4" s="7" t="s">
        <v>73</v>
      </c>
      <c r="Q4" s="7" t="s">
        <v>73</v>
      </c>
      <c r="R4" s="7" t="s">
        <v>73</v>
      </c>
      <c r="S4" s="7" t="s">
        <v>73</v>
      </c>
      <c r="T4" s="7" t="s">
        <v>73</v>
      </c>
      <c r="U4" s="7" t="s">
        <v>73</v>
      </c>
      <c r="V4" s="7" t="s">
        <v>73</v>
      </c>
      <c r="W4" s="7" t="s">
        <v>73</v>
      </c>
      <c r="X4" s="7" t="s">
        <v>73</v>
      </c>
      <c r="Y4" s="7" t="s">
        <v>73</v>
      </c>
      <c r="Z4" s="7" t="s">
        <v>73</v>
      </c>
      <c r="AA4" s="7" t="s">
        <v>73</v>
      </c>
      <c r="AB4" s="7" t="s">
        <v>73</v>
      </c>
      <c r="AC4" s="7" t="s">
        <v>73</v>
      </c>
      <c r="AD4" s="7" t="s">
        <v>73</v>
      </c>
      <c r="AE4" s="7" t="s">
        <v>73</v>
      </c>
      <c r="AF4" s="7" t="s">
        <v>73</v>
      </c>
      <c r="AG4" s="7" t="s">
        <v>73</v>
      </c>
      <c r="AH4" s="7" t="s">
        <v>73</v>
      </c>
      <c r="AI4" s="7" t="s">
        <v>73</v>
      </c>
      <c r="AJ4" s="7" t="s">
        <v>73</v>
      </c>
      <c r="AK4" s="7" t="s">
        <v>73</v>
      </c>
      <c r="AL4" s="7" t="s">
        <v>73</v>
      </c>
      <c r="AM4" s="7" t="s">
        <v>73</v>
      </c>
      <c r="AN4" s="7" t="s">
        <v>73</v>
      </c>
      <c r="AO4" s="7" t="s">
        <v>73</v>
      </c>
      <c r="AP4" s="7" t="s">
        <v>73</v>
      </c>
      <c r="AQ4" s="7" t="s">
        <v>73</v>
      </c>
      <c r="AR4" s="7" t="s">
        <v>73</v>
      </c>
      <c r="AS4" s="7" t="s">
        <v>73</v>
      </c>
      <c r="AT4" s="7" t="s">
        <v>73</v>
      </c>
      <c r="AU4" s="7" t="s">
        <v>73</v>
      </c>
      <c r="AV4" s="7" t="s">
        <v>73</v>
      </c>
      <c r="AW4" s="7" t="s">
        <v>73</v>
      </c>
      <c r="AX4" s="7" t="s">
        <v>73</v>
      </c>
      <c r="AY4" s="7" t="s">
        <v>73</v>
      </c>
      <c r="AZ4" s="7" t="s">
        <v>73</v>
      </c>
      <c r="BA4" s="7" t="s">
        <v>73</v>
      </c>
      <c r="BB4" s="7" t="s">
        <v>73</v>
      </c>
      <c r="BC4" s="7" t="s">
        <v>73</v>
      </c>
      <c r="BD4" s="7" t="s">
        <v>73</v>
      </c>
      <c r="BE4" s="7" t="s">
        <v>73</v>
      </c>
      <c r="BF4" s="7" t="s">
        <v>73</v>
      </c>
      <c r="BG4" s="7" t="s">
        <v>73</v>
      </c>
      <c r="BH4" s="7" t="s">
        <v>73</v>
      </c>
      <c r="BI4" s="7" t="s">
        <v>73</v>
      </c>
      <c r="BJ4" s="7" t="s">
        <v>73</v>
      </c>
      <c r="BK4" s="7" t="s">
        <v>73</v>
      </c>
    </row>
    <row r="5" spans="1:63" x14ac:dyDescent="0.2">
      <c r="A5" s="4" t="s">
        <v>65</v>
      </c>
      <c r="B5" s="7" t="s">
        <v>74</v>
      </c>
      <c r="C5" s="7" t="s">
        <v>74</v>
      </c>
      <c r="D5" s="7" t="s">
        <v>74</v>
      </c>
      <c r="E5" s="7" t="s">
        <v>74</v>
      </c>
      <c r="F5" s="7" t="s">
        <v>74</v>
      </c>
      <c r="G5" s="7" t="s">
        <v>74</v>
      </c>
      <c r="H5" s="7" t="s">
        <v>74</v>
      </c>
      <c r="I5" s="7" t="s">
        <v>74</v>
      </c>
      <c r="J5" s="7" t="s">
        <v>74</v>
      </c>
      <c r="K5" s="7" t="s">
        <v>74</v>
      </c>
      <c r="L5" s="7" t="s">
        <v>74</v>
      </c>
      <c r="M5" s="7" t="s">
        <v>74</v>
      </c>
      <c r="N5" s="7" t="s">
        <v>74</v>
      </c>
      <c r="O5" s="7" t="s">
        <v>74</v>
      </c>
      <c r="P5" s="7" t="s">
        <v>74</v>
      </c>
      <c r="Q5" s="7" t="s">
        <v>74</v>
      </c>
      <c r="R5" s="7" t="s">
        <v>74</v>
      </c>
      <c r="S5" s="7" t="s">
        <v>74</v>
      </c>
      <c r="T5" s="7" t="s">
        <v>74</v>
      </c>
      <c r="U5" s="7" t="s">
        <v>74</v>
      </c>
      <c r="V5" s="7" t="s">
        <v>74</v>
      </c>
      <c r="W5" s="7" t="s">
        <v>74</v>
      </c>
      <c r="X5" s="7" t="s">
        <v>74</v>
      </c>
      <c r="Y5" s="7" t="s">
        <v>74</v>
      </c>
      <c r="Z5" s="7" t="s">
        <v>74</v>
      </c>
      <c r="AA5" s="7" t="s">
        <v>74</v>
      </c>
      <c r="AB5" s="7" t="s">
        <v>74</v>
      </c>
      <c r="AC5" s="7" t="s">
        <v>74</v>
      </c>
      <c r="AD5" s="7" t="s">
        <v>74</v>
      </c>
      <c r="AE5" s="7" t="s">
        <v>74</v>
      </c>
      <c r="AF5" s="7" t="s">
        <v>74</v>
      </c>
      <c r="AG5" s="7" t="s">
        <v>74</v>
      </c>
      <c r="AH5" s="7" t="s">
        <v>74</v>
      </c>
      <c r="AI5" s="7" t="s">
        <v>74</v>
      </c>
      <c r="AJ5" s="7" t="s">
        <v>74</v>
      </c>
      <c r="AK5" s="7" t="s">
        <v>74</v>
      </c>
      <c r="AL5" s="7" t="s">
        <v>74</v>
      </c>
      <c r="AM5" s="7" t="s">
        <v>74</v>
      </c>
      <c r="AN5" s="7" t="s">
        <v>74</v>
      </c>
      <c r="AO5" s="7" t="s">
        <v>74</v>
      </c>
      <c r="AP5" s="7" t="s">
        <v>74</v>
      </c>
      <c r="AQ5" s="7" t="s">
        <v>74</v>
      </c>
      <c r="AR5" s="7" t="s">
        <v>74</v>
      </c>
      <c r="AS5" s="7" t="s">
        <v>74</v>
      </c>
      <c r="AT5" s="7" t="s">
        <v>74</v>
      </c>
      <c r="AU5" s="7" t="s">
        <v>74</v>
      </c>
      <c r="AV5" s="7" t="s">
        <v>74</v>
      </c>
      <c r="AW5" s="7" t="s">
        <v>74</v>
      </c>
      <c r="AX5" s="7" t="s">
        <v>74</v>
      </c>
      <c r="AY5" s="7" t="s">
        <v>74</v>
      </c>
      <c r="AZ5" s="7" t="s">
        <v>74</v>
      </c>
      <c r="BA5" s="7" t="s">
        <v>74</v>
      </c>
      <c r="BB5" s="7" t="s">
        <v>74</v>
      </c>
      <c r="BC5" s="7" t="s">
        <v>74</v>
      </c>
      <c r="BD5" s="7" t="s">
        <v>74</v>
      </c>
      <c r="BE5" s="7" t="s">
        <v>74</v>
      </c>
      <c r="BF5" s="7" t="s">
        <v>74</v>
      </c>
      <c r="BG5" s="7" t="s">
        <v>74</v>
      </c>
      <c r="BH5" s="7" t="s">
        <v>74</v>
      </c>
      <c r="BI5" s="7" t="s">
        <v>74</v>
      </c>
      <c r="BJ5" s="7" t="s">
        <v>74</v>
      </c>
      <c r="BK5" s="7" t="s">
        <v>74</v>
      </c>
    </row>
    <row r="6" spans="1:63" x14ac:dyDescent="0.2">
      <c r="A6" s="4" t="s">
        <v>66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</row>
    <row r="7" spans="1:63" s="6" customFormat="1" x14ac:dyDescent="0.2">
      <c r="A7" s="5" t="s">
        <v>67</v>
      </c>
      <c r="B7" s="6">
        <v>25082</v>
      </c>
      <c r="C7" s="6">
        <v>25082</v>
      </c>
      <c r="D7" s="6">
        <v>25082</v>
      </c>
      <c r="E7" s="6">
        <v>32021</v>
      </c>
      <c r="F7" s="6">
        <v>25173</v>
      </c>
      <c r="G7" s="6">
        <v>25173</v>
      </c>
      <c r="H7" s="6">
        <v>25173</v>
      </c>
      <c r="I7" s="6">
        <v>25447</v>
      </c>
      <c r="J7" s="6">
        <v>25447</v>
      </c>
      <c r="K7" s="6">
        <v>25447</v>
      </c>
      <c r="L7" s="6">
        <v>35217</v>
      </c>
      <c r="M7" s="6">
        <v>37135</v>
      </c>
      <c r="N7" s="6">
        <v>37135</v>
      </c>
      <c r="O7" s="6">
        <v>35217</v>
      </c>
      <c r="P7" s="6">
        <v>37135</v>
      </c>
      <c r="Q7" s="6">
        <v>35217</v>
      </c>
      <c r="R7" s="6">
        <v>35217</v>
      </c>
      <c r="S7" s="6">
        <v>35217</v>
      </c>
      <c r="T7" s="6">
        <v>35217</v>
      </c>
      <c r="U7" s="6">
        <v>35217</v>
      </c>
      <c r="V7" s="6">
        <v>35217</v>
      </c>
      <c r="W7" s="6">
        <v>35217</v>
      </c>
      <c r="X7" s="6">
        <v>35217</v>
      </c>
      <c r="Y7" s="6">
        <v>35217</v>
      </c>
      <c r="Z7" s="6">
        <v>35217</v>
      </c>
      <c r="AA7" s="6">
        <v>35217</v>
      </c>
      <c r="AB7" s="6">
        <v>37135</v>
      </c>
      <c r="AC7" s="6">
        <v>35217</v>
      </c>
      <c r="AD7" s="6">
        <v>37135</v>
      </c>
      <c r="AE7" s="6">
        <v>35217</v>
      </c>
      <c r="AF7" s="6">
        <v>37135</v>
      </c>
      <c r="AG7" s="6">
        <v>35217</v>
      </c>
      <c r="AH7" s="6">
        <v>35217</v>
      </c>
      <c r="AI7" s="6">
        <v>35217</v>
      </c>
      <c r="AJ7" s="6">
        <v>37135</v>
      </c>
      <c r="AK7" s="6">
        <v>37135</v>
      </c>
      <c r="AL7" s="6">
        <v>35217</v>
      </c>
      <c r="AM7" s="6">
        <v>37135</v>
      </c>
      <c r="AN7" s="6">
        <v>37135</v>
      </c>
      <c r="AO7" s="6">
        <v>37135</v>
      </c>
      <c r="AP7" s="6">
        <v>35217</v>
      </c>
      <c r="AQ7" s="6">
        <v>35217</v>
      </c>
      <c r="AR7" s="6">
        <v>35217</v>
      </c>
      <c r="AS7" s="6">
        <v>37135</v>
      </c>
      <c r="AT7" s="6">
        <v>37135</v>
      </c>
      <c r="AU7" s="6">
        <v>37135</v>
      </c>
      <c r="AV7" s="6">
        <v>37135</v>
      </c>
      <c r="AW7" s="6">
        <v>37135</v>
      </c>
      <c r="AX7" s="6">
        <v>35217</v>
      </c>
      <c r="AY7" s="6">
        <v>37135</v>
      </c>
      <c r="AZ7" s="6">
        <v>35217</v>
      </c>
      <c r="BA7" s="6">
        <v>35217</v>
      </c>
      <c r="BB7" s="6">
        <v>37135</v>
      </c>
      <c r="BC7" s="6">
        <v>35217</v>
      </c>
      <c r="BD7" s="6">
        <v>35217</v>
      </c>
      <c r="BE7" s="6">
        <v>37135</v>
      </c>
      <c r="BF7" s="6">
        <v>37135</v>
      </c>
      <c r="BG7" s="6">
        <v>37135</v>
      </c>
      <c r="BH7" s="6">
        <v>37135</v>
      </c>
      <c r="BI7" s="6">
        <v>37135</v>
      </c>
      <c r="BJ7" s="6">
        <v>25628</v>
      </c>
      <c r="BK7" s="6">
        <v>25628</v>
      </c>
    </row>
    <row r="8" spans="1:63" s="6" customFormat="1" x14ac:dyDescent="0.2">
      <c r="A8" s="5" t="s">
        <v>68</v>
      </c>
      <c r="B8" s="6">
        <v>46082</v>
      </c>
      <c r="C8" s="6">
        <v>46082</v>
      </c>
      <c r="D8" s="6">
        <v>46082</v>
      </c>
      <c r="E8" s="6">
        <v>46082</v>
      </c>
      <c r="F8" s="6">
        <v>46082</v>
      </c>
      <c r="G8" s="6">
        <v>46082</v>
      </c>
      <c r="H8" s="6">
        <v>46082</v>
      </c>
      <c r="I8" s="6">
        <v>46082</v>
      </c>
      <c r="J8" s="6">
        <v>46082</v>
      </c>
      <c r="K8" s="6">
        <v>46082</v>
      </c>
      <c r="L8" s="6">
        <v>46082</v>
      </c>
      <c r="M8" s="6">
        <v>46082</v>
      </c>
      <c r="N8" s="6">
        <v>46082</v>
      </c>
      <c r="O8" s="6">
        <v>46082</v>
      </c>
      <c r="P8" s="6">
        <v>46082</v>
      </c>
      <c r="Q8" s="6">
        <v>46082</v>
      </c>
      <c r="R8" s="6">
        <v>46082</v>
      </c>
      <c r="S8" s="6">
        <v>46082</v>
      </c>
      <c r="T8" s="6">
        <v>46082</v>
      </c>
      <c r="U8" s="6">
        <v>46082</v>
      </c>
      <c r="V8" s="6">
        <v>46082</v>
      </c>
      <c r="W8" s="6">
        <v>46082</v>
      </c>
      <c r="X8" s="6">
        <v>46082</v>
      </c>
      <c r="Y8" s="6">
        <v>46082</v>
      </c>
      <c r="Z8" s="6">
        <v>46082</v>
      </c>
      <c r="AA8" s="6">
        <v>46082</v>
      </c>
      <c r="AB8" s="6">
        <v>46082</v>
      </c>
      <c r="AC8" s="6">
        <v>46082</v>
      </c>
      <c r="AD8" s="6">
        <v>46082</v>
      </c>
      <c r="AE8" s="6">
        <v>46082</v>
      </c>
      <c r="AF8" s="6">
        <v>46082</v>
      </c>
      <c r="AG8" s="6">
        <v>46082</v>
      </c>
      <c r="AH8" s="6">
        <v>46082</v>
      </c>
      <c r="AI8" s="6">
        <v>46082</v>
      </c>
      <c r="AJ8" s="6">
        <v>46082</v>
      </c>
      <c r="AK8" s="6">
        <v>46082</v>
      </c>
      <c r="AL8" s="6">
        <v>46082</v>
      </c>
      <c r="AM8" s="6">
        <v>46082</v>
      </c>
      <c r="AN8" s="6">
        <v>46082</v>
      </c>
      <c r="AO8" s="6">
        <v>46082</v>
      </c>
      <c r="AP8" s="6">
        <v>46082</v>
      </c>
      <c r="AQ8" s="6">
        <v>46082</v>
      </c>
      <c r="AR8" s="6">
        <v>46082</v>
      </c>
      <c r="AS8" s="6">
        <v>46082</v>
      </c>
      <c r="AT8" s="6">
        <v>46082</v>
      </c>
      <c r="AU8" s="6">
        <v>46082</v>
      </c>
      <c r="AV8" s="6">
        <v>46082</v>
      </c>
      <c r="AW8" s="6">
        <v>46082</v>
      </c>
      <c r="AX8" s="6">
        <v>46082</v>
      </c>
      <c r="AY8" s="6">
        <v>46082</v>
      </c>
      <c r="AZ8" s="6">
        <v>46082</v>
      </c>
      <c r="BA8" s="6">
        <v>46082</v>
      </c>
      <c r="BB8" s="6">
        <v>46082</v>
      </c>
      <c r="BC8" s="6">
        <v>46082</v>
      </c>
      <c r="BD8" s="6">
        <v>46082</v>
      </c>
      <c r="BE8" s="6">
        <v>46082</v>
      </c>
      <c r="BF8" s="6">
        <v>46082</v>
      </c>
      <c r="BG8" s="6">
        <v>46082</v>
      </c>
      <c r="BH8" s="6">
        <v>46082</v>
      </c>
      <c r="BI8" s="6">
        <v>46082</v>
      </c>
      <c r="BJ8" s="6">
        <v>46082</v>
      </c>
      <c r="BK8" s="6">
        <v>46082</v>
      </c>
    </row>
    <row r="9" spans="1:63" x14ac:dyDescent="0.2">
      <c r="A9" s="4" t="s">
        <v>69</v>
      </c>
      <c r="B9" s="1">
        <v>231</v>
      </c>
      <c r="C9" s="1">
        <v>231</v>
      </c>
      <c r="D9" s="1">
        <v>231</v>
      </c>
      <c r="E9" s="1">
        <v>155</v>
      </c>
      <c r="F9" s="1">
        <v>230</v>
      </c>
      <c r="G9" s="1">
        <v>230</v>
      </c>
      <c r="H9" s="1">
        <v>230</v>
      </c>
      <c r="I9" s="1">
        <v>227</v>
      </c>
      <c r="J9" s="1">
        <v>227</v>
      </c>
      <c r="K9" s="1">
        <v>227</v>
      </c>
      <c r="L9" s="1">
        <v>120</v>
      </c>
      <c r="M9" s="1">
        <v>99</v>
      </c>
      <c r="N9" s="1">
        <v>99</v>
      </c>
      <c r="O9" s="1">
        <v>120</v>
      </c>
      <c r="P9" s="1">
        <v>99</v>
      </c>
      <c r="Q9" s="1">
        <v>120</v>
      </c>
      <c r="R9" s="1">
        <v>120</v>
      </c>
      <c r="S9" s="1">
        <v>120</v>
      </c>
      <c r="T9" s="1">
        <v>120</v>
      </c>
      <c r="U9" s="1">
        <v>120</v>
      </c>
      <c r="V9" s="1">
        <v>120</v>
      </c>
      <c r="W9" s="1">
        <v>120</v>
      </c>
      <c r="X9" s="1">
        <v>120</v>
      </c>
      <c r="Y9" s="1">
        <v>120</v>
      </c>
      <c r="Z9" s="1">
        <v>120</v>
      </c>
      <c r="AA9" s="1">
        <v>120</v>
      </c>
      <c r="AB9" s="1">
        <v>99</v>
      </c>
      <c r="AC9" s="1">
        <v>120</v>
      </c>
      <c r="AD9" s="1">
        <v>99</v>
      </c>
      <c r="AE9" s="1">
        <v>120</v>
      </c>
      <c r="AF9" s="1">
        <v>99</v>
      </c>
      <c r="AG9" s="1">
        <v>120</v>
      </c>
      <c r="AH9" s="1">
        <v>120</v>
      </c>
      <c r="AI9" s="1">
        <v>120</v>
      </c>
      <c r="AJ9" s="1">
        <v>99</v>
      </c>
      <c r="AK9" s="1">
        <v>99</v>
      </c>
      <c r="AL9" s="1">
        <v>120</v>
      </c>
      <c r="AM9" s="1">
        <v>99</v>
      </c>
      <c r="AN9" s="1">
        <v>99</v>
      </c>
      <c r="AO9" s="1">
        <v>99</v>
      </c>
      <c r="AP9" s="1">
        <v>120</v>
      </c>
      <c r="AQ9" s="1">
        <v>120</v>
      </c>
      <c r="AR9" s="1">
        <v>120</v>
      </c>
      <c r="AS9" s="1">
        <v>99</v>
      </c>
      <c r="AT9" s="1">
        <v>99</v>
      </c>
      <c r="AU9" s="1">
        <v>99</v>
      </c>
      <c r="AV9" s="1">
        <v>99</v>
      </c>
      <c r="AW9" s="1">
        <v>99</v>
      </c>
      <c r="AX9" s="1">
        <v>120</v>
      </c>
      <c r="AY9" s="1">
        <v>99</v>
      </c>
      <c r="AZ9" s="1">
        <v>120</v>
      </c>
      <c r="BA9" s="1">
        <v>120</v>
      </c>
      <c r="BB9" s="1">
        <v>99</v>
      </c>
      <c r="BC9" s="1">
        <v>120</v>
      </c>
      <c r="BD9" s="1">
        <v>120</v>
      </c>
      <c r="BE9" s="1">
        <v>99</v>
      </c>
      <c r="BF9" s="1">
        <v>99</v>
      </c>
      <c r="BG9" s="1">
        <v>99</v>
      </c>
      <c r="BH9" s="1">
        <v>99</v>
      </c>
      <c r="BI9" s="1">
        <v>99</v>
      </c>
      <c r="BJ9" s="1">
        <v>225</v>
      </c>
      <c r="BK9" s="1">
        <v>225</v>
      </c>
    </row>
    <row r="10" spans="1:63" x14ac:dyDescent="0.2">
      <c r="A10" s="4" t="s">
        <v>70</v>
      </c>
      <c r="B10" s="7" t="s">
        <v>75</v>
      </c>
      <c r="C10" s="7" t="s">
        <v>76</v>
      </c>
      <c r="D10" s="7" t="s">
        <v>77</v>
      </c>
      <c r="E10" s="7" t="s">
        <v>78</v>
      </c>
      <c r="F10" s="7" t="s">
        <v>81</v>
      </c>
      <c r="G10" s="7" t="s">
        <v>82</v>
      </c>
      <c r="H10" s="7" t="s">
        <v>83</v>
      </c>
      <c r="I10" s="7" t="s">
        <v>84</v>
      </c>
      <c r="J10" s="7" t="s">
        <v>85</v>
      </c>
      <c r="K10" s="7" t="s">
        <v>86</v>
      </c>
      <c r="L10" s="7" t="s">
        <v>87</v>
      </c>
      <c r="M10" s="7" t="s">
        <v>88</v>
      </c>
      <c r="N10" s="7" t="s">
        <v>89</v>
      </c>
      <c r="O10" s="7" t="s">
        <v>90</v>
      </c>
      <c r="P10" s="7" t="s">
        <v>91</v>
      </c>
      <c r="Q10" s="7" t="s">
        <v>92</v>
      </c>
      <c r="R10" s="7" t="s">
        <v>93</v>
      </c>
      <c r="S10" s="7" t="s">
        <v>94</v>
      </c>
      <c r="T10" s="7" t="s">
        <v>95</v>
      </c>
      <c r="U10" s="7" t="s">
        <v>96</v>
      </c>
      <c r="V10" s="7" t="s">
        <v>97</v>
      </c>
      <c r="W10" s="7" t="s">
        <v>98</v>
      </c>
      <c r="X10" s="7" t="s">
        <v>99</v>
      </c>
      <c r="Y10" s="7" t="s">
        <v>100</v>
      </c>
      <c r="Z10" s="7" t="s">
        <v>101</v>
      </c>
      <c r="AA10" s="7" t="s">
        <v>102</v>
      </c>
      <c r="AB10" s="7" t="s">
        <v>103</v>
      </c>
      <c r="AC10" s="7" t="s">
        <v>104</v>
      </c>
      <c r="AD10" s="7" t="s">
        <v>105</v>
      </c>
      <c r="AE10" s="7" t="s">
        <v>106</v>
      </c>
      <c r="AF10" s="7" t="s">
        <v>107</v>
      </c>
      <c r="AG10" s="7" t="s">
        <v>108</v>
      </c>
      <c r="AH10" s="7" t="s">
        <v>109</v>
      </c>
      <c r="AI10" s="7" t="s">
        <v>110</v>
      </c>
      <c r="AJ10" s="7" t="s">
        <v>111</v>
      </c>
      <c r="AK10" s="7" t="s">
        <v>112</v>
      </c>
      <c r="AL10" s="7" t="s">
        <v>113</v>
      </c>
      <c r="AM10" s="7" t="s">
        <v>114</v>
      </c>
      <c r="AN10" s="7" t="s">
        <v>115</v>
      </c>
      <c r="AO10" s="7" t="s">
        <v>116</v>
      </c>
      <c r="AP10" s="7" t="s">
        <v>117</v>
      </c>
      <c r="AQ10" s="7" t="s">
        <v>118</v>
      </c>
      <c r="AR10" s="7" t="s">
        <v>119</v>
      </c>
      <c r="AS10" s="7" t="s">
        <v>120</v>
      </c>
      <c r="AT10" s="7" t="s">
        <v>121</v>
      </c>
      <c r="AU10" s="7" t="s">
        <v>122</v>
      </c>
      <c r="AV10" s="7" t="s">
        <v>123</v>
      </c>
      <c r="AW10" s="7" t="s">
        <v>124</v>
      </c>
      <c r="AX10" s="7" t="s">
        <v>125</v>
      </c>
      <c r="AY10" s="7" t="s">
        <v>126</v>
      </c>
      <c r="AZ10" s="7" t="s">
        <v>127</v>
      </c>
      <c r="BA10" s="7" t="s">
        <v>128</v>
      </c>
      <c r="BB10" s="7" t="s">
        <v>129</v>
      </c>
      <c r="BC10" s="7" t="s">
        <v>130</v>
      </c>
      <c r="BD10" s="7" t="s">
        <v>131</v>
      </c>
      <c r="BE10" s="7" t="s">
        <v>132</v>
      </c>
      <c r="BF10" s="7" t="s">
        <v>133</v>
      </c>
      <c r="BG10" s="7" t="s">
        <v>134</v>
      </c>
      <c r="BH10" s="7" t="s">
        <v>135</v>
      </c>
      <c r="BI10" s="7" t="s">
        <v>136</v>
      </c>
      <c r="BJ10" s="7" t="s">
        <v>137</v>
      </c>
      <c r="BK10" s="7" t="s">
        <v>138</v>
      </c>
    </row>
    <row r="11" spans="1:63" x14ac:dyDescent="0.2">
      <c r="A11" s="9">
        <v>25082</v>
      </c>
      <c r="B11" s="8">
        <v>10.7</v>
      </c>
      <c r="C11" s="8">
        <v>9.9</v>
      </c>
      <c r="D11" s="8">
        <v>10.9</v>
      </c>
    </row>
    <row r="12" spans="1:63" x14ac:dyDescent="0.2">
      <c r="A12" s="9">
        <v>25173</v>
      </c>
      <c r="B12" s="8">
        <v>10.3</v>
      </c>
      <c r="C12" s="8">
        <v>9.8000000000000007</v>
      </c>
      <c r="D12" s="8">
        <v>10.5</v>
      </c>
      <c r="F12" s="8">
        <v>-3.7</v>
      </c>
      <c r="G12" s="8">
        <v>-1</v>
      </c>
      <c r="H12" s="8">
        <v>-3.7</v>
      </c>
    </row>
    <row r="13" spans="1:63" x14ac:dyDescent="0.2">
      <c r="A13" s="9">
        <v>25263</v>
      </c>
      <c r="B13" s="8">
        <v>10.5</v>
      </c>
      <c r="C13" s="8">
        <v>9.9</v>
      </c>
      <c r="D13" s="8">
        <v>10.7</v>
      </c>
      <c r="F13" s="8">
        <v>1.9</v>
      </c>
      <c r="G13" s="8">
        <v>1</v>
      </c>
      <c r="H13" s="8">
        <v>1.9</v>
      </c>
    </row>
    <row r="14" spans="1:63" x14ac:dyDescent="0.2">
      <c r="A14" s="9">
        <v>25355</v>
      </c>
      <c r="B14" s="8">
        <v>10.8</v>
      </c>
      <c r="C14" s="8">
        <v>9.9</v>
      </c>
      <c r="D14" s="8">
        <v>11</v>
      </c>
      <c r="F14" s="8">
        <v>2.9</v>
      </c>
      <c r="G14" s="8">
        <v>0</v>
      </c>
      <c r="H14" s="8">
        <v>2.8</v>
      </c>
    </row>
    <row r="15" spans="1:63" x14ac:dyDescent="0.2">
      <c r="A15" s="9">
        <v>25447</v>
      </c>
      <c r="B15" s="8">
        <v>10.9</v>
      </c>
      <c r="C15" s="8">
        <v>9.9</v>
      </c>
      <c r="D15" s="8">
        <v>11.2</v>
      </c>
      <c r="F15" s="8">
        <v>0.9</v>
      </c>
      <c r="G15" s="8">
        <v>0</v>
      </c>
      <c r="H15" s="8">
        <v>1.8</v>
      </c>
      <c r="I15" s="8">
        <v>1.9</v>
      </c>
      <c r="J15" s="8">
        <v>0</v>
      </c>
      <c r="K15" s="8">
        <v>2.8</v>
      </c>
    </row>
    <row r="16" spans="1:63" x14ac:dyDescent="0.2">
      <c r="A16" s="9">
        <v>25538</v>
      </c>
      <c r="B16" s="8">
        <v>10.7</v>
      </c>
      <c r="C16" s="8">
        <v>9.9</v>
      </c>
      <c r="D16" s="8">
        <v>11</v>
      </c>
      <c r="F16" s="8">
        <v>-1.8</v>
      </c>
      <c r="G16" s="8">
        <v>0</v>
      </c>
      <c r="H16" s="8">
        <v>-1.8</v>
      </c>
      <c r="I16" s="8">
        <v>3.9</v>
      </c>
      <c r="J16" s="8">
        <v>1</v>
      </c>
      <c r="K16" s="8">
        <v>4.8</v>
      </c>
    </row>
    <row r="17" spans="1:63" x14ac:dyDescent="0.2">
      <c r="A17" s="9">
        <v>25628</v>
      </c>
      <c r="B17" s="8">
        <v>10.8</v>
      </c>
      <c r="C17" s="8">
        <v>9.9</v>
      </c>
      <c r="D17" s="8">
        <v>11.1</v>
      </c>
      <c r="F17" s="8">
        <v>0.9</v>
      </c>
      <c r="G17" s="8">
        <v>0</v>
      </c>
      <c r="H17" s="8">
        <v>0.9</v>
      </c>
      <c r="I17" s="8">
        <v>2.9</v>
      </c>
      <c r="J17" s="8">
        <v>0</v>
      </c>
      <c r="K17" s="8">
        <v>3.7</v>
      </c>
      <c r="BJ17" s="8">
        <v>17.899999999999999</v>
      </c>
      <c r="BK17" s="8">
        <v>11.8</v>
      </c>
    </row>
    <row r="18" spans="1:63" x14ac:dyDescent="0.2">
      <c r="A18" s="9">
        <v>25720</v>
      </c>
      <c r="B18" s="8">
        <v>10.9</v>
      </c>
      <c r="C18" s="8">
        <v>9.9</v>
      </c>
      <c r="D18" s="8">
        <v>11.2</v>
      </c>
      <c r="F18" s="8">
        <v>0.9</v>
      </c>
      <c r="G18" s="8">
        <v>0</v>
      </c>
      <c r="H18" s="8">
        <v>0.9</v>
      </c>
      <c r="I18" s="8">
        <v>0.9</v>
      </c>
      <c r="J18" s="8">
        <v>0</v>
      </c>
      <c r="K18" s="8">
        <v>1.8</v>
      </c>
      <c r="BJ18" s="8">
        <v>15.6</v>
      </c>
      <c r="BK18" s="8">
        <v>12</v>
      </c>
    </row>
    <row r="19" spans="1:63" x14ac:dyDescent="0.2">
      <c r="A19" s="9">
        <v>25812</v>
      </c>
      <c r="B19" s="8">
        <v>10.7</v>
      </c>
      <c r="C19" s="8">
        <v>9.9</v>
      </c>
      <c r="D19" s="8">
        <v>10.9</v>
      </c>
      <c r="F19" s="8">
        <v>-1.8</v>
      </c>
      <c r="G19" s="8">
        <v>0</v>
      </c>
      <c r="H19" s="8">
        <v>-2.7</v>
      </c>
      <c r="I19" s="8">
        <v>-1.8</v>
      </c>
      <c r="J19" s="8">
        <v>0</v>
      </c>
      <c r="K19" s="8">
        <v>-2.7</v>
      </c>
      <c r="BJ19" s="8">
        <v>14.7</v>
      </c>
      <c r="BK19" s="8">
        <v>12.3</v>
      </c>
    </row>
    <row r="20" spans="1:63" x14ac:dyDescent="0.2">
      <c r="A20" s="9">
        <v>25903</v>
      </c>
      <c r="B20" s="8">
        <v>10.4</v>
      </c>
      <c r="C20" s="8">
        <v>10</v>
      </c>
      <c r="D20" s="8">
        <v>10.5</v>
      </c>
      <c r="F20" s="8">
        <v>-2.8</v>
      </c>
      <c r="G20" s="8">
        <v>1</v>
      </c>
      <c r="H20" s="8">
        <v>-3.7</v>
      </c>
      <c r="I20" s="8">
        <v>-2.8</v>
      </c>
      <c r="J20" s="8">
        <v>1</v>
      </c>
      <c r="K20" s="8">
        <v>-4.5</v>
      </c>
      <c r="BJ20" s="8">
        <v>13.7</v>
      </c>
      <c r="BK20" s="8">
        <v>12.2</v>
      </c>
    </row>
    <row r="21" spans="1:63" x14ac:dyDescent="0.2">
      <c r="A21" s="9">
        <v>25993</v>
      </c>
      <c r="B21" s="8">
        <v>10.6</v>
      </c>
      <c r="C21" s="8">
        <v>10.199999999999999</v>
      </c>
      <c r="D21" s="8">
        <v>10.6</v>
      </c>
      <c r="F21" s="8">
        <v>1.9</v>
      </c>
      <c r="G21" s="8">
        <v>2</v>
      </c>
      <c r="H21" s="8">
        <v>1</v>
      </c>
      <c r="I21" s="8">
        <v>-1.9</v>
      </c>
      <c r="J21" s="8">
        <v>3</v>
      </c>
      <c r="K21" s="8">
        <v>-4.5</v>
      </c>
      <c r="BJ21" s="8">
        <v>12.9</v>
      </c>
      <c r="BK21" s="8">
        <v>12.2</v>
      </c>
    </row>
    <row r="22" spans="1:63" x14ac:dyDescent="0.2">
      <c r="A22" s="9">
        <v>26085</v>
      </c>
      <c r="B22" s="8">
        <v>10.7</v>
      </c>
      <c r="C22" s="8">
        <v>10.3</v>
      </c>
      <c r="D22" s="8">
        <v>10.8</v>
      </c>
      <c r="F22" s="8">
        <v>0.9</v>
      </c>
      <c r="G22" s="8">
        <v>1</v>
      </c>
      <c r="H22" s="8">
        <v>1.9</v>
      </c>
      <c r="I22" s="8">
        <v>-1.8</v>
      </c>
      <c r="J22" s="8">
        <v>4</v>
      </c>
      <c r="K22" s="8">
        <v>-3.6</v>
      </c>
      <c r="BJ22" s="8">
        <v>12.7</v>
      </c>
      <c r="BK22" s="8">
        <v>12.2</v>
      </c>
    </row>
    <row r="23" spans="1:63" x14ac:dyDescent="0.2">
      <c r="A23" s="9">
        <v>26177</v>
      </c>
      <c r="B23" s="8">
        <v>11</v>
      </c>
      <c r="C23" s="8">
        <v>10.3</v>
      </c>
      <c r="D23" s="8">
        <v>11.2</v>
      </c>
      <c r="F23" s="8">
        <v>2.8</v>
      </c>
      <c r="G23" s="8">
        <v>0</v>
      </c>
      <c r="H23" s="8">
        <v>3.7</v>
      </c>
      <c r="I23" s="8">
        <v>2.8</v>
      </c>
      <c r="J23" s="8">
        <v>4</v>
      </c>
      <c r="K23" s="8">
        <v>2.8</v>
      </c>
      <c r="BJ23" s="8">
        <v>13</v>
      </c>
      <c r="BK23" s="8">
        <v>12.4</v>
      </c>
    </row>
    <row r="24" spans="1:63" x14ac:dyDescent="0.2">
      <c r="A24" s="9">
        <v>26268</v>
      </c>
      <c r="B24" s="8">
        <v>10.7</v>
      </c>
      <c r="C24" s="8">
        <v>10.3</v>
      </c>
      <c r="D24" s="8">
        <v>10.8</v>
      </c>
      <c r="F24" s="8">
        <v>-2.7</v>
      </c>
      <c r="G24" s="8">
        <v>0</v>
      </c>
      <c r="H24" s="8">
        <v>-3.6</v>
      </c>
      <c r="I24" s="8">
        <v>2.9</v>
      </c>
      <c r="J24" s="8">
        <v>3</v>
      </c>
      <c r="K24" s="8">
        <v>2.9</v>
      </c>
      <c r="BJ24" s="8">
        <v>12.1</v>
      </c>
      <c r="BK24" s="8">
        <v>12.4</v>
      </c>
    </row>
    <row r="25" spans="1:63" x14ac:dyDescent="0.2">
      <c r="A25" s="9">
        <v>26359</v>
      </c>
      <c r="B25" s="8">
        <v>10.8</v>
      </c>
      <c r="C25" s="8">
        <v>10.199999999999999</v>
      </c>
      <c r="D25" s="8">
        <v>11</v>
      </c>
      <c r="F25" s="8">
        <v>0.9</v>
      </c>
      <c r="G25" s="8">
        <v>-1</v>
      </c>
      <c r="H25" s="8">
        <v>1.9</v>
      </c>
      <c r="I25" s="8">
        <v>1.9</v>
      </c>
      <c r="J25" s="8">
        <v>0</v>
      </c>
      <c r="K25" s="8">
        <v>3.8</v>
      </c>
      <c r="BJ25" s="8">
        <v>12.1</v>
      </c>
      <c r="BK25" s="8">
        <v>12.7</v>
      </c>
    </row>
    <row r="26" spans="1:63" x14ac:dyDescent="0.2">
      <c r="A26" s="9">
        <v>26451</v>
      </c>
      <c r="B26" s="8">
        <v>10.9</v>
      </c>
      <c r="C26" s="8">
        <v>10.3</v>
      </c>
      <c r="D26" s="8">
        <v>11</v>
      </c>
      <c r="F26" s="8">
        <v>0.9</v>
      </c>
      <c r="G26" s="8">
        <v>1</v>
      </c>
      <c r="H26" s="8">
        <v>0</v>
      </c>
      <c r="I26" s="8">
        <v>1.9</v>
      </c>
      <c r="J26" s="8">
        <v>0</v>
      </c>
      <c r="K26" s="8">
        <v>1.9</v>
      </c>
      <c r="BJ26" s="8">
        <v>11.3</v>
      </c>
      <c r="BK26" s="8">
        <v>12.5</v>
      </c>
    </row>
    <row r="27" spans="1:63" x14ac:dyDescent="0.2">
      <c r="A27" s="9">
        <v>26543</v>
      </c>
      <c r="B27" s="8">
        <v>11.5</v>
      </c>
      <c r="C27" s="8">
        <v>10.3</v>
      </c>
      <c r="D27" s="8">
        <v>11.8</v>
      </c>
      <c r="F27" s="8">
        <v>5.5</v>
      </c>
      <c r="G27" s="8">
        <v>0</v>
      </c>
      <c r="H27" s="8">
        <v>7.3</v>
      </c>
      <c r="I27" s="8">
        <v>4.5</v>
      </c>
      <c r="J27" s="8">
        <v>0</v>
      </c>
      <c r="K27" s="8">
        <v>5.4</v>
      </c>
      <c r="BJ27" s="8">
        <v>11.6</v>
      </c>
      <c r="BK27" s="8">
        <v>12.8</v>
      </c>
    </row>
    <row r="28" spans="1:63" x14ac:dyDescent="0.2">
      <c r="A28" s="9">
        <v>26634</v>
      </c>
      <c r="B28" s="8">
        <v>11.5</v>
      </c>
      <c r="C28" s="8">
        <v>10.5</v>
      </c>
      <c r="D28" s="8">
        <v>11.9</v>
      </c>
      <c r="F28" s="8">
        <v>0</v>
      </c>
      <c r="G28" s="8">
        <v>1.9</v>
      </c>
      <c r="H28" s="8">
        <v>0.8</v>
      </c>
      <c r="I28" s="8">
        <v>7.5</v>
      </c>
      <c r="J28" s="8">
        <v>1.9</v>
      </c>
      <c r="K28" s="8">
        <v>10.199999999999999</v>
      </c>
      <c r="BJ28" s="8">
        <v>10.9</v>
      </c>
      <c r="BK28" s="8">
        <v>12.6</v>
      </c>
    </row>
    <row r="29" spans="1:63" x14ac:dyDescent="0.2">
      <c r="A29" s="9">
        <v>26724</v>
      </c>
      <c r="B29" s="8">
        <v>12.3</v>
      </c>
      <c r="C29" s="8">
        <v>10.3</v>
      </c>
      <c r="D29" s="8">
        <v>13.1</v>
      </c>
      <c r="F29" s="8">
        <v>7</v>
      </c>
      <c r="G29" s="8">
        <v>-1.9</v>
      </c>
      <c r="H29" s="8">
        <v>10.1</v>
      </c>
      <c r="I29" s="8">
        <v>13.9</v>
      </c>
      <c r="J29" s="8">
        <v>1</v>
      </c>
      <c r="K29" s="8">
        <v>19.100000000000001</v>
      </c>
      <c r="BJ29" s="8">
        <v>11.7</v>
      </c>
      <c r="BK29" s="8">
        <v>12.8</v>
      </c>
    </row>
    <row r="30" spans="1:63" x14ac:dyDescent="0.2">
      <c r="A30" s="9">
        <v>26816</v>
      </c>
      <c r="B30" s="8">
        <v>12.8</v>
      </c>
      <c r="C30" s="8">
        <v>10.3</v>
      </c>
      <c r="D30" s="8">
        <v>13.8</v>
      </c>
      <c r="F30" s="8">
        <v>4.0999999999999996</v>
      </c>
      <c r="G30" s="8">
        <v>0</v>
      </c>
      <c r="H30" s="8">
        <v>5.3</v>
      </c>
      <c r="I30" s="8">
        <v>17.399999999999999</v>
      </c>
      <c r="J30" s="8">
        <v>0</v>
      </c>
      <c r="K30" s="8">
        <v>25.5</v>
      </c>
      <c r="BJ30" s="8">
        <v>11.3</v>
      </c>
      <c r="BK30" s="8">
        <v>12.8</v>
      </c>
    </row>
    <row r="31" spans="1:63" x14ac:dyDescent="0.2">
      <c r="A31" s="9">
        <v>26908</v>
      </c>
      <c r="B31" s="8">
        <v>13.6</v>
      </c>
      <c r="C31" s="8">
        <v>10.8</v>
      </c>
      <c r="D31" s="8">
        <v>14.6</v>
      </c>
      <c r="F31" s="8">
        <v>6.3</v>
      </c>
      <c r="G31" s="8">
        <v>4.9000000000000004</v>
      </c>
      <c r="H31" s="8">
        <v>5.8</v>
      </c>
      <c r="I31" s="8">
        <v>18.3</v>
      </c>
      <c r="J31" s="8">
        <v>4.9000000000000004</v>
      </c>
      <c r="K31" s="8">
        <v>23.7</v>
      </c>
      <c r="BJ31" s="8">
        <v>11.5</v>
      </c>
      <c r="BK31" s="8">
        <v>13</v>
      </c>
    </row>
    <row r="32" spans="1:63" x14ac:dyDescent="0.2">
      <c r="A32" s="9">
        <v>26999</v>
      </c>
      <c r="B32" s="8">
        <v>13.8</v>
      </c>
      <c r="C32" s="8">
        <v>11.2</v>
      </c>
      <c r="D32" s="8">
        <v>14.8</v>
      </c>
      <c r="F32" s="8">
        <v>1.5</v>
      </c>
      <c r="G32" s="8">
        <v>3.7</v>
      </c>
      <c r="H32" s="8">
        <v>1.4</v>
      </c>
      <c r="I32" s="8">
        <v>20</v>
      </c>
      <c r="J32" s="8">
        <v>6.7</v>
      </c>
      <c r="K32" s="8">
        <v>24.4</v>
      </c>
      <c r="BJ32" s="8">
        <v>11.2</v>
      </c>
      <c r="BK32" s="8">
        <v>13.3</v>
      </c>
    </row>
    <row r="33" spans="1:63" x14ac:dyDescent="0.2">
      <c r="A33" s="9">
        <v>27089</v>
      </c>
      <c r="B33" s="8">
        <v>14.5</v>
      </c>
      <c r="C33" s="8">
        <v>13.2</v>
      </c>
      <c r="D33" s="8">
        <v>15</v>
      </c>
      <c r="F33" s="8">
        <v>5.0999999999999996</v>
      </c>
      <c r="G33" s="8">
        <v>17.899999999999999</v>
      </c>
      <c r="H33" s="8">
        <v>1.4</v>
      </c>
      <c r="I33" s="8">
        <v>17.899999999999999</v>
      </c>
      <c r="J33" s="8">
        <v>28.2</v>
      </c>
      <c r="K33" s="8">
        <v>14.5</v>
      </c>
      <c r="BJ33" s="8">
        <v>11.2</v>
      </c>
      <c r="BK33" s="8">
        <v>13.7</v>
      </c>
    </row>
    <row r="34" spans="1:63" x14ac:dyDescent="0.2">
      <c r="A34" s="9">
        <v>27181</v>
      </c>
      <c r="B34" s="8">
        <v>15</v>
      </c>
      <c r="C34" s="8">
        <v>15</v>
      </c>
      <c r="D34" s="8">
        <v>14.9</v>
      </c>
      <c r="F34" s="8">
        <v>3.4</v>
      </c>
      <c r="G34" s="8">
        <v>13.6</v>
      </c>
      <c r="H34" s="8">
        <v>-0.7</v>
      </c>
      <c r="I34" s="8">
        <v>17.2</v>
      </c>
      <c r="J34" s="8">
        <v>45.6</v>
      </c>
      <c r="K34" s="8">
        <v>8</v>
      </c>
      <c r="BJ34" s="8">
        <v>11.5</v>
      </c>
      <c r="BK34" s="8">
        <v>14</v>
      </c>
    </row>
    <row r="35" spans="1:63" x14ac:dyDescent="0.2">
      <c r="A35" s="9">
        <v>27273</v>
      </c>
      <c r="B35" s="8">
        <v>15.3</v>
      </c>
      <c r="C35" s="8">
        <v>16.3</v>
      </c>
      <c r="D35" s="8">
        <v>14.7</v>
      </c>
      <c r="F35" s="8">
        <v>2</v>
      </c>
      <c r="G35" s="8">
        <v>8.6999999999999993</v>
      </c>
      <c r="H35" s="8">
        <v>-1.3</v>
      </c>
      <c r="I35" s="8">
        <v>12.5</v>
      </c>
      <c r="J35" s="8">
        <v>50.9</v>
      </c>
      <c r="K35" s="8">
        <v>0.7</v>
      </c>
      <c r="BJ35" s="8">
        <v>12.7</v>
      </c>
      <c r="BK35" s="8">
        <v>14.3</v>
      </c>
    </row>
    <row r="36" spans="1:63" x14ac:dyDescent="0.2">
      <c r="A36" s="9">
        <v>27364</v>
      </c>
      <c r="B36" s="8">
        <v>15.1</v>
      </c>
      <c r="C36" s="8">
        <v>17.899999999999999</v>
      </c>
      <c r="D36" s="8">
        <v>14</v>
      </c>
      <c r="F36" s="8">
        <v>-1.3</v>
      </c>
      <c r="G36" s="8">
        <v>9.8000000000000007</v>
      </c>
      <c r="H36" s="8">
        <v>-4.8</v>
      </c>
      <c r="I36" s="8">
        <v>9.4</v>
      </c>
      <c r="J36" s="8">
        <v>59.8</v>
      </c>
      <c r="K36" s="8">
        <v>-5.4</v>
      </c>
      <c r="BJ36" s="8">
        <v>12.7</v>
      </c>
      <c r="BK36" s="8">
        <v>14.6</v>
      </c>
    </row>
    <row r="37" spans="1:63" x14ac:dyDescent="0.2">
      <c r="A37" s="9">
        <v>27454</v>
      </c>
      <c r="B37" s="8">
        <v>15.3</v>
      </c>
      <c r="C37" s="8">
        <v>18.7</v>
      </c>
      <c r="D37" s="8">
        <v>13.8</v>
      </c>
      <c r="F37" s="8">
        <v>1.3</v>
      </c>
      <c r="G37" s="8">
        <v>4.5</v>
      </c>
      <c r="H37" s="8">
        <v>-1.4</v>
      </c>
      <c r="I37" s="8">
        <v>5.5</v>
      </c>
      <c r="J37" s="8">
        <v>41.7</v>
      </c>
      <c r="K37" s="8">
        <v>-8</v>
      </c>
      <c r="BJ37" s="8">
        <v>14.6</v>
      </c>
      <c r="BK37" s="8">
        <v>16.2</v>
      </c>
    </row>
    <row r="38" spans="1:63" x14ac:dyDescent="0.2">
      <c r="A38" s="9">
        <v>27546</v>
      </c>
      <c r="B38" s="8">
        <v>15.6</v>
      </c>
      <c r="C38" s="8">
        <v>18.899999999999999</v>
      </c>
      <c r="D38" s="8">
        <v>14.2</v>
      </c>
      <c r="F38" s="8">
        <v>2</v>
      </c>
      <c r="G38" s="8">
        <v>1.1000000000000001</v>
      </c>
      <c r="H38" s="8">
        <v>2.9</v>
      </c>
      <c r="I38" s="8">
        <v>4</v>
      </c>
      <c r="J38" s="8">
        <v>26</v>
      </c>
      <c r="K38" s="8">
        <v>-4.7</v>
      </c>
      <c r="BJ38" s="8">
        <v>16.399999999999999</v>
      </c>
      <c r="BK38" s="8">
        <v>16.3</v>
      </c>
    </row>
    <row r="39" spans="1:63" x14ac:dyDescent="0.2">
      <c r="A39" s="9">
        <v>27638</v>
      </c>
      <c r="B39" s="8">
        <v>16</v>
      </c>
      <c r="C39" s="8">
        <v>19.2</v>
      </c>
      <c r="D39" s="8">
        <v>14.6</v>
      </c>
      <c r="F39" s="8">
        <v>2.6</v>
      </c>
      <c r="G39" s="8">
        <v>1.6</v>
      </c>
      <c r="H39" s="8">
        <v>2.8</v>
      </c>
      <c r="I39" s="8">
        <v>4.5999999999999996</v>
      </c>
      <c r="J39" s="8">
        <v>17.8</v>
      </c>
      <c r="K39" s="8">
        <v>-0.7</v>
      </c>
      <c r="BJ39" s="8">
        <v>16.5</v>
      </c>
      <c r="BK39" s="8">
        <v>16.5</v>
      </c>
    </row>
    <row r="40" spans="1:63" x14ac:dyDescent="0.2">
      <c r="A40" s="9">
        <v>27729</v>
      </c>
      <c r="B40" s="8">
        <v>16.600000000000001</v>
      </c>
      <c r="C40" s="8">
        <v>19.8</v>
      </c>
      <c r="D40" s="8">
        <v>15.2</v>
      </c>
      <c r="F40" s="8">
        <v>3.8</v>
      </c>
      <c r="G40" s="8">
        <v>3.1</v>
      </c>
      <c r="H40" s="8">
        <v>4.0999999999999996</v>
      </c>
      <c r="I40" s="8">
        <v>9.9</v>
      </c>
      <c r="J40" s="8">
        <v>10.6</v>
      </c>
      <c r="K40" s="8">
        <v>8.6</v>
      </c>
      <c r="BJ40" s="8">
        <v>16.5</v>
      </c>
      <c r="BK40" s="8">
        <v>16.399999999999999</v>
      </c>
    </row>
    <row r="41" spans="1:63" x14ac:dyDescent="0.2">
      <c r="A41" s="9">
        <v>27820</v>
      </c>
      <c r="B41" s="8">
        <v>17</v>
      </c>
      <c r="C41" s="8">
        <v>20.399999999999999</v>
      </c>
      <c r="D41" s="8">
        <v>15.6</v>
      </c>
      <c r="F41" s="8">
        <v>2.4</v>
      </c>
      <c r="G41" s="8">
        <v>3</v>
      </c>
      <c r="H41" s="8">
        <v>2.6</v>
      </c>
      <c r="I41" s="8">
        <v>11.1</v>
      </c>
      <c r="J41" s="8">
        <v>9.1</v>
      </c>
      <c r="K41" s="8">
        <v>13</v>
      </c>
      <c r="BJ41" s="8">
        <v>17.3</v>
      </c>
      <c r="BK41" s="8">
        <v>17.5</v>
      </c>
    </row>
    <row r="42" spans="1:63" x14ac:dyDescent="0.2">
      <c r="A42" s="9">
        <v>27912</v>
      </c>
      <c r="B42" s="8">
        <v>17.3</v>
      </c>
      <c r="C42" s="8">
        <v>20.8</v>
      </c>
      <c r="D42" s="8">
        <v>15.9</v>
      </c>
      <c r="F42" s="8">
        <v>1.8</v>
      </c>
      <c r="G42" s="8">
        <v>2</v>
      </c>
      <c r="H42" s="8">
        <v>1.9</v>
      </c>
      <c r="I42" s="8">
        <v>10.9</v>
      </c>
      <c r="J42" s="8">
        <v>10.1</v>
      </c>
      <c r="K42" s="8">
        <v>12</v>
      </c>
      <c r="BJ42" s="8">
        <v>16.899999999999999</v>
      </c>
      <c r="BK42" s="8">
        <v>17.600000000000001</v>
      </c>
    </row>
    <row r="43" spans="1:63" x14ac:dyDescent="0.2">
      <c r="A43" s="9">
        <v>28004</v>
      </c>
      <c r="B43" s="8">
        <v>18.3</v>
      </c>
      <c r="C43" s="8">
        <v>21</v>
      </c>
      <c r="D43" s="8">
        <v>17</v>
      </c>
      <c r="F43" s="8">
        <v>5.8</v>
      </c>
      <c r="G43" s="8">
        <v>1</v>
      </c>
      <c r="H43" s="8">
        <v>6.9</v>
      </c>
      <c r="I43" s="8">
        <v>14.4</v>
      </c>
      <c r="J43" s="8">
        <v>9.4</v>
      </c>
      <c r="K43" s="8">
        <v>16.399999999999999</v>
      </c>
      <c r="BJ43" s="8">
        <v>17.600000000000001</v>
      </c>
      <c r="BK43" s="8">
        <v>17.5</v>
      </c>
    </row>
    <row r="44" spans="1:63" x14ac:dyDescent="0.2">
      <c r="A44" s="9">
        <v>28095</v>
      </c>
      <c r="B44" s="8">
        <v>18.5</v>
      </c>
      <c r="C44" s="8">
        <v>21.8</v>
      </c>
      <c r="D44" s="8">
        <v>17</v>
      </c>
      <c r="F44" s="8">
        <v>1.1000000000000001</v>
      </c>
      <c r="G44" s="8">
        <v>3.8</v>
      </c>
      <c r="H44" s="8">
        <v>0</v>
      </c>
      <c r="I44" s="8">
        <v>11.4</v>
      </c>
      <c r="J44" s="8">
        <v>10.1</v>
      </c>
      <c r="K44" s="8">
        <v>11.8</v>
      </c>
      <c r="BJ44" s="8">
        <v>17.8</v>
      </c>
      <c r="BK44" s="8">
        <v>17.600000000000001</v>
      </c>
    </row>
    <row r="45" spans="1:63" x14ac:dyDescent="0.2">
      <c r="A45" s="9">
        <v>28185</v>
      </c>
      <c r="B45" s="8">
        <v>19.8</v>
      </c>
      <c r="C45" s="8">
        <v>24.3</v>
      </c>
      <c r="D45" s="8">
        <v>17.8</v>
      </c>
      <c r="F45" s="8">
        <v>7</v>
      </c>
      <c r="G45" s="8">
        <v>11.5</v>
      </c>
      <c r="H45" s="8">
        <v>4.7</v>
      </c>
      <c r="I45" s="8">
        <v>16.5</v>
      </c>
      <c r="J45" s="8">
        <v>19.100000000000001</v>
      </c>
      <c r="K45" s="8">
        <v>14.1</v>
      </c>
      <c r="BJ45" s="8">
        <v>15.8</v>
      </c>
      <c r="BK45" s="8">
        <v>19.2</v>
      </c>
    </row>
    <row r="46" spans="1:63" x14ac:dyDescent="0.2">
      <c r="A46" s="9">
        <v>28277</v>
      </c>
      <c r="B46" s="8">
        <v>20.399999999999999</v>
      </c>
      <c r="C46" s="8">
        <v>24.9</v>
      </c>
      <c r="D46" s="8">
        <v>18.5</v>
      </c>
      <c r="F46" s="8">
        <v>3</v>
      </c>
      <c r="G46" s="8">
        <v>2.5</v>
      </c>
      <c r="H46" s="8">
        <v>3.9</v>
      </c>
      <c r="I46" s="8">
        <v>17.899999999999999</v>
      </c>
      <c r="J46" s="8">
        <v>19.7</v>
      </c>
      <c r="K46" s="8">
        <v>16.399999999999999</v>
      </c>
      <c r="BJ46" s="8">
        <v>13.4</v>
      </c>
      <c r="BK46" s="8">
        <v>19</v>
      </c>
    </row>
    <row r="47" spans="1:63" x14ac:dyDescent="0.2">
      <c r="A47" s="9">
        <v>28369</v>
      </c>
      <c r="B47" s="8">
        <v>20.5</v>
      </c>
      <c r="C47" s="8">
        <v>25.1</v>
      </c>
      <c r="D47" s="8">
        <v>18.5</v>
      </c>
      <c r="F47" s="8">
        <v>0.5</v>
      </c>
      <c r="G47" s="8">
        <v>0.8</v>
      </c>
      <c r="H47" s="8">
        <v>0</v>
      </c>
      <c r="I47" s="8">
        <v>12</v>
      </c>
      <c r="J47" s="8">
        <v>19.5</v>
      </c>
      <c r="K47" s="8">
        <v>8.8000000000000007</v>
      </c>
      <c r="BJ47" s="8">
        <v>13.5</v>
      </c>
      <c r="BK47" s="8">
        <v>19</v>
      </c>
    </row>
    <row r="48" spans="1:63" x14ac:dyDescent="0.2">
      <c r="A48" s="9">
        <v>28460</v>
      </c>
      <c r="B48" s="8">
        <v>20.399999999999999</v>
      </c>
      <c r="C48" s="8">
        <v>25.3</v>
      </c>
      <c r="D48" s="8">
        <v>18.3</v>
      </c>
      <c r="F48" s="8">
        <v>-0.5</v>
      </c>
      <c r="G48" s="8">
        <v>0.8</v>
      </c>
      <c r="H48" s="8">
        <v>-1.1000000000000001</v>
      </c>
      <c r="I48" s="8">
        <v>10.3</v>
      </c>
      <c r="J48" s="8">
        <v>16.100000000000001</v>
      </c>
      <c r="K48" s="8">
        <v>7.6</v>
      </c>
      <c r="BJ48" s="8">
        <v>13.4</v>
      </c>
      <c r="BK48" s="8">
        <v>19.3</v>
      </c>
    </row>
    <row r="49" spans="1:63" x14ac:dyDescent="0.2">
      <c r="A49" s="9">
        <v>28550</v>
      </c>
      <c r="B49" s="8">
        <v>21.1</v>
      </c>
      <c r="C49" s="8">
        <v>25.4</v>
      </c>
      <c r="D49" s="8">
        <v>19.2</v>
      </c>
      <c r="F49" s="8">
        <v>3.4</v>
      </c>
      <c r="G49" s="8">
        <v>0.4</v>
      </c>
      <c r="H49" s="8">
        <v>4.9000000000000004</v>
      </c>
      <c r="I49" s="8">
        <v>6.6</v>
      </c>
      <c r="J49" s="8">
        <v>4.5</v>
      </c>
      <c r="K49" s="8">
        <v>7.9</v>
      </c>
      <c r="BJ49" s="8">
        <v>14.3</v>
      </c>
      <c r="BK49" s="8">
        <v>20.3</v>
      </c>
    </row>
    <row r="50" spans="1:63" x14ac:dyDescent="0.2">
      <c r="A50" s="9">
        <v>28642</v>
      </c>
      <c r="B50" s="8">
        <v>21.9</v>
      </c>
      <c r="C50" s="8">
        <v>25.6</v>
      </c>
      <c r="D50" s="8">
        <v>20.2</v>
      </c>
      <c r="F50" s="8">
        <v>3.8</v>
      </c>
      <c r="G50" s="8">
        <v>0.8</v>
      </c>
      <c r="H50" s="8">
        <v>5.2</v>
      </c>
      <c r="I50" s="8">
        <v>7.4</v>
      </c>
      <c r="J50" s="8">
        <v>2.8</v>
      </c>
      <c r="K50" s="8">
        <v>9.1999999999999993</v>
      </c>
      <c r="BJ50" s="8">
        <v>14.2</v>
      </c>
      <c r="BK50" s="8">
        <v>20.7</v>
      </c>
    </row>
    <row r="51" spans="1:63" x14ac:dyDescent="0.2">
      <c r="A51" s="9">
        <v>28734</v>
      </c>
      <c r="B51" s="8">
        <v>23.4</v>
      </c>
      <c r="C51" s="8">
        <v>25.9</v>
      </c>
      <c r="D51" s="8">
        <v>22.3</v>
      </c>
      <c r="F51" s="8">
        <v>6.8</v>
      </c>
      <c r="G51" s="8">
        <v>1.2</v>
      </c>
      <c r="H51" s="8">
        <v>10.4</v>
      </c>
      <c r="I51" s="8">
        <v>14.1</v>
      </c>
      <c r="J51" s="8">
        <v>3.2</v>
      </c>
      <c r="K51" s="8">
        <v>20.5</v>
      </c>
      <c r="BJ51" s="8">
        <v>14.3</v>
      </c>
      <c r="BK51" s="8">
        <v>20.8</v>
      </c>
    </row>
    <row r="52" spans="1:63" x14ac:dyDescent="0.2">
      <c r="A52" s="9">
        <v>28825</v>
      </c>
      <c r="B52" s="8">
        <v>24.6</v>
      </c>
      <c r="C52" s="8">
        <v>26.2</v>
      </c>
      <c r="D52" s="8">
        <v>23.8</v>
      </c>
      <c r="F52" s="8">
        <v>5.0999999999999996</v>
      </c>
      <c r="G52" s="8">
        <v>1.2</v>
      </c>
      <c r="H52" s="8">
        <v>6.7</v>
      </c>
      <c r="I52" s="8">
        <v>20.6</v>
      </c>
      <c r="J52" s="8">
        <v>3.6</v>
      </c>
      <c r="K52" s="8">
        <v>30.1</v>
      </c>
      <c r="BJ52" s="8">
        <v>14.6</v>
      </c>
      <c r="BK52" s="8">
        <v>21.1</v>
      </c>
    </row>
    <row r="53" spans="1:63" x14ac:dyDescent="0.2">
      <c r="A53" s="9">
        <v>28915</v>
      </c>
      <c r="B53" s="8">
        <v>26.8</v>
      </c>
      <c r="C53" s="8">
        <v>27.2</v>
      </c>
      <c r="D53" s="8">
        <v>26.6</v>
      </c>
      <c r="F53" s="8">
        <v>8.9</v>
      </c>
      <c r="G53" s="8">
        <v>3.8</v>
      </c>
      <c r="H53" s="8">
        <v>11.8</v>
      </c>
      <c r="I53" s="8">
        <v>27</v>
      </c>
      <c r="J53" s="8">
        <v>7.1</v>
      </c>
      <c r="K53" s="8">
        <v>38.5</v>
      </c>
      <c r="BJ53" s="8">
        <v>15</v>
      </c>
      <c r="BK53" s="8">
        <v>21.9</v>
      </c>
    </row>
    <row r="54" spans="1:63" x14ac:dyDescent="0.2">
      <c r="A54" s="9">
        <v>29007</v>
      </c>
      <c r="B54" s="8">
        <v>30.2</v>
      </c>
      <c r="C54" s="8">
        <v>29.6</v>
      </c>
      <c r="D54" s="8">
        <v>30.3</v>
      </c>
      <c r="F54" s="8">
        <v>12.7</v>
      </c>
      <c r="G54" s="8">
        <v>8.8000000000000007</v>
      </c>
      <c r="H54" s="8">
        <v>13.9</v>
      </c>
      <c r="I54" s="8">
        <v>37.9</v>
      </c>
      <c r="J54" s="8">
        <v>15.6</v>
      </c>
      <c r="K54" s="8">
        <v>50</v>
      </c>
      <c r="BJ54" s="8">
        <v>15</v>
      </c>
      <c r="BK54" s="8">
        <v>21.8</v>
      </c>
    </row>
    <row r="55" spans="1:63" x14ac:dyDescent="0.2">
      <c r="A55" s="9">
        <v>29099</v>
      </c>
      <c r="B55" s="8">
        <v>31.4</v>
      </c>
      <c r="C55" s="8">
        <v>32.700000000000003</v>
      </c>
      <c r="D55" s="8">
        <v>30.8</v>
      </c>
      <c r="F55" s="8">
        <v>4</v>
      </c>
      <c r="G55" s="8">
        <v>10.5</v>
      </c>
      <c r="H55" s="8">
        <v>1.7</v>
      </c>
      <c r="I55" s="8">
        <v>34.200000000000003</v>
      </c>
      <c r="J55" s="8">
        <v>26.3</v>
      </c>
      <c r="K55" s="8">
        <v>38.1</v>
      </c>
      <c r="BJ55" s="8">
        <v>15.3</v>
      </c>
      <c r="BK55" s="8">
        <v>22.1</v>
      </c>
    </row>
    <row r="56" spans="1:63" x14ac:dyDescent="0.2">
      <c r="A56" s="9">
        <v>29190</v>
      </c>
      <c r="B56" s="8">
        <v>33</v>
      </c>
      <c r="C56" s="8">
        <v>34.6</v>
      </c>
      <c r="D56" s="8">
        <v>32.299999999999997</v>
      </c>
      <c r="F56" s="8">
        <v>5.0999999999999996</v>
      </c>
      <c r="G56" s="8">
        <v>5.8</v>
      </c>
      <c r="H56" s="8">
        <v>4.9000000000000004</v>
      </c>
      <c r="I56" s="8">
        <v>34.1</v>
      </c>
      <c r="J56" s="8">
        <v>32.1</v>
      </c>
      <c r="K56" s="8">
        <v>35.700000000000003</v>
      </c>
      <c r="BJ56" s="8">
        <v>15.3</v>
      </c>
      <c r="BK56" s="8">
        <v>22.6</v>
      </c>
    </row>
    <row r="57" spans="1:63" x14ac:dyDescent="0.2">
      <c r="A57" s="9">
        <v>29281</v>
      </c>
      <c r="B57" s="8">
        <v>36.1</v>
      </c>
      <c r="C57" s="8">
        <v>37.9</v>
      </c>
      <c r="D57" s="8">
        <v>35.200000000000003</v>
      </c>
      <c r="F57" s="8">
        <v>9.4</v>
      </c>
      <c r="G57" s="8">
        <v>9.5</v>
      </c>
      <c r="H57" s="8">
        <v>9</v>
      </c>
      <c r="I57" s="8">
        <v>34.700000000000003</v>
      </c>
      <c r="J57" s="8">
        <v>39.299999999999997</v>
      </c>
      <c r="K57" s="8">
        <v>32.299999999999997</v>
      </c>
      <c r="BJ57" s="8">
        <v>16.2</v>
      </c>
      <c r="BK57" s="8">
        <v>23.6</v>
      </c>
    </row>
    <row r="58" spans="1:63" x14ac:dyDescent="0.2">
      <c r="A58" s="9">
        <v>29373</v>
      </c>
      <c r="B58" s="8">
        <v>35.299999999999997</v>
      </c>
      <c r="C58" s="8">
        <v>39.5</v>
      </c>
      <c r="D58" s="8">
        <v>33.4</v>
      </c>
      <c r="F58" s="8">
        <v>-2.2000000000000002</v>
      </c>
      <c r="G58" s="8">
        <v>4.2</v>
      </c>
      <c r="H58" s="8">
        <v>-5.0999999999999996</v>
      </c>
      <c r="I58" s="8">
        <v>16.899999999999999</v>
      </c>
      <c r="J58" s="8">
        <v>33.4</v>
      </c>
      <c r="K58" s="8">
        <v>10.199999999999999</v>
      </c>
      <c r="BJ58" s="8">
        <v>16.2</v>
      </c>
      <c r="BK58" s="8">
        <v>23.6</v>
      </c>
    </row>
    <row r="59" spans="1:63" x14ac:dyDescent="0.2">
      <c r="A59" s="9">
        <v>29465</v>
      </c>
      <c r="B59" s="8">
        <v>37</v>
      </c>
      <c r="C59" s="8">
        <v>40</v>
      </c>
      <c r="D59" s="8">
        <v>35.5</v>
      </c>
      <c r="F59" s="8">
        <v>4.8</v>
      </c>
      <c r="G59" s="8">
        <v>1.3</v>
      </c>
      <c r="H59" s="8">
        <v>6.3</v>
      </c>
      <c r="I59" s="8">
        <v>17.8</v>
      </c>
      <c r="J59" s="8">
        <v>22.3</v>
      </c>
      <c r="K59" s="8">
        <v>15.3</v>
      </c>
      <c r="BJ59" s="8">
        <v>17</v>
      </c>
      <c r="BK59" s="8">
        <v>24.4</v>
      </c>
    </row>
    <row r="60" spans="1:63" x14ac:dyDescent="0.2">
      <c r="A60" s="9">
        <v>29556</v>
      </c>
      <c r="B60" s="8">
        <v>37</v>
      </c>
      <c r="C60" s="8">
        <v>40.1</v>
      </c>
      <c r="D60" s="8">
        <v>35.5</v>
      </c>
      <c r="F60" s="8">
        <v>0</v>
      </c>
      <c r="G60" s="8">
        <v>0.3</v>
      </c>
      <c r="H60" s="8">
        <v>0</v>
      </c>
      <c r="I60" s="8">
        <v>12.1</v>
      </c>
      <c r="J60" s="8">
        <v>15.9</v>
      </c>
      <c r="K60" s="8">
        <v>9.9</v>
      </c>
      <c r="BJ60" s="8">
        <v>17</v>
      </c>
      <c r="BK60" s="8">
        <v>24.9</v>
      </c>
    </row>
    <row r="61" spans="1:63" x14ac:dyDescent="0.2">
      <c r="A61" s="9">
        <v>29646</v>
      </c>
      <c r="B61" s="8">
        <v>37.700000000000003</v>
      </c>
      <c r="C61" s="8">
        <v>41.2</v>
      </c>
      <c r="D61" s="8">
        <v>36</v>
      </c>
      <c r="F61" s="8">
        <v>1.9</v>
      </c>
      <c r="G61" s="8">
        <v>2.7</v>
      </c>
      <c r="H61" s="8">
        <v>1.4</v>
      </c>
      <c r="I61" s="8">
        <v>4.4000000000000004</v>
      </c>
      <c r="J61" s="8">
        <v>8.6999999999999993</v>
      </c>
      <c r="K61" s="8">
        <v>2.2999999999999998</v>
      </c>
      <c r="BJ61" s="8">
        <v>17.399999999999999</v>
      </c>
      <c r="BK61" s="8">
        <v>27</v>
      </c>
    </row>
    <row r="62" spans="1:63" x14ac:dyDescent="0.2">
      <c r="A62" s="9">
        <v>29738</v>
      </c>
      <c r="B62" s="8">
        <v>37.6</v>
      </c>
      <c r="C62" s="8">
        <v>41.8</v>
      </c>
      <c r="D62" s="8">
        <v>35.700000000000003</v>
      </c>
      <c r="F62" s="8">
        <v>-0.3</v>
      </c>
      <c r="G62" s="8">
        <v>1.5</v>
      </c>
      <c r="H62" s="8">
        <v>-0.8</v>
      </c>
      <c r="I62" s="8">
        <v>6.5</v>
      </c>
      <c r="J62" s="8">
        <v>5.8</v>
      </c>
      <c r="K62" s="8">
        <v>6.9</v>
      </c>
      <c r="BJ62" s="8">
        <v>17.3</v>
      </c>
      <c r="BK62" s="8">
        <v>27.2</v>
      </c>
    </row>
    <row r="63" spans="1:63" x14ac:dyDescent="0.2">
      <c r="A63" s="9">
        <v>29830</v>
      </c>
      <c r="B63" s="8">
        <v>37.9</v>
      </c>
      <c r="C63" s="8">
        <v>42.1</v>
      </c>
      <c r="D63" s="8">
        <v>36</v>
      </c>
      <c r="F63" s="8">
        <v>0.8</v>
      </c>
      <c r="G63" s="8">
        <v>0.7</v>
      </c>
      <c r="H63" s="8">
        <v>0.8</v>
      </c>
      <c r="I63" s="8">
        <v>2.4</v>
      </c>
      <c r="J63" s="8">
        <v>5.3</v>
      </c>
      <c r="K63" s="8">
        <v>1.4</v>
      </c>
      <c r="BJ63" s="8">
        <v>18.399999999999999</v>
      </c>
      <c r="BK63" s="8">
        <v>27.9</v>
      </c>
    </row>
    <row r="64" spans="1:63" x14ac:dyDescent="0.2">
      <c r="A64" s="9">
        <v>29921</v>
      </c>
      <c r="B64" s="8">
        <v>37.1</v>
      </c>
      <c r="C64" s="8">
        <v>42.3</v>
      </c>
      <c r="D64" s="8">
        <v>34.700000000000003</v>
      </c>
      <c r="F64" s="8">
        <v>-2.1</v>
      </c>
      <c r="G64" s="8">
        <v>0.5</v>
      </c>
      <c r="H64" s="8">
        <v>-3.6</v>
      </c>
      <c r="I64" s="8">
        <v>0.3</v>
      </c>
      <c r="J64" s="8">
        <v>5.5</v>
      </c>
      <c r="K64" s="8">
        <v>-2.2999999999999998</v>
      </c>
      <c r="BJ64" s="8">
        <v>18.8</v>
      </c>
      <c r="BK64" s="8">
        <v>29.5</v>
      </c>
    </row>
    <row r="65" spans="1:63" x14ac:dyDescent="0.2">
      <c r="A65" s="9">
        <v>30011</v>
      </c>
      <c r="B65" s="8">
        <v>37.700000000000003</v>
      </c>
      <c r="C65" s="8">
        <v>43.2</v>
      </c>
      <c r="D65" s="8">
        <v>35.299999999999997</v>
      </c>
      <c r="F65" s="8">
        <v>1.6</v>
      </c>
      <c r="G65" s="8">
        <v>2.1</v>
      </c>
      <c r="H65" s="8">
        <v>1.7</v>
      </c>
      <c r="I65" s="8">
        <v>0</v>
      </c>
      <c r="J65" s="8">
        <v>4.9000000000000004</v>
      </c>
      <c r="K65" s="8">
        <v>-1.9</v>
      </c>
      <c r="BJ65" s="8">
        <v>21.1</v>
      </c>
      <c r="BK65" s="8">
        <v>33.5</v>
      </c>
    </row>
    <row r="66" spans="1:63" x14ac:dyDescent="0.2">
      <c r="A66" s="9">
        <v>30103</v>
      </c>
      <c r="B66" s="8">
        <v>38.9</v>
      </c>
      <c r="C66" s="8">
        <v>44.4</v>
      </c>
      <c r="D66" s="8">
        <v>36.4</v>
      </c>
      <c r="F66" s="8">
        <v>3.2</v>
      </c>
      <c r="G66" s="8">
        <v>2.8</v>
      </c>
      <c r="H66" s="8">
        <v>3.1</v>
      </c>
      <c r="I66" s="8">
        <v>3.5</v>
      </c>
      <c r="J66" s="8">
        <v>6.2</v>
      </c>
      <c r="K66" s="8">
        <v>2</v>
      </c>
      <c r="BJ66" s="8">
        <v>21.4</v>
      </c>
      <c r="BK66" s="8">
        <v>33.9</v>
      </c>
    </row>
    <row r="67" spans="1:63" x14ac:dyDescent="0.2">
      <c r="A67" s="9">
        <v>30195</v>
      </c>
      <c r="B67" s="8">
        <v>39.4</v>
      </c>
      <c r="C67" s="8">
        <v>45.3</v>
      </c>
      <c r="D67" s="8">
        <v>36.700000000000003</v>
      </c>
      <c r="F67" s="8">
        <v>1.3</v>
      </c>
      <c r="G67" s="8">
        <v>2</v>
      </c>
      <c r="H67" s="8">
        <v>0.8</v>
      </c>
      <c r="I67" s="8">
        <v>4</v>
      </c>
      <c r="J67" s="8">
        <v>7.6</v>
      </c>
      <c r="K67" s="8">
        <v>1.9</v>
      </c>
      <c r="BJ67" s="8">
        <v>23</v>
      </c>
      <c r="BK67" s="8">
        <v>39.799999999999997</v>
      </c>
    </row>
    <row r="68" spans="1:63" x14ac:dyDescent="0.2">
      <c r="A68" s="9">
        <v>30286</v>
      </c>
      <c r="B68" s="8">
        <v>39.700000000000003</v>
      </c>
      <c r="C68" s="8">
        <v>46.2</v>
      </c>
      <c r="D68" s="8">
        <v>37</v>
      </c>
      <c r="F68" s="8">
        <v>0.8</v>
      </c>
      <c r="G68" s="8">
        <v>2</v>
      </c>
      <c r="H68" s="8">
        <v>0.8</v>
      </c>
      <c r="I68" s="8">
        <v>7</v>
      </c>
      <c r="J68" s="8">
        <v>9.1999999999999993</v>
      </c>
      <c r="K68" s="8">
        <v>6.6</v>
      </c>
      <c r="BJ68" s="8">
        <v>24.8</v>
      </c>
      <c r="BK68" s="8">
        <v>41.7</v>
      </c>
    </row>
    <row r="69" spans="1:63" x14ac:dyDescent="0.2">
      <c r="A69" s="9">
        <v>30376</v>
      </c>
      <c r="B69" s="8">
        <v>41.2</v>
      </c>
      <c r="C69" s="8">
        <v>45.5</v>
      </c>
      <c r="D69" s="8">
        <v>39.200000000000003</v>
      </c>
      <c r="F69" s="8">
        <v>3.8</v>
      </c>
      <c r="G69" s="8">
        <v>-1.5</v>
      </c>
      <c r="H69" s="8">
        <v>5.9</v>
      </c>
      <c r="I69" s="8">
        <v>9.3000000000000007</v>
      </c>
      <c r="J69" s="8">
        <v>5.3</v>
      </c>
      <c r="K69" s="8">
        <v>11</v>
      </c>
      <c r="BJ69" s="8">
        <v>28</v>
      </c>
      <c r="BK69" s="8">
        <v>41.3</v>
      </c>
    </row>
    <row r="70" spans="1:63" x14ac:dyDescent="0.2">
      <c r="A70" s="9">
        <v>30468</v>
      </c>
      <c r="B70" s="8">
        <v>43.5</v>
      </c>
      <c r="C70" s="8">
        <v>46.5</v>
      </c>
      <c r="D70" s="8">
        <v>42.1</v>
      </c>
      <c r="F70" s="8">
        <v>5.6</v>
      </c>
      <c r="G70" s="8">
        <v>2.2000000000000002</v>
      </c>
      <c r="H70" s="8">
        <v>7.4</v>
      </c>
      <c r="I70" s="8">
        <v>11.8</v>
      </c>
      <c r="J70" s="8">
        <v>4.7</v>
      </c>
      <c r="K70" s="8">
        <v>15.7</v>
      </c>
      <c r="BJ70" s="8">
        <v>28.2</v>
      </c>
      <c r="BK70" s="8">
        <v>41.3</v>
      </c>
    </row>
    <row r="71" spans="1:63" x14ac:dyDescent="0.2">
      <c r="A71" s="9">
        <v>30560</v>
      </c>
      <c r="B71" s="8">
        <v>42.7</v>
      </c>
      <c r="C71" s="8">
        <v>46.8</v>
      </c>
      <c r="D71" s="8">
        <v>40.9</v>
      </c>
      <c r="F71" s="8">
        <v>-1.8</v>
      </c>
      <c r="G71" s="8">
        <v>0.6</v>
      </c>
      <c r="H71" s="8">
        <v>-2.9</v>
      </c>
      <c r="I71" s="8">
        <v>8.4</v>
      </c>
      <c r="J71" s="8">
        <v>3.3</v>
      </c>
      <c r="K71" s="8">
        <v>11.4</v>
      </c>
      <c r="BJ71" s="8">
        <v>30.5</v>
      </c>
      <c r="BK71" s="8">
        <v>42.1</v>
      </c>
    </row>
    <row r="72" spans="1:63" x14ac:dyDescent="0.2">
      <c r="A72" s="9">
        <v>30651</v>
      </c>
      <c r="B72" s="8">
        <v>42</v>
      </c>
      <c r="C72" s="8">
        <v>46.6</v>
      </c>
      <c r="D72" s="8">
        <v>39.9</v>
      </c>
      <c r="F72" s="8">
        <v>-1.6</v>
      </c>
      <c r="G72" s="8">
        <v>-0.4</v>
      </c>
      <c r="H72" s="8">
        <v>-2.4</v>
      </c>
      <c r="I72" s="8">
        <v>5.8</v>
      </c>
      <c r="J72" s="8">
        <v>0.9</v>
      </c>
      <c r="K72" s="8">
        <v>7.8</v>
      </c>
      <c r="BJ72" s="8">
        <v>31.1</v>
      </c>
      <c r="BK72" s="8">
        <v>43.4</v>
      </c>
    </row>
    <row r="73" spans="1:63" x14ac:dyDescent="0.2">
      <c r="A73" s="9">
        <v>30742</v>
      </c>
      <c r="B73" s="8">
        <v>42.4</v>
      </c>
      <c r="C73" s="8">
        <v>46.6</v>
      </c>
      <c r="D73" s="8">
        <v>40.6</v>
      </c>
      <c r="F73" s="8">
        <v>1</v>
      </c>
      <c r="G73" s="8">
        <v>0</v>
      </c>
      <c r="H73" s="8">
        <v>1.8</v>
      </c>
      <c r="I73" s="8">
        <v>2.9</v>
      </c>
      <c r="J73" s="8">
        <v>2.4</v>
      </c>
      <c r="K73" s="8">
        <v>3.6</v>
      </c>
      <c r="BJ73" s="8">
        <v>33.1</v>
      </c>
      <c r="BK73" s="8">
        <v>43.7</v>
      </c>
    </row>
    <row r="74" spans="1:63" x14ac:dyDescent="0.2">
      <c r="A74" s="9">
        <v>30834</v>
      </c>
      <c r="B74" s="8">
        <v>42.6</v>
      </c>
      <c r="C74" s="8">
        <v>46.9</v>
      </c>
      <c r="D74" s="8">
        <v>40.799999999999997</v>
      </c>
      <c r="F74" s="8">
        <v>0.5</v>
      </c>
      <c r="G74" s="8">
        <v>0.6</v>
      </c>
      <c r="H74" s="8">
        <v>0.5</v>
      </c>
      <c r="I74" s="8">
        <v>-2.1</v>
      </c>
      <c r="J74" s="8">
        <v>0.9</v>
      </c>
      <c r="K74" s="8">
        <v>-3.1</v>
      </c>
      <c r="BJ74" s="8">
        <v>33.799999999999997</v>
      </c>
      <c r="BK74" s="8">
        <v>43.7</v>
      </c>
    </row>
    <row r="75" spans="1:63" x14ac:dyDescent="0.2">
      <c r="A75" s="9">
        <v>30926</v>
      </c>
      <c r="B75" s="8">
        <v>43.4</v>
      </c>
      <c r="C75" s="8">
        <v>48.2</v>
      </c>
      <c r="D75" s="8">
        <v>40.700000000000003</v>
      </c>
      <c r="F75" s="8">
        <v>1.9</v>
      </c>
      <c r="G75" s="8">
        <v>2.8</v>
      </c>
      <c r="H75" s="8">
        <v>-0.2</v>
      </c>
      <c r="I75" s="8">
        <v>1.6</v>
      </c>
      <c r="J75" s="8">
        <v>3</v>
      </c>
      <c r="K75" s="8">
        <v>-0.5</v>
      </c>
      <c r="BJ75" s="8">
        <v>34</v>
      </c>
      <c r="BK75" s="8">
        <v>44.2</v>
      </c>
    </row>
    <row r="76" spans="1:63" x14ac:dyDescent="0.2">
      <c r="A76" s="9">
        <v>31017</v>
      </c>
      <c r="B76" s="8">
        <v>43</v>
      </c>
      <c r="C76" s="8">
        <v>48.7</v>
      </c>
      <c r="D76" s="8">
        <v>40.299999999999997</v>
      </c>
      <c r="F76" s="8">
        <v>-0.9</v>
      </c>
      <c r="G76" s="8">
        <v>1</v>
      </c>
      <c r="H76" s="8">
        <v>-1</v>
      </c>
      <c r="I76" s="8">
        <v>2.4</v>
      </c>
      <c r="J76" s="8">
        <v>4.5</v>
      </c>
      <c r="K76" s="8">
        <v>1</v>
      </c>
      <c r="BJ76" s="8">
        <v>34</v>
      </c>
      <c r="BK76" s="8">
        <v>44.5</v>
      </c>
    </row>
    <row r="77" spans="1:63" x14ac:dyDescent="0.2">
      <c r="A77" s="9">
        <v>31107</v>
      </c>
      <c r="B77" s="8">
        <v>44.2</v>
      </c>
      <c r="C77" s="8">
        <v>50.5</v>
      </c>
      <c r="D77" s="8">
        <v>41.5</v>
      </c>
      <c r="F77" s="8">
        <v>2.8</v>
      </c>
      <c r="G77" s="8">
        <v>3.7</v>
      </c>
      <c r="H77" s="8">
        <v>3</v>
      </c>
      <c r="I77" s="8">
        <v>4.2</v>
      </c>
      <c r="J77" s="8">
        <v>8.4</v>
      </c>
      <c r="K77" s="8">
        <v>2.2000000000000002</v>
      </c>
      <c r="BJ77" s="8">
        <v>35</v>
      </c>
      <c r="BK77" s="8">
        <v>44.7</v>
      </c>
    </row>
    <row r="78" spans="1:63" x14ac:dyDescent="0.2">
      <c r="A78" s="9">
        <v>31199</v>
      </c>
      <c r="B78" s="8">
        <v>47.7</v>
      </c>
      <c r="C78" s="8">
        <v>56.1</v>
      </c>
      <c r="D78" s="8">
        <v>44.7</v>
      </c>
      <c r="F78" s="8">
        <v>7.9</v>
      </c>
      <c r="G78" s="8">
        <v>11.1</v>
      </c>
      <c r="H78" s="8">
        <v>7.7</v>
      </c>
      <c r="I78" s="8">
        <v>12</v>
      </c>
      <c r="J78" s="8">
        <v>19.600000000000001</v>
      </c>
      <c r="K78" s="8">
        <v>9.6</v>
      </c>
      <c r="BJ78" s="8">
        <v>35.4</v>
      </c>
      <c r="BK78" s="8">
        <v>44.8</v>
      </c>
    </row>
    <row r="79" spans="1:63" x14ac:dyDescent="0.2">
      <c r="A79" s="9">
        <v>31291</v>
      </c>
      <c r="B79" s="8">
        <v>49.1</v>
      </c>
      <c r="C79" s="8">
        <v>57.6</v>
      </c>
      <c r="D79" s="8">
        <v>45.2</v>
      </c>
      <c r="F79" s="8">
        <v>2.9</v>
      </c>
      <c r="G79" s="8">
        <v>2.7</v>
      </c>
      <c r="H79" s="8">
        <v>1.1000000000000001</v>
      </c>
      <c r="I79" s="8">
        <v>13.1</v>
      </c>
      <c r="J79" s="8">
        <v>19.5</v>
      </c>
      <c r="K79" s="8">
        <v>11.1</v>
      </c>
      <c r="BJ79" s="8">
        <v>36.200000000000003</v>
      </c>
      <c r="BK79" s="8">
        <v>46</v>
      </c>
    </row>
    <row r="80" spans="1:63" x14ac:dyDescent="0.2">
      <c r="A80" s="9">
        <v>31382</v>
      </c>
      <c r="B80" s="8">
        <v>48.8</v>
      </c>
      <c r="C80" s="8">
        <v>59</v>
      </c>
      <c r="D80" s="8">
        <v>44.2</v>
      </c>
      <c r="F80" s="8">
        <v>-0.6</v>
      </c>
      <c r="G80" s="8">
        <v>2.4</v>
      </c>
      <c r="H80" s="8">
        <v>-2.2000000000000002</v>
      </c>
      <c r="I80" s="8">
        <v>13.5</v>
      </c>
      <c r="J80" s="8">
        <v>21.1</v>
      </c>
      <c r="K80" s="8">
        <v>9.6999999999999993</v>
      </c>
      <c r="BJ80" s="8">
        <v>36.799999999999997</v>
      </c>
      <c r="BK80" s="8">
        <v>45.4</v>
      </c>
    </row>
    <row r="81" spans="1:63" x14ac:dyDescent="0.2">
      <c r="A81" s="9">
        <v>31472</v>
      </c>
      <c r="B81" s="8">
        <v>47.3</v>
      </c>
      <c r="C81" s="8">
        <v>56.7</v>
      </c>
      <c r="D81" s="8">
        <v>43</v>
      </c>
      <c r="F81" s="8">
        <v>-3.1</v>
      </c>
      <c r="G81" s="8">
        <v>-3.9</v>
      </c>
      <c r="H81" s="8">
        <v>-2.7</v>
      </c>
      <c r="I81" s="8">
        <v>7</v>
      </c>
      <c r="J81" s="8">
        <v>12.3</v>
      </c>
      <c r="K81" s="8">
        <v>3.6</v>
      </c>
      <c r="BJ81" s="8">
        <v>37.1</v>
      </c>
      <c r="BK81" s="8">
        <v>45.6</v>
      </c>
    </row>
    <row r="82" spans="1:63" x14ac:dyDescent="0.2">
      <c r="A82" s="9">
        <v>31564</v>
      </c>
      <c r="B82" s="8">
        <v>42.2</v>
      </c>
      <c r="C82" s="8">
        <v>54.1</v>
      </c>
      <c r="D82" s="8">
        <v>36.9</v>
      </c>
      <c r="F82" s="8">
        <v>-10.8</v>
      </c>
      <c r="G82" s="8">
        <v>-4.5999999999999996</v>
      </c>
      <c r="H82" s="8">
        <v>-14.2</v>
      </c>
      <c r="I82" s="8">
        <v>-11.5</v>
      </c>
      <c r="J82" s="8">
        <v>-3.6</v>
      </c>
      <c r="K82" s="8">
        <v>-17.399999999999999</v>
      </c>
      <c r="BJ82" s="8">
        <v>38.200000000000003</v>
      </c>
      <c r="BK82" s="8">
        <v>46.3</v>
      </c>
    </row>
    <row r="83" spans="1:63" x14ac:dyDescent="0.2">
      <c r="A83" s="9">
        <v>31656</v>
      </c>
      <c r="B83" s="8">
        <v>44.8</v>
      </c>
      <c r="C83" s="8">
        <v>58.7</v>
      </c>
      <c r="D83" s="8">
        <v>38.6</v>
      </c>
      <c r="F83" s="8">
        <v>6.2</v>
      </c>
      <c r="G83" s="8">
        <v>8.5</v>
      </c>
      <c r="H83" s="8">
        <v>4.5999999999999996</v>
      </c>
      <c r="I83" s="8">
        <v>-8.8000000000000007</v>
      </c>
      <c r="J83" s="8">
        <v>1.9</v>
      </c>
      <c r="K83" s="8">
        <v>-14.6</v>
      </c>
      <c r="BJ83" s="8">
        <v>39.299999999999997</v>
      </c>
      <c r="BK83" s="8">
        <v>47.5</v>
      </c>
    </row>
    <row r="84" spans="1:63" x14ac:dyDescent="0.2">
      <c r="A84" s="9">
        <v>31747</v>
      </c>
      <c r="B84" s="8">
        <v>47</v>
      </c>
      <c r="C84" s="8">
        <v>60</v>
      </c>
      <c r="D84" s="8">
        <v>41.2</v>
      </c>
      <c r="F84" s="8">
        <v>4.9000000000000004</v>
      </c>
      <c r="G84" s="8">
        <v>2.2000000000000002</v>
      </c>
      <c r="H84" s="8">
        <v>6.7</v>
      </c>
      <c r="I84" s="8">
        <v>-3.7</v>
      </c>
      <c r="J84" s="8">
        <v>1.7</v>
      </c>
      <c r="K84" s="8">
        <v>-6.8</v>
      </c>
      <c r="BJ84" s="8">
        <v>40</v>
      </c>
      <c r="BK84" s="8">
        <v>47.7</v>
      </c>
    </row>
    <row r="85" spans="1:63" x14ac:dyDescent="0.2">
      <c r="A85" s="9">
        <v>31837</v>
      </c>
      <c r="B85" s="8">
        <v>48.1</v>
      </c>
      <c r="C85" s="8">
        <v>60.5</v>
      </c>
      <c r="D85" s="8">
        <v>42.6</v>
      </c>
      <c r="F85" s="8">
        <v>2.2999999999999998</v>
      </c>
      <c r="G85" s="8">
        <v>0.8</v>
      </c>
      <c r="H85" s="8">
        <v>3.4</v>
      </c>
      <c r="I85" s="8">
        <v>1.7</v>
      </c>
      <c r="J85" s="8">
        <v>6.7</v>
      </c>
      <c r="K85" s="8">
        <v>-0.9</v>
      </c>
      <c r="BJ85" s="8">
        <v>40.4</v>
      </c>
      <c r="BK85" s="8">
        <v>47.9</v>
      </c>
    </row>
    <row r="86" spans="1:63" x14ac:dyDescent="0.2">
      <c r="A86" s="9">
        <v>31929</v>
      </c>
      <c r="B86" s="8">
        <v>48.3</v>
      </c>
      <c r="C86" s="8">
        <v>59.6</v>
      </c>
      <c r="D86" s="8">
        <v>43.2</v>
      </c>
      <c r="F86" s="8">
        <v>0.4</v>
      </c>
      <c r="G86" s="8">
        <v>-1.5</v>
      </c>
      <c r="H86" s="8">
        <v>1.4</v>
      </c>
      <c r="I86" s="8">
        <v>14.5</v>
      </c>
      <c r="J86" s="8">
        <v>10.199999999999999</v>
      </c>
      <c r="K86" s="8">
        <v>17.100000000000001</v>
      </c>
      <c r="BJ86" s="8">
        <v>43.7</v>
      </c>
      <c r="BK86" s="8">
        <v>48.2</v>
      </c>
    </row>
    <row r="87" spans="1:63" x14ac:dyDescent="0.2">
      <c r="A87" s="9">
        <v>32021</v>
      </c>
      <c r="B87" s="8">
        <v>48.8</v>
      </c>
      <c r="C87" s="8">
        <v>59.8</v>
      </c>
      <c r="D87" s="8">
        <v>44</v>
      </c>
      <c r="E87" s="8">
        <v>52.5</v>
      </c>
      <c r="F87" s="8">
        <v>1</v>
      </c>
      <c r="G87" s="8">
        <v>0.3</v>
      </c>
      <c r="H87" s="8">
        <v>1.9</v>
      </c>
      <c r="I87" s="8">
        <v>8.9</v>
      </c>
      <c r="J87" s="8">
        <v>1.9</v>
      </c>
      <c r="K87" s="8">
        <v>14</v>
      </c>
      <c r="BJ87" s="8">
        <v>42.9</v>
      </c>
      <c r="BK87" s="8">
        <v>49.8</v>
      </c>
    </row>
    <row r="88" spans="1:63" x14ac:dyDescent="0.2">
      <c r="A88" s="9">
        <v>32112</v>
      </c>
      <c r="B88" s="8">
        <v>49.1</v>
      </c>
      <c r="C88" s="8">
        <v>61</v>
      </c>
      <c r="D88" s="8">
        <v>43.9</v>
      </c>
      <c r="E88" s="8">
        <v>53.1</v>
      </c>
      <c r="F88" s="8">
        <v>0.6</v>
      </c>
      <c r="G88" s="8">
        <v>2</v>
      </c>
      <c r="H88" s="8">
        <v>-0.2</v>
      </c>
      <c r="I88" s="8">
        <v>4.5</v>
      </c>
      <c r="J88" s="8">
        <v>1.7</v>
      </c>
      <c r="K88" s="8">
        <v>6.6</v>
      </c>
      <c r="BJ88" s="8">
        <v>44.7</v>
      </c>
      <c r="BK88" s="8">
        <v>49.9</v>
      </c>
    </row>
    <row r="89" spans="1:63" x14ac:dyDescent="0.2">
      <c r="A89" s="9">
        <v>32203</v>
      </c>
      <c r="B89" s="8">
        <v>50.1</v>
      </c>
      <c r="C89" s="8">
        <v>62</v>
      </c>
      <c r="D89" s="8">
        <v>44.8</v>
      </c>
      <c r="E89" s="8">
        <v>55.1</v>
      </c>
      <c r="F89" s="8">
        <v>2</v>
      </c>
      <c r="G89" s="8">
        <v>1.6</v>
      </c>
      <c r="H89" s="8">
        <v>2.1</v>
      </c>
      <c r="I89" s="8">
        <v>4.2</v>
      </c>
      <c r="J89" s="8">
        <v>2.5</v>
      </c>
      <c r="K89" s="8">
        <v>5.2</v>
      </c>
      <c r="BJ89" s="8">
        <v>45.5</v>
      </c>
      <c r="BK89" s="8">
        <v>49.9</v>
      </c>
    </row>
    <row r="90" spans="1:63" x14ac:dyDescent="0.2">
      <c r="A90" s="9">
        <v>32295</v>
      </c>
      <c r="B90" s="8">
        <v>50.6</v>
      </c>
      <c r="C90" s="8">
        <v>61.2</v>
      </c>
      <c r="D90" s="8">
        <v>45.9</v>
      </c>
      <c r="E90" s="8">
        <v>56.6</v>
      </c>
      <c r="F90" s="8">
        <v>1</v>
      </c>
      <c r="G90" s="8">
        <v>-1.3</v>
      </c>
      <c r="H90" s="8">
        <v>2.5</v>
      </c>
      <c r="I90" s="8">
        <v>4.8</v>
      </c>
      <c r="J90" s="8">
        <v>2.7</v>
      </c>
      <c r="K90" s="8">
        <v>6.3</v>
      </c>
      <c r="BJ90" s="8">
        <v>45.4</v>
      </c>
      <c r="BK90" s="8">
        <v>50.5</v>
      </c>
    </row>
    <row r="91" spans="1:63" x14ac:dyDescent="0.2">
      <c r="A91" s="9">
        <v>32387</v>
      </c>
      <c r="B91" s="8">
        <v>50</v>
      </c>
      <c r="C91" s="8">
        <v>59.8</v>
      </c>
      <c r="D91" s="8">
        <v>45.8</v>
      </c>
      <c r="E91" s="8">
        <v>56.9</v>
      </c>
      <c r="F91" s="8">
        <v>-1.2</v>
      </c>
      <c r="G91" s="8">
        <v>-2.2999999999999998</v>
      </c>
      <c r="H91" s="8">
        <v>-0.2</v>
      </c>
      <c r="I91" s="8">
        <v>2.5</v>
      </c>
      <c r="J91" s="8">
        <v>0</v>
      </c>
      <c r="K91" s="8">
        <v>4.0999999999999996</v>
      </c>
      <c r="BJ91" s="8">
        <v>47.4</v>
      </c>
      <c r="BK91" s="8">
        <v>52.4</v>
      </c>
    </row>
    <row r="92" spans="1:63" x14ac:dyDescent="0.2">
      <c r="A92" s="9">
        <v>32478</v>
      </c>
      <c r="B92" s="8">
        <v>48.7</v>
      </c>
      <c r="C92" s="8">
        <v>58.2</v>
      </c>
      <c r="D92" s="8">
        <v>44.5</v>
      </c>
      <c r="E92" s="8">
        <v>56.9</v>
      </c>
      <c r="F92" s="8">
        <v>-2.6</v>
      </c>
      <c r="G92" s="8">
        <v>-2.7</v>
      </c>
      <c r="H92" s="8">
        <v>-2.8</v>
      </c>
      <c r="I92" s="8">
        <v>-0.8</v>
      </c>
      <c r="J92" s="8">
        <v>-4.5999999999999996</v>
      </c>
      <c r="K92" s="8">
        <v>1.4</v>
      </c>
      <c r="BJ92" s="8">
        <v>48.7</v>
      </c>
      <c r="BK92" s="8">
        <v>52.5</v>
      </c>
    </row>
    <row r="93" spans="1:63" x14ac:dyDescent="0.2">
      <c r="A93" s="9">
        <v>32568</v>
      </c>
      <c r="B93" s="8">
        <v>50</v>
      </c>
      <c r="C93" s="8">
        <v>58.1</v>
      </c>
      <c r="D93" s="8">
        <v>46.5</v>
      </c>
      <c r="E93" s="8">
        <v>56.9</v>
      </c>
      <c r="F93" s="8">
        <v>2.7</v>
      </c>
      <c r="G93" s="8">
        <v>-0.2</v>
      </c>
      <c r="H93" s="8">
        <v>4.5</v>
      </c>
      <c r="I93" s="8">
        <v>-0.2</v>
      </c>
      <c r="J93" s="8">
        <v>-6.3</v>
      </c>
      <c r="K93" s="8">
        <v>3.8</v>
      </c>
      <c r="BJ93" s="8">
        <v>49.7</v>
      </c>
      <c r="BK93" s="8">
        <v>52.8</v>
      </c>
    </row>
    <row r="94" spans="1:63" x14ac:dyDescent="0.2">
      <c r="A94" s="9">
        <v>32660</v>
      </c>
      <c r="B94" s="8">
        <v>52.9</v>
      </c>
      <c r="C94" s="8">
        <v>61</v>
      </c>
      <c r="D94" s="8">
        <v>49.3</v>
      </c>
      <c r="E94" s="8">
        <v>59.3</v>
      </c>
      <c r="F94" s="8">
        <v>5.8</v>
      </c>
      <c r="G94" s="8">
        <v>5</v>
      </c>
      <c r="H94" s="8">
        <v>6</v>
      </c>
      <c r="I94" s="8">
        <v>4.5</v>
      </c>
      <c r="J94" s="8">
        <v>-0.3</v>
      </c>
      <c r="K94" s="8">
        <v>7.4</v>
      </c>
      <c r="BJ94" s="8">
        <v>49.9</v>
      </c>
      <c r="BK94" s="8">
        <v>53</v>
      </c>
    </row>
    <row r="95" spans="1:63" x14ac:dyDescent="0.2">
      <c r="A95" s="9">
        <v>32752</v>
      </c>
      <c r="B95" s="8">
        <v>53</v>
      </c>
      <c r="C95" s="8">
        <v>61.7</v>
      </c>
      <c r="D95" s="8">
        <v>49.2</v>
      </c>
      <c r="E95" s="8">
        <v>59.2</v>
      </c>
      <c r="F95" s="8">
        <v>0.2</v>
      </c>
      <c r="G95" s="8">
        <v>1.1000000000000001</v>
      </c>
      <c r="H95" s="8">
        <v>-0.2</v>
      </c>
      <c r="I95" s="8">
        <v>6</v>
      </c>
      <c r="J95" s="8">
        <v>3.2</v>
      </c>
      <c r="K95" s="8">
        <v>7.4</v>
      </c>
      <c r="BJ95" s="8">
        <v>53.2</v>
      </c>
      <c r="BK95" s="8">
        <v>54.8</v>
      </c>
    </row>
    <row r="96" spans="1:63" x14ac:dyDescent="0.2">
      <c r="A96" s="9">
        <v>32843</v>
      </c>
      <c r="B96" s="8">
        <v>52.6</v>
      </c>
      <c r="C96" s="8">
        <v>61</v>
      </c>
      <c r="D96" s="8">
        <v>48.9</v>
      </c>
      <c r="E96" s="8">
        <v>58.5</v>
      </c>
      <c r="F96" s="8">
        <v>-0.8</v>
      </c>
      <c r="G96" s="8">
        <v>-1.1000000000000001</v>
      </c>
      <c r="H96" s="8">
        <v>-0.6</v>
      </c>
      <c r="I96" s="8">
        <v>8</v>
      </c>
      <c r="J96" s="8">
        <v>4.8</v>
      </c>
      <c r="K96" s="8">
        <v>9.9</v>
      </c>
      <c r="BJ96" s="8">
        <v>53.3</v>
      </c>
      <c r="BK96" s="8">
        <v>54.9</v>
      </c>
    </row>
    <row r="97" spans="1:63" x14ac:dyDescent="0.2">
      <c r="A97" s="9">
        <v>32933</v>
      </c>
      <c r="B97" s="8">
        <v>53.7</v>
      </c>
      <c r="C97" s="8">
        <v>62.2</v>
      </c>
      <c r="D97" s="8">
        <v>50</v>
      </c>
      <c r="E97" s="8">
        <v>59.2</v>
      </c>
      <c r="F97" s="8">
        <v>2.1</v>
      </c>
      <c r="G97" s="8">
        <v>2</v>
      </c>
      <c r="H97" s="8">
        <v>2.2000000000000002</v>
      </c>
      <c r="I97" s="8">
        <v>7.4</v>
      </c>
      <c r="J97" s="8">
        <v>7.1</v>
      </c>
      <c r="K97" s="8">
        <v>7.5</v>
      </c>
      <c r="BJ97" s="8">
        <v>53.6</v>
      </c>
      <c r="BK97" s="8">
        <v>55.3</v>
      </c>
    </row>
    <row r="98" spans="1:63" x14ac:dyDescent="0.2">
      <c r="A98" s="9">
        <v>33025</v>
      </c>
      <c r="B98" s="8">
        <v>52.8</v>
      </c>
      <c r="C98" s="8">
        <v>61.4</v>
      </c>
      <c r="D98" s="8">
        <v>49</v>
      </c>
      <c r="E98" s="8">
        <v>59.6</v>
      </c>
      <c r="F98" s="8">
        <v>-1.7</v>
      </c>
      <c r="G98" s="8">
        <v>-1.3</v>
      </c>
      <c r="H98" s="8">
        <v>-2</v>
      </c>
      <c r="I98" s="8">
        <v>-0.2</v>
      </c>
      <c r="J98" s="8">
        <v>0.7</v>
      </c>
      <c r="K98" s="8">
        <v>-0.6</v>
      </c>
      <c r="BJ98" s="8">
        <v>53.9</v>
      </c>
      <c r="BK98" s="8">
        <v>55.1</v>
      </c>
    </row>
    <row r="99" spans="1:63" x14ac:dyDescent="0.2">
      <c r="A99" s="9">
        <v>33117</v>
      </c>
      <c r="B99" s="8">
        <v>54.5</v>
      </c>
      <c r="C99" s="8">
        <v>61.7</v>
      </c>
      <c r="D99" s="8">
        <v>51.3</v>
      </c>
      <c r="E99" s="8">
        <v>58.5</v>
      </c>
      <c r="F99" s="8">
        <v>3.2</v>
      </c>
      <c r="G99" s="8">
        <v>0.5</v>
      </c>
      <c r="H99" s="8">
        <v>4.7</v>
      </c>
      <c r="I99" s="8">
        <v>2.8</v>
      </c>
      <c r="J99" s="8">
        <v>0</v>
      </c>
      <c r="K99" s="8">
        <v>4.3</v>
      </c>
      <c r="BJ99" s="8">
        <v>55.1</v>
      </c>
      <c r="BK99" s="8">
        <v>57.2</v>
      </c>
    </row>
    <row r="100" spans="1:63" x14ac:dyDescent="0.2">
      <c r="A100" s="9">
        <v>33208</v>
      </c>
      <c r="B100" s="8">
        <v>58.9</v>
      </c>
      <c r="C100" s="8">
        <v>66.2</v>
      </c>
      <c r="D100" s="8">
        <v>55.7</v>
      </c>
      <c r="E100" s="8">
        <v>58.2</v>
      </c>
      <c r="F100" s="8">
        <v>8.1</v>
      </c>
      <c r="G100" s="8">
        <v>7.3</v>
      </c>
      <c r="H100" s="8">
        <v>8.6</v>
      </c>
      <c r="I100" s="8">
        <v>12</v>
      </c>
      <c r="J100" s="8">
        <v>8.5</v>
      </c>
      <c r="K100" s="8">
        <v>13.9</v>
      </c>
      <c r="BJ100" s="8">
        <v>54.6</v>
      </c>
      <c r="BK100" s="8">
        <v>57.5</v>
      </c>
    </row>
    <row r="101" spans="1:63" x14ac:dyDescent="0.2">
      <c r="A101" s="9">
        <v>33298</v>
      </c>
      <c r="B101" s="8">
        <v>54.4</v>
      </c>
      <c r="C101" s="8">
        <v>63.6</v>
      </c>
      <c r="D101" s="8">
        <v>50.4</v>
      </c>
      <c r="E101" s="8">
        <v>58.6</v>
      </c>
      <c r="F101" s="8">
        <v>-7.6</v>
      </c>
      <c r="G101" s="8">
        <v>-3.9</v>
      </c>
      <c r="H101" s="8">
        <v>-9.5</v>
      </c>
      <c r="I101" s="8">
        <v>1.3</v>
      </c>
      <c r="J101" s="8">
        <v>2.2999999999999998</v>
      </c>
      <c r="K101" s="8">
        <v>0.8</v>
      </c>
      <c r="BJ101" s="8">
        <v>54.4</v>
      </c>
      <c r="BK101" s="8">
        <v>57.4</v>
      </c>
    </row>
    <row r="102" spans="1:63" x14ac:dyDescent="0.2">
      <c r="A102" s="9">
        <v>33390</v>
      </c>
      <c r="B102" s="8">
        <v>52.9</v>
      </c>
      <c r="C102" s="8">
        <v>62.2</v>
      </c>
      <c r="D102" s="8">
        <v>48.7</v>
      </c>
      <c r="E102" s="8">
        <v>58.3</v>
      </c>
      <c r="F102" s="8">
        <v>-2.8</v>
      </c>
      <c r="G102" s="8">
        <v>-2.2000000000000002</v>
      </c>
      <c r="H102" s="8">
        <v>-3.4</v>
      </c>
      <c r="I102" s="8">
        <v>0.2</v>
      </c>
      <c r="J102" s="8">
        <v>1.3</v>
      </c>
      <c r="K102" s="8">
        <v>-0.6</v>
      </c>
      <c r="BJ102" s="8">
        <v>54.1</v>
      </c>
      <c r="BK102" s="8">
        <v>57.6</v>
      </c>
    </row>
    <row r="103" spans="1:63" x14ac:dyDescent="0.2">
      <c r="A103" s="9">
        <v>33482</v>
      </c>
      <c r="B103" s="8">
        <v>53.3</v>
      </c>
      <c r="C103" s="8">
        <v>62</v>
      </c>
      <c r="D103" s="8">
        <v>49.5</v>
      </c>
      <c r="E103" s="8">
        <v>58.3</v>
      </c>
      <c r="F103" s="8">
        <v>0.8</v>
      </c>
      <c r="G103" s="8">
        <v>-0.3</v>
      </c>
      <c r="H103" s="8">
        <v>1.6</v>
      </c>
      <c r="I103" s="8">
        <v>-2.2000000000000002</v>
      </c>
      <c r="J103" s="8">
        <v>0.5</v>
      </c>
      <c r="K103" s="8">
        <v>-3.5</v>
      </c>
      <c r="BJ103" s="8">
        <v>56</v>
      </c>
      <c r="BK103" s="8">
        <v>58.6</v>
      </c>
    </row>
    <row r="104" spans="1:63" x14ac:dyDescent="0.2">
      <c r="A104" s="9">
        <v>33573</v>
      </c>
      <c r="B104" s="8">
        <v>53.5</v>
      </c>
      <c r="C104" s="8">
        <v>62.5</v>
      </c>
      <c r="D104" s="8">
        <v>49.6</v>
      </c>
      <c r="E104" s="8">
        <v>57.7</v>
      </c>
      <c r="F104" s="8">
        <v>0.4</v>
      </c>
      <c r="G104" s="8">
        <v>0.8</v>
      </c>
      <c r="H104" s="8">
        <v>0.2</v>
      </c>
      <c r="I104" s="8">
        <v>-9.1999999999999993</v>
      </c>
      <c r="J104" s="8">
        <v>-5.6</v>
      </c>
      <c r="K104" s="8">
        <v>-11</v>
      </c>
      <c r="BJ104" s="8">
        <v>56</v>
      </c>
      <c r="BK104" s="8">
        <v>59.4</v>
      </c>
    </row>
    <row r="105" spans="1:63" x14ac:dyDescent="0.2">
      <c r="A105" s="9">
        <v>33664</v>
      </c>
      <c r="B105" s="8">
        <v>53.7</v>
      </c>
      <c r="C105" s="8">
        <v>63.2</v>
      </c>
      <c r="D105" s="8">
        <v>49.6</v>
      </c>
      <c r="E105" s="8">
        <v>59.2</v>
      </c>
      <c r="F105" s="8">
        <v>0.4</v>
      </c>
      <c r="G105" s="8">
        <v>1.1000000000000001</v>
      </c>
      <c r="H105" s="8">
        <v>0</v>
      </c>
      <c r="I105" s="8">
        <v>-1.3</v>
      </c>
      <c r="J105" s="8">
        <v>-0.6</v>
      </c>
      <c r="K105" s="8">
        <v>-1.6</v>
      </c>
      <c r="BJ105" s="8">
        <v>55.8</v>
      </c>
      <c r="BK105" s="8">
        <v>59.4</v>
      </c>
    </row>
    <row r="106" spans="1:63" x14ac:dyDescent="0.2">
      <c r="A106" s="9">
        <v>33756</v>
      </c>
      <c r="B106" s="8">
        <v>54.6</v>
      </c>
      <c r="C106" s="8">
        <v>63.2</v>
      </c>
      <c r="D106" s="8">
        <v>50.8</v>
      </c>
      <c r="E106" s="8">
        <v>59.8</v>
      </c>
      <c r="F106" s="8">
        <v>1.7</v>
      </c>
      <c r="G106" s="8">
        <v>0</v>
      </c>
      <c r="H106" s="8">
        <v>2.4</v>
      </c>
      <c r="I106" s="8">
        <v>3.2</v>
      </c>
      <c r="J106" s="8">
        <v>1.6</v>
      </c>
      <c r="K106" s="8">
        <v>4.3</v>
      </c>
      <c r="BJ106" s="8">
        <v>55.7</v>
      </c>
      <c r="BK106" s="8">
        <v>59.6</v>
      </c>
    </row>
    <row r="107" spans="1:63" x14ac:dyDescent="0.2">
      <c r="A107" s="9">
        <v>33848</v>
      </c>
      <c r="B107" s="8">
        <v>56.5</v>
      </c>
      <c r="C107" s="8">
        <v>65.599999999999994</v>
      </c>
      <c r="D107" s="8">
        <v>52.5</v>
      </c>
      <c r="E107" s="8">
        <v>60.6</v>
      </c>
      <c r="F107" s="8">
        <v>3.5</v>
      </c>
      <c r="G107" s="8">
        <v>3.8</v>
      </c>
      <c r="H107" s="8">
        <v>3.3</v>
      </c>
      <c r="I107" s="8">
        <v>6</v>
      </c>
      <c r="J107" s="8">
        <v>5.8</v>
      </c>
      <c r="K107" s="8">
        <v>6.1</v>
      </c>
      <c r="BJ107" s="8">
        <v>56.4</v>
      </c>
      <c r="BK107" s="8">
        <v>59.7</v>
      </c>
    </row>
    <row r="108" spans="1:63" x14ac:dyDescent="0.2">
      <c r="A108" s="9">
        <v>33939</v>
      </c>
      <c r="B108" s="8">
        <v>56.9</v>
      </c>
      <c r="C108" s="8">
        <v>66.599999999999994</v>
      </c>
      <c r="D108" s="8">
        <v>52.6</v>
      </c>
      <c r="E108" s="8">
        <v>61.4</v>
      </c>
      <c r="F108" s="8">
        <v>0.7</v>
      </c>
      <c r="G108" s="8">
        <v>1.5</v>
      </c>
      <c r="H108" s="8">
        <v>0.2</v>
      </c>
      <c r="I108" s="8">
        <v>6.4</v>
      </c>
      <c r="J108" s="8">
        <v>6.6</v>
      </c>
      <c r="K108" s="8">
        <v>6</v>
      </c>
      <c r="BJ108" s="8">
        <v>56.6</v>
      </c>
      <c r="BK108" s="8">
        <v>59.3</v>
      </c>
    </row>
    <row r="109" spans="1:63" x14ac:dyDescent="0.2">
      <c r="A109" s="9">
        <v>34029</v>
      </c>
      <c r="B109" s="8">
        <v>56.4</v>
      </c>
      <c r="C109" s="8">
        <v>66.5</v>
      </c>
      <c r="D109" s="8">
        <v>51.9</v>
      </c>
      <c r="E109" s="8">
        <v>61.5</v>
      </c>
      <c r="F109" s="8">
        <v>-0.9</v>
      </c>
      <c r="G109" s="8">
        <v>-0.2</v>
      </c>
      <c r="H109" s="8">
        <v>-1.3</v>
      </c>
      <c r="I109" s="8">
        <v>5</v>
      </c>
      <c r="J109" s="8">
        <v>5.2</v>
      </c>
      <c r="K109" s="8">
        <v>4.5999999999999996</v>
      </c>
      <c r="BJ109" s="8">
        <v>56.6</v>
      </c>
      <c r="BK109" s="8">
        <v>59.1</v>
      </c>
    </row>
    <row r="110" spans="1:63" x14ac:dyDescent="0.2">
      <c r="A110" s="9">
        <v>34121</v>
      </c>
      <c r="B110" s="8">
        <v>56.1</v>
      </c>
      <c r="C110" s="8">
        <v>66.900000000000006</v>
      </c>
      <c r="D110" s="8">
        <v>51.3</v>
      </c>
      <c r="E110" s="8">
        <v>61.2</v>
      </c>
      <c r="F110" s="8">
        <v>-0.5</v>
      </c>
      <c r="G110" s="8">
        <v>0.6</v>
      </c>
      <c r="H110" s="8">
        <v>-1.2</v>
      </c>
      <c r="I110" s="8">
        <v>2.7</v>
      </c>
      <c r="J110" s="8">
        <v>5.9</v>
      </c>
      <c r="K110" s="8">
        <v>1</v>
      </c>
      <c r="BJ110" s="8">
        <v>56.5</v>
      </c>
      <c r="BK110" s="8">
        <v>59.1</v>
      </c>
    </row>
    <row r="111" spans="1:63" x14ac:dyDescent="0.2">
      <c r="A111" s="9">
        <v>34213</v>
      </c>
      <c r="B111" s="8">
        <v>56.8</v>
      </c>
      <c r="C111" s="8">
        <v>68.400000000000006</v>
      </c>
      <c r="D111" s="8">
        <v>51.8</v>
      </c>
      <c r="E111" s="8">
        <v>62.6</v>
      </c>
      <c r="F111" s="8">
        <v>1.2</v>
      </c>
      <c r="G111" s="8">
        <v>2.2000000000000002</v>
      </c>
      <c r="H111" s="8">
        <v>1</v>
      </c>
      <c r="I111" s="8">
        <v>0.5</v>
      </c>
      <c r="J111" s="8">
        <v>4.3</v>
      </c>
      <c r="K111" s="8">
        <v>-1.3</v>
      </c>
      <c r="BJ111" s="8">
        <v>56.7</v>
      </c>
      <c r="BK111" s="8">
        <v>59.4</v>
      </c>
    </row>
    <row r="112" spans="1:63" x14ac:dyDescent="0.2">
      <c r="A112" s="9">
        <v>34304</v>
      </c>
      <c r="B112" s="8">
        <v>56.1</v>
      </c>
      <c r="C112" s="8">
        <v>68.599999999999994</v>
      </c>
      <c r="D112" s="8">
        <v>50.6</v>
      </c>
      <c r="E112" s="8">
        <v>62.6</v>
      </c>
      <c r="F112" s="8">
        <v>-1.2</v>
      </c>
      <c r="G112" s="8">
        <v>0.3</v>
      </c>
      <c r="H112" s="8">
        <v>-2.2999999999999998</v>
      </c>
      <c r="I112" s="8">
        <v>-1.4</v>
      </c>
      <c r="J112" s="8">
        <v>3</v>
      </c>
      <c r="K112" s="8">
        <v>-3.8</v>
      </c>
      <c r="BJ112" s="8">
        <v>56.6</v>
      </c>
      <c r="BK112" s="8">
        <v>59.3</v>
      </c>
    </row>
    <row r="113" spans="1:63" x14ac:dyDescent="0.2">
      <c r="A113" s="9">
        <v>34394</v>
      </c>
      <c r="B113" s="8">
        <v>54.4</v>
      </c>
      <c r="C113" s="8">
        <v>65.7</v>
      </c>
      <c r="D113" s="8">
        <v>49.5</v>
      </c>
      <c r="E113" s="8">
        <v>61.9</v>
      </c>
      <c r="F113" s="8">
        <v>-3</v>
      </c>
      <c r="G113" s="8">
        <v>-4.2</v>
      </c>
      <c r="H113" s="8">
        <v>-2.2000000000000002</v>
      </c>
      <c r="I113" s="8">
        <v>-3.5</v>
      </c>
      <c r="J113" s="8">
        <v>-1.2</v>
      </c>
      <c r="K113" s="8">
        <v>-4.5999999999999996</v>
      </c>
      <c r="BJ113" s="8">
        <v>56.2</v>
      </c>
      <c r="BK113" s="8">
        <v>59</v>
      </c>
    </row>
    <row r="114" spans="1:63" x14ac:dyDescent="0.2">
      <c r="A114" s="9">
        <v>34486</v>
      </c>
      <c r="B114" s="8">
        <v>54.8</v>
      </c>
      <c r="C114" s="8">
        <v>65.400000000000006</v>
      </c>
      <c r="D114" s="8">
        <v>50.2</v>
      </c>
      <c r="E114" s="8">
        <v>62.2</v>
      </c>
      <c r="F114" s="8">
        <v>0.7</v>
      </c>
      <c r="G114" s="8">
        <v>-0.5</v>
      </c>
      <c r="H114" s="8">
        <v>1.4</v>
      </c>
      <c r="I114" s="8">
        <v>-2.2999999999999998</v>
      </c>
      <c r="J114" s="8">
        <v>-2.2000000000000002</v>
      </c>
      <c r="K114" s="8">
        <v>-2.1</v>
      </c>
      <c r="BJ114" s="8">
        <v>56.5</v>
      </c>
      <c r="BK114" s="8">
        <v>58.8</v>
      </c>
    </row>
    <row r="115" spans="1:63" x14ac:dyDescent="0.2">
      <c r="A115" s="9">
        <v>34578</v>
      </c>
      <c r="B115" s="8">
        <v>55.7</v>
      </c>
      <c r="C115" s="8">
        <v>67.099999999999994</v>
      </c>
      <c r="D115" s="8">
        <v>50.8</v>
      </c>
      <c r="E115" s="8">
        <v>62.8</v>
      </c>
      <c r="F115" s="8">
        <v>1.6</v>
      </c>
      <c r="G115" s="8">
        <v>2.6</v>
      </c>
      <c r="H115" s="8">
        <v>1.2</v>
      </c>
      <c r="I115" s="8">
        <v>-1.9</v>
      </c>
      <c r="J115" s="8">
        <v>-1.9</v>
      </c>
      <c r="K115" s="8">
        <v>-1.9</v>
      </c>
      <c r="BJ115" s="8">
        <v>56.1</v>
      </c>
      <c r="BK115" s="8">
        <v>57.8</v>
      </c>
    </row>
    <row r="116" spans="1:63" x14ac:dyDescent="0.2">
      <c r="A116" s="9">
        <v>34669</v>
      </c>
      <c r="B116" s="8">
        <v>55.7</v>
      </c>
      <c r="C116" s="8">
        <v>67.900000000000006</v>
      </c>
      <c r="D116" s="8">
        <v>50.4</v>
      </c>
      <c r="E116" s="8">
        <v>63.5</v>
      </c>
      <c r="F116" s="8">
        <v>0</v>
      </c>
      <c r="G116" s="8">
        <v>1.2</v>
      </c>
      <c r="H116" s="8">
        <v>-0.8</v>
      </c>
      <c r="I116" s="8">
        <v>-0.7</v>
      </c>
      <c r="J116" s="8">
        <v>-1</v>
      </c>
      <c r="K116" s="8">
        <v>-0.4</v>
      </c>
      <c r="BJ116" s="8">
        <v>56.2</v>
      </c>
      <c r="BK116" s="8">
        <v>58.1</v>
      </c>
    </row>
    <row r="117" spans="1:63" x14ac:dyDescent="0.2">
      <c r="A117" s="9">
        <v>34759</v>
      </c>
      <c r="B117" s="8">
        <v>57.3</v>
      </c>
      <c r="C117" s="8">
        <v>69.099999999999994</v>
      </c>
      <c r="D117" s="8">
        <v>52.1</v>
      </c>
      <c r="E117" s="8">
        <v>64.7</v>
      </c>
      <c r="F117" s="8">
        <v>2.9</v>
      </c>
      <c r="G117" s="8">
        <v>1.8</v>
      </c>
      <c r="H117" s="8">
        <v>3.4</v>
      </c>
      <c r="I117" s="8">
        <v>5.3</v>
      </c>
      <c r="J117" s="8">
        <v>5.2</v>
      </c>
      <c r="K117" s="8">
        <v>5.3</v>
      </c>
      <c r="BJ117" s="8">
        <v>56.5</v>
      </c>
      <c r="BK117" s="8">
        <v>58.6</v>
      </c>
    </row>
    <row r="118" spans="1:63" x14ac:dyDescent="0.2">
      <c r="A118" s="9">
        <v>34851</v>
      </c>
      <c r="B118" s="8">
        <v>59.6</v>
      </c>
      <c r="C118" s="8">
        <v>73.7</v>
      </c>
      <c r="D118" s="8">
        <v>53.5</v>
      </c>
      <c r="E118" s="8">
        <v>67.3</v>
      </c>
      <c r="F118" s="8">
        <v>4</v>
      </c>
      <c r="G118" s="8">
        <v>6.7</v>
      </c>
      <c r="H118" s="8">
        <v>2.7</v>
      </c>
      <c r="I118" s="8">
        <v>8.8000000000000007</v>
      </c>
      <c r="J118" s="8">
        <v>12.7</v>
      </c>
      <c r="K118" s="8">
        <v>6.6</v>
      </c>
      <c r="BJ118" s="8">
        <v>56.9</v>
      </c>
      <c r="BK118" s="8">
        <v>58.4</v>
      </c>
    </row>
    <row r="119" spans="1:63" x14ac:dyDescent="0.2">
      <c r="A119" s="9">
        <v>34943</v>
      </c>
      <c r="B119" s="8">
        <v>59</v>
      </c>
      <c r="C119" s="8">
        <v>73.900000000000006</v>
      </c>
      <c r="D119" s="8">
        <v>52.5</v>
      </c>
      <c r="E119" s="8">
        <v>67.400000000000006</v>
      </c>
      <c r="F119" s="8">
        <v>-1</v>
      </c>
      <c r="G119" s="8">
        <v>0.3</v>
      </c>
      <c r="H119" s="8">
        <v>-1.9</v>
      </c>
      <c r="I119" s="8">
        <v>5.9</v>
      </c>
      <c r="J119" s="8">
        <v>10.1</v>
      </c>
      <c r="K119" s="8">
        <v>3.3</v>
      </c>
      <c r="BJ119" s="8">
        <v>57.6</v>
      </c>
      <c r="BK119" s="8">
        <v>59.2</v>
      </c>
    </row>
    <row r="120" spans="1:63" x14ac:dyDescent="0.2">
      <c r="A120" s="9">
        <v>35034</v>
      </c>
      <c r="B120" s="8">
        <v>58.3</v>
      </c>
      <c r="C120" s="8">
        <v>73.099999999999994</v>
      </c>
      <c r="D120" s="8">
        <v>51.9</v>
      </c>
      <c r="E120" s="8">
        <v>66.400000000000006</v>
      </c>
      <c r="F120" s="8">
        <v>-1.2</v>
      </c>
      <c r="G120" s="8">
        <v>-1.1000000000000001</v>
      </c>
      <c r="H120" s="8">
        <v>-1.1000000000000001</v>
      </c>
      <c r="I120" s="8">
        <v>4.7</v>
      </c>
      <c r="J120" s="8">
        <v>7.7</v>
      </c>
      <c r="K120" s="8">
        <v>3</v>
      </c>
      <c r="BJ120" s="8">
        <v>57.5</v>
      </c>
      <c r="BK120" s="8">
        <v>59.6</v>
      </c>
    </row>
    <row r="121" spans="1:63" x14ac:dyDescent="0.2">
      <c r="A121" s="9">
        <v>35125</v>
      </c>
      <c r="B121" s="8">
        <v>58.7</v>
      </c>
      <c r="C121" s="8">
        <v>72.8</v>
      </c>
      <c r="D121" s="8">
        <v>52.6</v>
      </c>
      <c r="E121" s="8">
        <v>65.5</v>
      </c>
      <c r="F121" s="8">
        <v>0.7</v>
      </c>
      <c r="G121" s="8">
        <v>-0.4</v>
      </c>
      <c r="H121" s="8">
        <v>1.3</v>
      </c>
      <c r="I121" s="8">
        <v>2.4</v>
      </c>
      <c r="J121" s="8">
        <v>5.4</v>
      </c>
      <c r="K121" s="8">
        <v>1</v>
      </c>
      <c r="BJ121" s="8">
        <v>57.9</v>
      </c>
      <c r="BK121" s="8">
        <v>59.8</v>
      </c>
    </row>
    <row r="122" spans="1:63" x14ac:dyDescent="0.2">
      <c r="A122" s="9">
        <v>35217</v>
      </c>
      <c r="B122" s="8">
        <v>57.4</v>
      </c>
      <c r="C122" s="8">
        <v>70.2</v>
      </c>
      <c r="D122" s="8">
        <v>51.8</v>
      </c>
      <c r="E122" s="8">
        <v>64.2</v>
      </c>
      <c r="F122" s="8">
        <v>-2.2000000000000002</v>
      </c>
      <c r="G122" s="8">
        <v>-3.6</v>
      </c>
      <c r="H122" s="8">
        <v>-1.5</v>
      </c>
      <c r="I122" s="8">
        <v>-3.7</v>
      </c>
      <c r="J122" s="8">
        <v>-4.7</v>
      </c>
      <c r="K122" s="8">
        <v>-3.2</v>
      </c>
      <c r="L122" s="8">
        <v>59.8</v>
      </c>
      <c r="O122" s="8">
        <v>54.3</v>
      </c>
      <c r="Q122" s="8">
        <v>58.5</v>
      </c>
      <c r="R122" s="8">
        <v>73.5</v>
      </c>
      <c r="S122" s="8">
        <v>75.599999999999994</v>
      </c>
      <c r="T122" s="8">
        <v>63.3</v>
      </c>
      <c r="U122" s="8">
        <v>23.2</v>
      </c>
      <c r="V122" s="8">
        <v>25.9</v>
      </c>
      <c r="W122" s="8">
        <v>30.7</v>
      </c>
      <c r="X122" s="8">
        <v>59</v>
      </c>
      <c r="Y122" s="8">
        <v>53</v>
      </c>
      <c r="Z122" s="8">
        <v>71.5</v>
      </c>
      <c r="AA122" s="8">
        <v>100.8</v>
      </c>
      <c r="AC122" s="8">
        <v>123.3</v>
      </c>
      <c r="AE122" s="8">
        <v>122.3</v>
      </c>
      <c r="AG122" s="8">
        <v>56.7</v>
      </c>
      <c r="AH122" s="8">
        <v>69.099999999999994</v>
      </c>
      <c r="AI122" s="8">
        <v>110.5</v>
      </c>
      <c r="AL122" s="8">
        <v>91.2</v>
      </c>
      <c r="AP122" s="8">
        <v>117.7</v>
      </c>
      <c r="AQ122" s="8">
        <v>124.3</v>
      </c>
      <c r="AR122" s="8">
        <v>124.2</v>
      </c>
      <c r="AX122" s="8">
        <v>94.4</v>
      </c>
      <c r="AZ122" s="8">
        <v>91.9</v>
      </c>
      <c r="BA122" s="8">
        <v>65.7</v>
      </c>
      <c r="BC122" s="8">
        <v>96.5</v>
      </c>
      <c r="BD122" s="8">
        <v>253</v>
      </c>
      <c r="BJ122" s="8">
        <v>58.1</v>
      </c>
      <c r="BK122" s="8">
        <v>58.9</v>
      </c>
    </row>
    <row r="123" spans="1:63" x14ac:dyDescent="0.2">
      <c r="A123" s="9">
        <v>35309</v>
      </c>
      <c r="B123" s="8">
        <v>56.3</v>
      </c>
      <c r="C123" s="8">
        <v>68.3</v>
      </c>
      <c r="D123" s="8">
        <v>51</v>
      </c>
      <c r="E123" s="8">
        <v>62.5</v>
      </c>
      <c r="F123" s="8">
        <v>-1.9</v>
      </c>
      <c r="G123" s="8">
        <v>-2.7</v>
      </c>
      <c r="H123" s="8">
        <v>-1.5</v>
      </c>
      <c r="I123" s="8">
        <v>-4.5999999999999996</v>
      </c>
      <c r="J123" s="8">
        <v>-7.6</v>
      </c>
      <c r="K123" s="8">
        <v>-2.9</v>
      </c>
      <c r="L123" s="8">
        <v>56.9</v>
      </c>
      <c r="O123" s="8">
        <v>52.3</v>
      </c>
      <c r="Q123" s="8">
        <v>49.9</v>
      </c>
      <c r="R123" s="8">
        <v>73.900000000000006</v>
      </c>
      <c r="S123" s="8">
        <v>77.400000000000006</v>
      </c>
      <c r="T123" s="8">
        <v>64.5</v>
      </c>
      <c r="U123" s="8">
        <v>23.9</v>
      </c>
      <c r="V123" s="8">
        <v>27</v>
      </c>
      <c r="W123" s="8">
        <v>29.6</v>
      </c>
      <c r="X123" s="8">
        <v>58.7</v>
      </c>
      <c r="Y123" s="8">
        <v>52</v>
      </c>
      <c r="Z123" s="8">
        <v>72.7</v>
      </c>
      <c r="AA123" s="8">
        <v>98</v>
      </c>
      <c r="AC123" s="8">
        <v>124.1</v>
      </c>
      <c r="AE123" s="8">
        <v>122.8</v>
      </c>
      <c r="AG123" s="8">
        <v>57</v>
      </c>
      <c r="AH123" s="8">
        <v>68.900000000000006</v>
      </c>
      <c r="AI123" s="8">
        <v>104.7</v>
      </c>
      <c r="AL123" s="8">
        <v>89.3</v>
      </c>
      <c r="AP123" s="8">
        <v>117.8</v>
      </c>
      <c r="AQ123" s="8">
        <v>125.6</v>
      </c>
      <c r="AR123" s="8">
        <v>125.4</v>
      </c>
      <c r="AX123" s="8">
        <v>90.3</v>
      </c>
      <c r="AZ123" s="8">
        <v>91.6</v>
      </c>
      <c r="BA123" s="8">
        <v>66.599999999999994</v>
      </c>
      <c r="BC123" s="8">
        <v>96.1</v>
      </c>
      <c r="BD123" s="8">
        <v>252.3</v>
      </c>
      <c r="BJ123" s="8">
        <v>58.6</v>
      </c>
      <c r="BK123" s="8">
        <v>59.5</v>
      </c>
    </row>
    <row r="124" spans="1:63" x14ac:dyDescent="0.2">
      <c r="A124" s="9">
        <v>35400</v>
      </c>
      <c r="B124" s="8">
        <v>56.3</v>
      </c>
      <c r="C124" s="8">
        <v>67.5</v>
      </c>
      <c r="D124" s="8">
        <v>51.3</v>
      </c>
      <c r="E124" s="8">
        <v>61.2</v>
      </c>
      <c r="F124" s="8">
        <v>0</v>
      </c>
      <c r="G124" s="8">
        <v>-1.2</v>
      </c>
      <c r="H124" s="8">
        <v>0.6</v>
      </c>
      <c r="I124" s="8">
        <v>-3.4</v>
      </c>
      <c r="J124" s="8">
        <v>-7.7</v>
      </c>
      <c r="K124" s="8">
        <v>-1.2</v>
      </c>
      <c r="L124" s="8">
        <v>54.8</v>
      </c>
      <c r="O124" s="8">
        <v>48.4</v>
      </c>
      <c r="Q124" s="8">
        <v>49.6</v>
      </c>
      <c r="R124" s="8">
        <v>74.400000000000006</v>
      </c>
      <c r="S124" s="8">
        <v>81.2</v>
      </c>
      <c r="T124" s="8">
        <v>64.7</v>
      </c>
      <c r="U124" s="8">
        <v>23.3</v>
      </c>
      <c r="V124" s="8">
        <v>31.1</v>
      </c>
      <c r="W124" s="8">
        <v>29.1</v>
      </c>
      <c r="X124" s="8">
        <v>58.4</v>
      </c>
      <c r="Y124" s="8">
        <v>51.3</v>
      </c>
      <c r="Z124" s="8">
        <v>73.099999999999994</v>
      </c>
      <c r="AA124" s="8">
        <v>95.4</v>
      </c>
      <c r="AC124" s="8">
        <v>123.3</v>
      </c>
      <c r="AE124" s="8">
        <v>124.8</v>
      </c>
      <c r="AG124" s="8">
        <v>57.9</v>
      </c>
      <c r="AH124" s="8">
        <v>68.900000000000006</v>
      </c>
      <c r="AI124" s="8">
        <v>101.9</v>
      </c>
      <c r="AL124" s="8">
        <v>86.5</v>
      </c>
      <c r="AP124" s="8">
        <v>121</v>
      </c>
      <c r="AQ124" s="8">
        <v>124.9</v>
      </c>
      <c r="AR124" s="8">
        <v>124.8</v>
      </c>
      <c r="AX124" s="8">
        <v>88.1</v>
      </c>
      <c r="AZ124" s="8">
        <v>90.1</v>
      </c>
      <c r="BA124" s="8">
        <v>67.400000000000006</v>
      </c>
      <c r="BC124" s="8">
        <v>95.9</v>
      </c>
      <c r="BD124" s="8">
        <v>248.1</v>
      </c>
      <c r="BJ124" s="8">
        <v>59</v>
      </c>
      <c r="BK124" s="8">
        <v>59.1</v>
      </c>
    </row>
    <row r="125" spans="1:63" x14ac:dyDescent="0.2">
      <c r="A125" s="9">
        <v>35490</v>
      </c>
      <c r="B125" s="8">
        <v>56.4</v>
      </c>
      <c r="C125" s="8">
        <v>67.099999999999994</v>
      </c>
      <c r="D125" s="8">
        <v>51.8</v>
      </c>
      <c r="E125" s="8">
        <v>61.3</v>
      </c>
      <c r="F125" s="8">
        <v>0.2</v>
      </c>
      <c r="G125" s="8">
        <v>-0.6</v>
      </c>
      <c r="H125" s="8">
        <v>1</v>
      </c>
      <c r="I125" s="8">
        <v>-3.9</v>
      </c>
      <c r="J125" s="8">
        <v>-7.8</v>
      </c>
      <c r="K125" s="8">
        <v>-1.5</v>
      </c>
      <c r="L125" s="8">
        <v>55.1</v>
      </c>
      <c r="O125" s="8">
        <v>48.7</v>
      </c>
      <c r="Q125" s="8">
        <v>51.5</v>
      </c>
      <c r="R125" s="8">
        <v>72.400000000000006</v>
      </c>
      <c r="S125" s="8">
        <v>79.3</v>
      </c>
      <c r="T125" s="8">
        <v>63.9</v>
      </c>
      <c r="U125" s="8">
        <v>23.4</v>
      </c>
      <c r="V125" s="8">
        <v>31.3</v>
      </c>
      <c r="W125" s="8">
        <v>30</v>
      </c>
      <c r="X125" s="8">
        <v>59.1</v>
      </c>
      <c r="Y125" s="8">
        <v>52.3</v>
      </c>
      <c r="Z125" s="8">
        <v>73.3</v>
      </c>
      <c r="AA125" s="8">
        <v>95.7</v>
      </c>
      <c r="AC125" s="8">
        <v>122</v>
      </c>
      <c r="AE125" s="8">
        <v>127.1</v>
      </c>
      <c r="AG125" s="8">
        <v>59.7</v>
      </c>
      <c r="AH125" s="8">
        <v>69.5</v>
      </c>
      <c r="AI125" s="8">
        <v>99.7</v>
      </c>
      <c r="AL125" s="8">
        <v>85.6</v>
      </c>
      <c r="AP125" s="8">
        <v>122.9</v>
      </c>
      <c r="AQ125" s="8">
        <v>124.1</v>
      </c>
      <c r="AR125" s="8">
        <v>124</v>
      </c>
      <c r="AX125" s="8">
        <v>87.8</v>
      </c>
      <c r="AZ125" s="8">
        <v>88.7</v>
      </c>
      <c r="BA125" s="8">
        <v>69.3</v>
      </c>
      <c r="BC125" s="8">
        <v>94.9</v>
      </c>
      <c r="BD125" s="8">
        <v>247.4</v>
      </c>
      <c r="BJ125" s="8">
        <v>58.8</v>
      </c>
      <c r="BK125" s="8">
        <v>59.5</v>
      </c>
    </row>
    <row r="126" spans="1:63" x14ac:dyDescent="0.2">
      <c r="A126" s="9">
        <v>35582</v>
      </c>
      <c r="B126" s="8">
        <v>55.9</v>
      </c>
      <c r="C126" s="8">
        <v>66.599999999999994</v>
      </c>
      <c r="D126" s="8">
        <v>51.2</v>
      </c>
      <c r="E126" s="8">
        <v>62</v>
      </c>
      <c r="F126" s="8">
        <v>-0.9</v>
      </c>
      <c r="G126" s="8">
        <v>-0.7</v>
      </c>
      <c r="H126" s="8">
        <v>-1.2</v>
      </c>
      <c r="I126" s="8">
        <v>-2.6</v>
      </c>
      <c r="J126" s="8">
        <v>-5.0999999999999996</v>
      </c>
      <c r="K126" s="8">
        <v>-1.2</v>
      </c>
      <c r="L126" s="8">
        <v>56.8</v>
      </c>
      <c r="O126" s="8">
        <v>52</v>
      </c>
      <c r="Q126" s="8">
        <v>53.9</v>
      </c>
      <c r="R126" s="8">
        <v>71.400000000000006</v>
      </c>
      <c r="S126" s="8">
        <v>66.3</v>
      </c>
      <c r="T126" s="8">
        <v>65</v>
      </c>
      <c r="U126" s="8">
        <v>23.9</v>
      </c>
      <c r="V126" s="8">
        <v>27.2</v>
      </c>
      <c r="W126" s="8">
        <v>30.6</v>
      </c>
      <c r="X126" s="8">
        <v>59.8</v>
      </c>
      <c r="Y126" s="8">
        <v>52.8</v>
      </c>
      <c r="Z126" s="8">
        <v>74.2</v>
      </c>
      <c r="AA126" s="8">
        <v>96.6</v>
      </c>
      <c r="AC126" s="8">
        <v>122.6</v>
      </c>
      <c r="AE126" s="8">
        <v>128.80000000000001</v>
      </c>
      <c r="AG126" s="8">
        <v>61.6</v>
      </c>
      <c r="AH126" s="8">
        <v>69.7</v>
      </c>
      <c r="AI126" s="8">
        <v>98.9</v>
      </c>
      <c r="AL126" s="8">
        <v>85.4</v>
      </c>
      <c r="AP126" s="8">
        <v>122.7</v>
      </c>
      <c r="AQ126" s="8">
        <v>119.4</v>
      </c>
      <c r="AR126" s="8">
        <v>119.3</v>
      </c>
      <c r="AX126" s="8">
        <v>87.6</v>
      </c>
      <c r="AZ126" s="8">
        <v>88.4</v>
      </c>
      <c r="BA126" s="8">
        <v>70</v>
      </c>
      <c r="BC126" s="8">
        <v>94.4</v>
      </c>
      <c r="BD126" s="8">
        <v>246.8</v>
      </c>
      <c r="BJ126" s="8">
        <v>58.2</v>
      </c>
      <c r="BK126" s="8">
        <v>59.7</v>
      </c>
    </row>
    <row r="127" spans="1:63" x14ac:dyDescent="0.2">
      <c r="A127" s="9">
        <v>35674</v>
      </c>
      <c r="B127" s="8">
        <v>56.5</v>
      </c>
      <c r="C127" s="8">
        <v>67.7</v>
      </c>
      <c r="D127" s="8">
        <v>51.5</v>
      </c>
      <c r="E127" s="8">
        <v>62.9</v>
      </c>
      <c r="F127" s="8">
        <v>1.1000000000000001</v>
      </c>
      <c r="G127" s="8">
        <v>1.7</v>
      </c>
      <c r="H127" s="8">
        <v>0.6</v>
      </c>
      <c r="I127" s="8">
        <v>0.4</v>
      </c>
      <c r="J127" s="8">
        <v>-0.9</v>
      </c>
      <c r="K127" s="8">
        <v>1</v>
      </c>
      <c r="L127" s="8">
        <v>58</v>
      </c>
      <c r="O127" s="8">
        <v>54.4</v>
      </c>
      <c r="Q127" s="8">
        <v>51.4</v>
      </c>
      <c r="R127" s="8">
        <v>72.900000000000006</v>
      </c>
      <c r="S127" s="8">
        <v>69.099999999999994</v>
      </c>
      <c r="T127" s="8">
        <v>64.900000000000006</v>
      </c>
      <c r="U127" s="8">
        <v>24.6</v>
      </c>
      <c r="V127" s="8">
        <v>26.6</v>
      </c>
      <c r="W127" s="8">
        <v>30.6</v>
      </c>
      <c r="X127" s="8">
        <v>59.8</v>
      </c>
      <c r="Y127" s="8">
        <v>52.7</v>
      </c>
      <c r="Z127" s="8">
        <v>74.2</v>
      </c>
      <c r="AA127" s="8">
        <v>98.4</v>
      </c>
      <c r="AC127" s="8">
        <v>121.7</v>
      </c>
      <c r="AE127" s="8">
        <v>131.69999999999999</v>
      </c>
      <c r="AG127" s="8">
        <v>64.599999999999994</v>
      </c>
      <c r="AH127" s="8">
        <v>70.099999999999994</v>
      </c>
      <c r="AI127" s="8">
        <v>100.6</v>
      </c>
      <c r="AL127" s="8">
        <v>87.4</v>
      </c>
      <c r="AP127" s="8">
        <v>122.5</v>
      </c>
      <c r="AQ127" s="8">
        <v>114.4</v>
      </c>
      <c r="AR127" s="8">
        <v>114.3</v>
      </c>
      <c r="AX127" s="8">
        <v>91.3</v>
      </c>
      <c r="AZ127" s="8">
        <v>92.1</v>
      </c>
      <c r="BA127" s="8">
        <v>73.2</v>
      </c>
      <c r="BC127" s="8">
        <v>94.6</v>
      </c>
      <c r="BD127" s="8">
        <v>254.9</v>
      </c>
      <c r="BJ127" s="8">
        <v>58.9</v>
      </c>
      <c r="BK127" s="8">
        <v>59.7</v>
      </c>
    </row>
    <row r="128" spans="1:63" x14ac:dyDescent="0.2">
      <c r="A128" s="9">
        <v>35765</v>
      </c>
      <c r="B128" s="8">
        <v>66.2</v>
      </c>
      <c r="C128" s="8">
        <v>81.099999999999994</v>
      </c>
      <c r="D128" s="8">
        <v>61.7</v>
      </c>
      <c r="E128" s="8">
        <v>69.400000000000006</v>
      </c>
      <c r="F128" s="8"/>
      <c r="G128" s="8"/>
      <c r="H128" s="8"/>
      <c r="I128" s="8"/>
      <c r="J128" s="8"/>
      <c r="K128" s="8"/>
      <c r="L128" s="8">
        <v>58.1</v>
      </c>
      <c r="O128" s="8">
        <v>55</v>
      </c>
      <c r="Q128" s="8">
        <v>49.7</v>
      </c>
      <c r="R128" s="8">
        <v>73.5</v>
      </c>
      <c r="S128" s="8">
        <v>69.900000000000006</v>
      </c>
      <c r="T128" s="8">
        <v>64.8</v>
      </c>
      <c r="U128" s="8">
        <v>24.6</v>
      </c>
      <c r="V128" s="8">
        <v>29.5</v>
      </c>
      <c r="W128" s="8">
        <v>29.6</v>
      </c>
      <c r="X128" s="8">
        <v>60.1</v>
      </c>
      <c r="Y128" s="8">
        <v>52.6</v>
      </c>
      <c r="Z128" s="8">
        <v>75.400000000000006</v>
      </c>
      <c r="AA128" s="8">
        <v>100.5</v>
      </c>
      <c r="AC128" s="8">
        <v>121.7</v>
      </c>
      <c r="AE128" s="8">
        <v>131.69999999999999</v>
      </c>
      <c r="AG128" s="8">
        <v>67.400000000000006</v>
      </c>
      <c r="AH128" s="8">
        <v>73.7</v>
      </c>
      <c r="AI128" s="8">
        <v>105.3</v>
      </c>
      <c r="AL128" s="8">
        <v>87.7</v>
      </c>
      <c r="AP128" s="8">
        <v>119.9</v>
      </c>
      <c r="AQ128" s="8">
        <v>111.5</v>
      </c>
      <c r="AR128" s="8">
        <v>111.4</v>
      </c>
      <c r="AX128" s="8">
        <v>94.1</v>
      </c>
      <c r="AZ128" s="8">
        <v>93.9</v>
      </c>
      <c r="BA128" s="8">
        <v>77.599999999999994</v>
      </c>
      <c r="BC128" s="8">
        <v>97</v>
      </c>
      <c r="BD128" s="8">
        <v>259.8</v>
      </c>
      <c r="BJ128" s="8">
        <v>59.5</v>
      </c>
      <c r="BK128" s="8">
        <v>58.4</v>
      </c>
    </row>
    <row r="129" spans="1:63" x14ac:dyDescent="0.2">
      <c r="A129" s="9">
        <v>35855</v>
      </c>
      <c r="B129" s="8">
        <v>65.7</v>
      </c>
      <c r="C129" s="8">
        <v>82.3</v>
      </c>
      <c r="D129" s="8">
        <v>60.5</v>
      </c>
      <c r="E129" s="8">
        <v>69.7</v>
      </c>
      <c r="F129" s="8">
        <v>-0.8</v>
      </c>
      <c r="G129" s="8">
        <v>1.5</v>
      </c>
      <c r="H129" s="8">
        <v>-1.9</v>
      </c>
      <c r="I129" s="8"/>
      <c r="J129" s="8"/>
      <c r="K129" s="8"/>
      <c r="L129" s="8">
        <v>58.6</v>
      </c>
      <c r="O129" s="8">
        <v>55.2</v>
      </c>
      <c r="Q129" s="8">
        <v>52.5</v>
      </c>
      <c r="R129" s="8">
        <v>74.7</v>
      </c>
      <c r="S129" s="8">
        <v>64.5</v>
      </c>
      <c r="T129" s="8">
        <v>65.599999999999994</v>
      </c>
      <c r="U129" s="8">
        <v>24.6</v>
      </c>
      <c r="V129" s="8">
        <v>23.8</v>
      </c>
      <c r="W129" s="8">
        <v>29.7</v>
      </c>
      <c r="X129" s="8">
        <v>60.1</v>
      </c>
      <c r="Y129" s="8">
        <v>52.6</v>
      </c>
      <c r="Z129" s="8">
        <v>75.599999999999994</v>
      </c>
      <c r="AA129" s="8">
        <v>99.6</v>
      </c>
      <c r="AC129" s="8">
        <v>121.9</v>
      </c>
      <c r="AE129" s="8">
        <v>143.30000000000001</v>
      </c>
      <c r="AG129" s="8">
        <v>69.8</v>
      </c>
      <c r="AH129" s="8">
        <v>75.099999999999994</v>
      </c>
      <c r="AI129" s="8">
        <v>107.6</v>
      </c>
      <c r="AL129" s="8">
        <v>85.9</v>
      </c>
      <c r="AP129" s="8">
        <v>118.8</v>
      </c>
      <c r="AQ129" s="8">
        <v>126.7</v>
      </c>
      <c r="AR129" s="8">
        <v>126.6</v>
      </c>
      <c r="AX129" s="8">
        <v>97.8</v>
      </c>
      <c r="AZ129" s="8">
        <v>97.3</v>
      </c>
      <c r="BA129" s="8">
        <v>80.8</v>
      </c>
      <c r="BC129" s="8">
        <v>95.1</v>
      </c>
      <c r="BD129" s="8">
        <v>263.7</v>
      </c>
      <c r="BJ129" s="8">
        <v>57.3</v>
      </c>
      <c r="BK129" s="8">
        <v>58.4</v>
      </c>
    </row>
    <row r="130" spans="1:63" x14ac:dyDescent="0.2">
      <c r="A130" s="9">
        <v>35947</v>
      </c>
      <c r="B130" s="8">
        <v>66.3</v>
      </c>
      <c r="C130" s="8">
        <v>83.3</v>
      </c>
      <c r="D130" s="8">
        <v>61</v>
      </c>
      <c r="E130" s="8">
        <v>70.3</v>
      </c>
      <c r="F130" s="8">
        <v>0.9</v>
      </c>
      <c r="G130" s="8">
        <v>1.2</v>
      </c>
      <c r="H130" s="8">
        <v>0.8</v>
      </c>
      <c r="I130" s="8"/>
      <c r="J130" s="8"/>
      <c r="K130" s="8"/>
      <c r="L130" s="8">
        <v>58.1</v>
      </c>
      <c r="O130" s="8">
        <v>54.1</v>
      </c>
      <c r="Q130" s="8">
        <v>55.3</v>
      </c>
      <c r="R130" s="8">
        <v>73.3</v>
      </c>
      <c r="S130" s="8">
        <v>53.4</v>
      </c>
      <c r="T130" s="8">
        <v>65.8</v>
      </c>
      <c r="U130" s="8">
        <v>27.3</v>
      </c>
      <c r="V130" s="8">
        <v>24</v>
      </c>
      <c r="W130" s="8">
        <v>30.4</v>
      </c>
      <c r="X130" s="8">
        <v>60.7</v>
      </c>
      <c r="Y130" s="8">
        <v>52.8</v>
      </c>
      <c r="Z130" s="8">
        <v>76.900000000000006</v>
      </c>
      <c r="AA130" s="8">
        <v>99.3</v>
      </c>
      <c r="AC130" s="8">
        <v>122.3</v>
      </c>
      <c r="AE130" s="8">
        <v>151.6</v>
      </c>
      <c r="AG130" s="8">
        <v>70.900000000000006</v>
      </c>
      <c r="AH130" s="8">
        <v>76.3</v>
      </c>
      <c r="AI130" s="8">
        <v>109.6</v>
      </c>
      <c r="AL130" s="8">
        <v>90.1</v>
      </c>
      <c r="AP130" s="8">
        <v>114.8</v>
      </c>
      <c r="AQ130" s="8">
        <v>126.3</v>
      </c>
      <c r="AR130" s="8">
        <v>126.1</v>
      </c>
      <c r="AX130" s="8">
        <v>100.1</v>
      </c>
      <c r="AZ130" s="8">
        <v>100.1</v>
      </c>
      <c r="BA130" s="8">
        <v>83.9</v>
      </c>
      <c r="BC130" s="8">
        <v>95.8</v>
      </c>
      <c r="BD130" s="8">
        <v>254.3</v>
      </c>
      <c r="BJ130" s="8">
        <v>57.3</v>
      </c>
      <c r="BK130" s="8">
        <v>58.1</v>
      </c>
    </row>
    <row r="131" spans="1:63" x14ac:dyDescent="0.2">
      <c r="A131" s="9">
        <v>36039</v>
      </c>
      <c r="B131" s="8">
        <v>66.8</v>
      </c>
      <c r="C131" s="8">
        <v>85.1</v>
      </c>
      <c r="D131" s="8">
        <v>61.1</v>
      </c>
      <c r="E131" s="8">
        <v>71.099999999999994</v>
      </c>
      <c r="F131" s="8">
        <v>0.8</v>
      </c>
      <c r="G131" s="8">
        <v>2.2000000000000002</v>
      </c>
      <c r="H131" s="8">
        <v>0.2</v>
      </c>
      <c r="I131" s="8"/>
      <c r="J131" s="8"/>
      <c r="K131" s="8"/>
      <c r="L131" s="8">
        <v>58.8</v>
      </c>
      <c r="O131" s="8">
        <v>55.7</v>
      </c>
      <c r="Q131" s="8">
        <v>53.9</v>
      </c>
      <c r="R131" s="8">
        <v>72.900000000000006</v>
      </c>
      <c r="S131" s="8">
        <v>53.8</v>
      </c>
      <c r="T131" s="8">
        <v>67</v>
      </c>
      <c r="U131" s="8">
        <v>28.7</v>
      </c>
      <c r="V131" s="8">
        <v>22.5</v>
      </c>
      <c r="W131" s="8">
        <v>30.9</v>
      </c>
      <c r="X131" s="8">
        <v>61.1</v>
      </c>
      <c r="Y131" s="8">
        <v>51.7</v>
      </c>
      <c r="Z131" s="8">
        <v>80.400000000000006</v>
      </c>
      <c r="AA131" s="8">
        <v>101.8</v>
      </c>
      <c r="AC131" s="8">
        <v>123.1</v>
      </c>
      <c r="AE131" s="8">
        <v>151.6</v>
      </c>
      <c r="AG131" s="8">
        <v>70.7</v>
      </c>
      <c r="AH131" s="8">
        <v>76</v>
      </c>
      <c r="AI131" s="8">
        <v>118.3</v>
      </c>
      <c r="AL131" s="8">
        <v>93.5</v>
      </c>
      <c r="AP131" s="8">
        <v>104.1</v>
      </c>
      <c r="AQ131" s="8">
        <v>126.3</v>
      </c>
      <c r="AR131" s="8">
        <v>126.1</v>
      </c>
      <c r="AX131" s="8">
        <v>106.4</v>
      </c>
      <c r="AZ131" s="8">
        <v>104.4</v>
      </c>
      <c r="BA131" s="8">
        <v>95.6</v>
      </c>
      <c r="BC131" s="8">
        <v>97.4</v>
      </c>
      <c r="BD131" s="8">
        <v>249.7</v>
      </c>
      <c r="BJ131" s="8">
        <v>57</v>
      </c>
      <c r="BK131" s="8">
        <v>56.2</v>
      </c>
    </row>
    <row r="132" spans="1:63" x14ac:dyDescent="0.2">
      <c r="A132" s="9">
        <v>36130</v>
      </c>
      <c r="B132" s="8">
        <v>65.900000000000006</v>
      </c>
      <c r="C132" s="8">
        <v>82.6</v>
      </c>
      <c r="D132" s="8">
        <v>60.7</v>
      </c>
      <c r="E132" s="8">
        <v>70</v>
      </c>
      <c r="F132" s="8">
        <v>-1.3</v>
      </c>
      <c r="G132" s="8">
        <v>-2.9</v>
      </c>
      <c r="H132" s="8">
        <v>-0.7</v>
      </c>
      <c r="I132" s="8">
        <v>-0.5</v>
      </c>
      <c r="J132" s="8">
        <v>1.8</v>
      </c>
      <c r="K132" s="8">
        <v>-1.6</v>
      </c>
      <c r="L132" s="8">
        <v>58</v>
      </c>
      <c r="O132" s="8">
        <v>55.1</v>
      </c>
      <c r="Q132" s="8">
        <v>53.4</v>
      </c>
      <c r="R132" s="8">
        <v>71.8</v>
      </c>
      <c r="S132" s="8">
        <v>61.6</v>
      </c>
      <c r="T132" s="8">
        <v>67.2</v>
      </c>
      <c r="U132" s="8">
        <v>27.7</v>
      </c>
      <c r="V132" s="8">
        <v>22.8</v>
      </c>
      <c r="W132" s="8">
        <v>29.9</v>
      </c>
      <c r="X132" s="8">
        <v>60.7</v>
      </c>
      <c r="Y132" s="8">
        <v>51.7</v>
      </c>
      <c r="Z132" s="8">
        <v>79.3</v>
      </c>
      <c r="AA132" s="8">
        <v>99.8</v>
      </c>
      <c r="AC132" s="8">
        <v>119.2</v>
      </c>
      <c r="AE132" s="8">
        <v>151.6</v>
      </c>
      <c r="AG132" s="8">
        <v>68.099999999999994</v>
      </c>
      <c r="AH132" s="8">
        <v>74.2</v>
      </c>
      <c r="AI132" s="8">
        <v>111.7</v>
      </c>
      <c r="AL132" s="8">
        <v>80.599999999999994</v>
      </c>
      <c r="AP132" s="8">
        <v>110.8</v>
      </c>
      <c r="AQ132" s="8">
        <v>140.6</v>
      </c>
      <c r="AR132" s="8">
        <v>140.4</v>
      </c>
      <c r="AX132" s="8">
        <v>103.4</v>
      </c>
      <c r="AZ132" s="8">
        <v>106</v>
      </c>
      <c r="BA132" s="8">
        <v>93.3</v>
      </c>
      <c r="BC132" s="8">
        <v>94.1</v>
      </c>
      <c r="BD132" s="8">
        <v>238</v>
      </c>
      <c r="BJ132" s="8">
        <v>57.6</v>
      </c>
      <c r="BK132" s="8">
        <v>55.1</v>
      </c>
    </row>
    <row r="133" spans="1:63" x14ac:dyDescent="0.2">
      <c r="A133" s="9">
        <v>36220</v>
      </c>
      <c r="B133" s="8">
        <v>64.900000000000006</v>
      </c>
      <c r="C133" s="8">
        <v>81.400000000000006</v>
      </c>
      <c r="D133" s="8">
        <v>59.8</v>
      </c>
      <c r="E133" s="8">
        <v>69.3</v>
      </c>
      <c r="F133" s="8">
        <v>-1.5</v>
      </c>
      <c r="G133" s="8">
        <v>-1.5</v>
      </c>
      <c r="H133" s="8">
        <v>-1.5</v>
      </c>
      <c r="I133" s="8">
        <v>-1.2</v>
      </c>
      <c r="J133" s="8">
        <v>-1.1000000000000001</v>
      </c>
      <c r="K133" s="8">
        <v>-1.2</v>
      </c>
      <c r="L133" s="8">
        <v>59.8</v>
      </c>
      <c r="O133" s="8">
        <v>56.2</v>
      </c>
      <c r="Q133" s="8">
        <v>55.4</v>
      </c>
      <c r="R133" s="8">
        <v>72</v>
      </c>
      <c r="S133" s="8">
        <v>72.400000000000006</v>
      </c>
      <c r="T133" s="8">
        <v>66.5</v>
      </c>
      <c r="U133" s="8">
        <v>27.7</v>
      </c>
      <c r="V133" s="8">
        <v>19.8</v>
      </c>
      <c r="W133" s="8">
        <v>28.8</v>
      </c>
      <c r="X133" s="8">
        <v>60.5</v>
      </c>
      <c r="Y133" s="8">
        <v>51.6</v>
      </c>
      <c r="Z133" s="8">
        <v>78.900000000000006</v>
      </c>
      <c r="AA133" s="8">
        <v>97.8</v>
      </c>
      <c r="AC133" s="8">
        <v>120.5</v>
      </c>
      <c r="AE133" s="8">
        <v>151.6</v>
      </c>
      <c r="AG133" s="8">
        <v>65.599999999999994</v>
      </c>
      <c r="AH133" s="8">
        <v>75.099999999999994</v>
      </c>
      <c r="AI133" s="8">
        <v>111.6</v>
      </c>
      <c r="AL133" s="8">
        <v>78.8</v>
      </c>
      <c r="AP133" s="8">
        <v>111.1</v>
      </c>
      <c r="AQ133" s="8">
        <v>137.1</v>
      </c>
      <c r="AR133" s="8">
        <v>137</v>
      </c>
      <c r="AX133" s="8">
        <v>104</v>
      </c>
      <c r="AZ133" s="8">
        <v>106.7</v>
      </c>
      <c r="BA133" s="8">
        <v>91.5</v>
      </c>
      <c r="BC133" s="8">
        <v>91.6</v>
      </c>
      <c r="BD133" s="8">
        <v>227.9</v>
      </c>
      <c r="BJ133" s="8">
        <v>57.2</v>
      </c>
      <c r="BK133" s="8">
        <v>53.4</v>
      </c>
    </row>
    <row r="134" spans="1:63" x14ac:dyDescent="0.2">
      <c r="A134" s="9">
        <v>36312</v>
      </c>
      <c r="B134" s="8">
        <v>64.7</v>
      </c>
      <c r="C134" s="8">
        <v>79.900000000000006</v>
      </c>
      <c r="D134" s="8">
        <v>60</v>
      </c>
      <c r="E134" s="8">
        <v>68.400000000000006</v>
      </c>
      <c r="F134" s="8">
        <v>-0.3</v>
      </c>
      <c r="G134" s="8">
        <v>-1.8</v>
      </c>
      <c r="H134" s="8">
        <v>0.3</v>
      </c>
      <c r="I134" s="8">
        <v>-2.4</v>
      </c>
      <c r="J134" s="8">
        <v>-4.0999999999999996</v>
      </c>
      <c r="K134" s="8">
        <v>-1.6</v>
      </c>
      <c r="L134" s="8">
        <v>59</v>
      </c>
      <c r="O134" s="8">
        <v>56.2</v>
      </c>
      <c r="Q134" s="8">
        <v>55.4</v>
      </c>
      <c r="R134" s="8">
        <v>69.2</v>
      </c>
      <c r="S134" s="8">
        <v>61</v>
      </c>
      <c r="T134" s="8">
        <v>66.8</v>
      </c>
      <c r="U134" s="8">
        <v>26.6</v>
      </c>
      <c r="V134" s="8">
        <v>25.4</v>
      </c>
      <c r="W134" s="8">
        <v>28.1</v>
      </c>
      <c r="X134" s="8">
        <v>60</v>
      </c>
      <c r="Y134" s="8">
        <v>51</v>
      </c>
      <c r="Z134" s="8">
        <v>78.400000000000006</v>
      </c>
      <c r="AA134" s="8">
        <v>94.1</v>
      </c>
      <c r="AC134" s="8">
        <v>119.4</v>
      </c>
      <c r="AE134" s="8">
        <v>151.6</v>
      </c>
      <c r="AG134" s="8">
        <v>65.599999999999994</v>
      </c>
      <c r="AH134" s="8">
        <v>80.7</v>
      </c>
      <c r="AI134" s="8">
        <v>108.6</v>
      </c>
      <c r="AL134" s="8">
        <v>85.5</v>
      </c>
      <c r="AP134" s="8">
        <v>107.1</v>
      </c>
      <c r="AQ134" s="8">
        <v>136.9</v>
      </c>
      <c r="AR134" s="8">
        <v>136.69999999999999</v>
      </c>
      <c r="AX134" s="8">
        <v>99.6</v>
      </c>
      <c r="AZ134" s="8">
        <v>106</v>
      </c>
      <c r="BA134" s="8">
        <v>89.4</v>
      </c>
      <c r="BC134" s="8">
        <v>90.1</v>
      </c>
      <c r="BD134" s="8">
        <v>219.4</v>
      </c>
      <c r="BJ134" s="8">
        <v>57.7</v>
      </c>
      <c r="BK134" s="8">
        <v>53.6</v>
      </c>
    </row>
    <row r="135" spans="1:63" x14ac:dyDescent="0.2">
      <c r="A135" s="9">
        <v>36404</v>
      </c>
      <c r="B135" s="8">
        <v>65.099999999999994</v>
      </c>
      <c r="C135" s="8">
        <v>79.099999999999994</v>
      </c>
      <c r="D135" s="8">
        <v>60.9</v>
      </c>
      <c r="E135" s="8">
        <v>67.8</v>
      </c>
      <c r="F135" s="8">
        <v>0.6</v>
      </c>
      <c r="G135" s="8">
        <v>-1</v>
      </c>
      <c r="H135" s="8">
        <v>1.5</v>
      </c>
      <c r="I135" s="8">
        <v>-2.5</v>
      </c>
      <c r="J135" s="8">
        <v>-7.1</v>
      </c>
      <c r="K135" s="8">
        <v>-0.3</v>
      </c>
      <c r="L135" s="8">
        <v>57.7</v>
      </c>
      <c r="O135" s="8">
        <v>55.7</v>
      </c>
      <c r="Q135" s="8">
        <v>48.9</v>
      </c>
      <c r="R135" s="8">
        <v>68.900000000000006</v>
      </c>
      <c r="S135" s="8">
        <v>68.3</v>
      </c>
      <c r="T135" s="8">
        <v>66.3</v>
      </c>
      <c r="U135" s="8">
        <v>22.3</v>
      </c>
      <c r="V135" s="8">
        <v>32.5</v>
      </c>
      <c r="W135" s="8">
        <v>27.2</v>
      </c>
      <c r="X135" s="8">
        <v>60</v>
      </c>
      <c r="Y135" s="8">
        <v>51.4</v>
      </c>
      <c r="Z135" s="8">
        <v>77.7</v>
      </c>
      <c r="AA135" s="8">
        <v>92.1</v>
      </c>
      <c r="AC135" s="8">
        <v>111</v>
      </c>
      <c r="AE135" s="8">
        <v>151.6</v>
      </c>
      <c r="AG135" s="8">
        <v>66.2</v>
      </c>
      <c r="AH135" s="8">
        <v>80.7</v>
      </c>
      <c r="AI135" s="8">
        <v>108.7</v>
      </c>
      <c r="AL135" s="8">
        <v>87.3</v>
      </c>
      <c r="AP135" s="8">
        <v>105.5</v>
      </c>
      <c r="AQ135" s="8">
        <v>123.5</v>
      </c>
      <c r="AR135" s="8">
        <v>123.4</v>
      </c>
      <c r="AX135" s="8">
        <v>98.7</v>
      </c>
      <c r="AZ135" s="8">
        <v>106.1</v>
      </c>
      <c r="BA135" s="8">
        <v>87.5</v>
      </c>
      <c r="BC135" s="8">
        <v>89.8</v>
      </c>
      <c r="BD135" s="8">
        <v>214.6</v>
      </c>
      <c r="BJ135" s="8">
        <v>57.9</v>
      </c>
      <c r="BK135" s="8">
        <v>57</v>
      </c>
    </row>
    <row r="136" spans="1:63" x14ac:dyDescent="0.2">
      <c r="A136" s="9">
        <v>36495</v>
      </c>
      <c r="B136" s="8">
        <v>67.3</v>
      </c>
      <c r="C136" s="8">
        <v>80.599999999999994</v>
      </c>
      <c r="D136" s="8">
        <v>63.4</v>
      </c>
      <c r="E136" s="8">
        <v>69.400000000000006</v>
      </c>
      <c r="F136" s="8">
        <v>3.4</v>
      </c>
      <c r="G136" s="8">
        <v>1.9</v>
      </c>
      <c r="H136" s="8">
        <v>4.0999999999999996</v>
      </c>
      <c r="I136" s="8">
        <v>2.1</v>
      </c>
      <c r="J136" s="8">
        <v>-2.4</v>
      </c>
      <c r="K136" s="8">
        <v>4.4000000000000004</v>
      </c>
      <c r="L136" s="8">
        <v>58.6</v>
      </c>
      <c r="O136" s="8">
        <v>57.4</v>
      </c>
      <c r="Q136" s="8">
        <v>48.1</v>
      </c>
      <c r="R136" s="8">
        <v>68.7</v>
      </c>
      <c r="S136" s="8">
        <v>80</v>
      </c>
      <c r="T136" s="8">
        <v>67.8</v>
      </c>
      <c r="U136" s="8">
        <v>22.5</v>
      </c>
      <c r="V136" s="8">
        <v>38.200000000000003</v>
      </c>
      <c r="W136" s="8">
        <v>29.5</v>
      </c>
      <c r="X136" s="8">
        <v>59.8</v>
      </c>
      <c r="Y136" s="8">
        <v>51.2</v>
      </c>
      <c r="Z136" s="8">
        <v>77.7</v>
      </c>
      <c r="AA136" s="8">
        <v>91.2</v>
      </c>
      <c r="AC136" s="8">
        <v>115.1</v>
      </c>
      <c r="AE136" s="8">
        <v>150</v>
      </c>
      <c r="AG136" s="8">
        <v>68.400000000000006</v>
      </c>
      <c r="AH136" s="8">
        <v>80.7</v>
      </c>
      <c r="AI136" s="8">
        <v>112.4</v>
      </c>
      <c r="AL136" s="8">
        <v>103.2</v>
      </c>
      <c r="AP136" s="8">
        <v>107.6</v>
      </c>
      <c r="AQ136" s="8">
        <v>123.2</v>
      </c>
      <c r="AR136" s="8">
        <v>123</v>
      </c>
      <c r="AX136" s="8">
        <v>99.1</v>
      </c>
      <c r="AZ136" s="8">
        <v>106.5</v>
      </c>
      <c r="BA136" s="8">
        <v>89.1</v>
      </c>
      <c r="BC136" s="8">
        <v>82.6</v>
      </c>
      <c r="BD136" s="8">
        <v>211.3</v>
      </c>
      <c r="BJ136" s="8">
        <v>61.4</v>
      </c>
      <c r="BK136" s="8">
        <v>58.9</v>
      </c>
    </row>
    <row r="137" spans="1:63" x14ac:dyDescent="0.2">
      <c r="A137" s="9">
        <v>36586</v>
      </c>
      <c r="B137" s="8">
        <v>69.2</v>
      </c>
      <c r="C137" s="8">
        <v>82.6</v>
      </c>
      <c r="D137" s="8">
        <v>65.400000000000006</v>
      </c>
      <c r="E137" s="8">
        <v>70.900000000000006</v>
      </c>
      <c r="F137" s="8">
        <v>2.8</v>
      </c>
      <c r="G137" s="8">
        <v>2.5</v>
      </c>
      <c r="H137" s="8">
        <v>3.2</v>
      </c>
      <c r="I137" s="8">
        <v>6.6</v>
      </c>
      <c r="J137" s="8">
        <v>1.5</v>
      </c>
      <c r="K137" s="8">
        <v>9.4</v>
      </c>
      <c r="L137" s="8">
        <v>59</v>
      </c>
      <c r="O137" s="8">
        <v>57.5</v>
      </c>
      <c r="Q137" s="8">
        <v>49.8</v>
      </c>
      <c r="R137" s="8">
        <v>71.5</v>
      </c>
      <c r="S137" s="8">
        <v>78.2</v>
      </c>
      <c r="T137" s="8">
        <v>67.8</v>
      </c>
      <c r="U137" s="8">
        <v>22.9</v>
      </c>
      <c r="V137" s="8">
        <v>42.8</v>
      </c>
      <c r="W137" s="8">
        <v>29.8</v>
      </c>
      <c r="X137" s="8">
        <v>59.9</v>
      </c>
      <c r="Y137" s="8">
        <v>50.8</v>
      </c>
      <c r="Z137" s="8">
        <v>78.599999999999994</v>
      </c>
      <c r="AA137" s="8">
        <v>94</v>
      </c>
      <c r="AC137" s="8">
        <v>118.5</v>
      </c>
      <c r="AE137" s="8">
        <v>145</v>
      </c>
      <c r="AG137" s="8">
        <v>74.3</v>
      </c>
      <c r="AH137" s="8">
        <v>80.7</v>
      </c>
      <c r="AI137" s="8">
        <v>113.7</v>
      </c>
      <c r="AL137" s="8">
        <v>109.2</v>
      </c>
      <c r="AP137" s="8">
        <v>106.7</v>
      </c>
      <c r="AQ137" s="8">
        <v>124.1</v>
      </c>
      <c r="AR137" s="8">
        <v>124</v>
      </c>
      <c r="AX137" s="8">
        <v>101.2</v>
      </c>
      <c r="AZ137" s="8">
        <v>105.8</v>
      </c>
      <c r="BA137" s="8">
        <v>92.1</v>
      </c>
      <c r="BC137" s="8">
        <v>87.9</v>
      </c>
      <c r="BD137" s="8">
        <v>205.8</v>
      </c>
      <c r="BJ137" s="8">
        <v>64.599999999999994</v>
      </c>
      <c r="BK137" s="8">
        <v>57.9</v>
      </c>
    </row>
    <row r="138" spans="1:63" x14ac:dyDescent="0.2">
      <c r="A138" s="9">
        <v>36678</v>
      </c>
      <c r="B138" s="8">
        <v>72.099999999999994</v>
      </c>
      <c r="C138" s="8">
        <v>86.7</v>
      </c>
      <c r="D138" s="8">
        <v>67.8</v>
      </c>
      <c r="E138" s="8">
        <v>73.099999999999994</v>
      </c>
      <c r="F138" s="8">
        <v>4.2</v>
      </c>
      <c r="G138" s="8">
        <v>5</v>
      </c>
      <c r="H138" s="8">
        <v>3.7</v>
      </c>
      <c r="I138" s="8">
        <v>11.4</v>
      </c>
      <c r="J138" s="8">
        <v>8.5</v>
      </c>
      <c r="K138" s="8">
        <v>13</v>
      </c>
      <c r="L138" s="8">
        <v>59.6</v>
      </c>
      <c r="O138" s="8">
        <v>59.4</v>
      </c>
      <c r="Q138" s="8">
        <v>51</v>
      </c>
      <c r="R138" s="8">
        <v>68.599999999999994</v>
      </c>
      <c r="S138" s="8">
        <v>68.900000000000006</v>
      </c>
      <c r="T138" s="8">
        <v>67.900000000000006</v>
      </c>
      <c r="U138" s="8">
        <v>23.2</v>
      </c>
      <c r="V138" s="8">
        <v>49.4</v>
      </c>
      <c r="W138" s="8">
        <v>30.8</v>
      </c>
      <c r="X138" s="8">
        <v>60.7</v>
      </c>
      <c r="Y138" s="8">
        <v>50.8</v>
      </c>
      <c r="Z138" s="8">
        <v>80.900000000000006</v>
      </c>
      <c r="AA138" s="8">
        <v>97.6</v>
      </c>
      <c r="AC138" s="8">
        <v>125.2</v>
      </c>
      <c r="AE138" s="8">
        <v>146.80000000000001</v>
      </c>
      <c r="AG138" s="8">
        <v>84.3</v>
      </c>
      <c r="AH138" s="8">
        <v>80.7</v>
      </c>
      <c r="AI138" s="8">
        <v>120.7</v>
      </c>
      <c r="AL138" s="8">
        <v>124.2</v>
      </c>
      <c r="AP138" s="8">
        <v>106.7</v>
      </c>
      <c r="AQ138" s="8">
        <v>124.7</v>
      </c>
      <c r="AR138" s="8">
        <v>124.5</v>
      </c>
      <c r="AX138" s="8">
        <v>102.6</v>
      </c>
      <c r="AZ138" s="8">
        <v>105.7</v>
      </c>
      <c r="BA138" s="8">
        <v>94.1</v>
      </c>
      <c r="BC138" s="8">
        <v>90.6</v>
      </c>
      <c r="BD138" s="8">
        <v>212.3</v>
      </c>
      <c r="BJ138" s="8">
        <v>65.5</v>
      </c>
      <c r="BK138" s="8">
        <v>55.7</v>
      </c>
    </row>
    <row r="139" spans="1:63" x14ac:dyDescent="0.2">
      <c r="A139" s="9">
        <v>36770</v>
      </c>
      <c r="B139" s="8">
        <v>73.5</v>
      </c>
      <c r="C139" s="8">
        <v>87.4</v>
      </c>
      <c r="D139" s="8">
        <v>69.5</v>
      </c>
      <c r="E139" s="8">
        <v>74.099999999999994</v>
      </c>
      <c r="F139" s="8">
        <v>1.9</v>
      </c>
      <c r="G139" s="8">
        <v>0.8</v>
      </c>
      <c r="H139" s="8">
        <v>2.5</v>
      </c>
      <c r="I139" s="8">
        <v>12.9</v>
      </c>
      <c r="J139" s="8">
        <v>10.5</v>
      </c>
      <c r="K139" s="8">
        <v>14.1</v>
      </c>
      <c r="L139" s="8">
        <v>63</v>
      </c>
      <c r="O139" s="8">
        <v>61</v>
      </c>
      <c r="Q139" s="8">
        <v>60.5</v>
      </c>
      <c r="R139" s="8">
        <v>68.2</v>
      </c>
      <c r="S139" s="8">
        <v>75.8</v>
      </c>
      <c r="T139" s="8">
        <v>68.3</v>
      </c>
      <c r="U139" s="8">
        <v>23.8</v>
      </c>
      <c r="V139" s="8">
        <v>53.8</v>
      </c>
      <c r="W139" s="8">
        <v>31.5</v>
      </c>
      <c r="X139" s="8">
        <v>61.4</v>
      </c>
      <c r="Y139" s="8">
        <v>51</v>
      </c>
      <c r="Z139" s="8">
        <v>82.9</v>
      </c>
      <c r="AA139" s="8">
        <v>100.4</v>
      </c>
      <c r="AC139" s="8">
        <v>108.6</v>
      </c>
      <c r="AE139" s="8">
        <v>146.4</v>
      </c>
      <c r="AG139" s="8">
        <v>85.7</v>
      </c>
      <c r="AH139" s="8">
        <v>80.7</v>
      </c>
      <c r="AI139" s="8">
        <v>127.7</v>
      </c>
      <c r="AL139" s="8">
        <v>122.9</v>
      </c>
      <c r="AP139" s="8">
        <v>103.7</v>
      </c>
      <c r="AQ139" s="8">
        <v>153.9</v>
      </c>
      <c r="AR139" s="8">
        <v>153.69999999999999</v>
      </c>
      <c r="AX139" s="8">
        <v>104</v>
      </c>
      <c r="AZ139" s="8">
        <v>107.3</v>
      </c>
      <c r="BA139" s="8">
        <v>94.5</v>
      </c>
      <c r="BC139" s="8">
        <v>90.9</v>
      </c>
      <c r="BD139" s="8">
        <v>210.3</v>
      </c>
      <c r="BJ139" s="8">
        <v>64.099999999999994</v>
      </c>
      <c r="BK139" s="8">
        <v>53.5</v>
      </c>
    </row>
    <row r="140" spans="1:63" x14ac:dyDescent="0.2">
      <c r="A140" s="9">
        <v>36861</v>
      </c>
      <c r="B140" s="8">
        <v>76.5</v>
      </c>
      <c r="C140" s="8">
        <v>91.2</v>
      </c>
      <c r="D140" s="8">
        <v>72.3</v>
      </c>
      <c r="E140" s="8">
        <v>76.2</v>
      </c>
      <c r="F140" s="8">
        <v>4.0999999999999996</v>
      </c>
      <c r="G140" s="8">
        <v>4.3</v>
      </c>
      <c r="H140" s="8">
        <v>4</v>
      </c>
      <c r="I140" s="8">
        <v>13.7</v>
      </c>
      <c r="J140" s="8">
        <v>13.2</v>
      </c>
      <c r="K140" s="8">
        <v>14</v>
      </c>
      <c r="L140" s="8">
        <v>63.7</v>
      </c>
      <c r="O140" s="8">
        <v>62.4</v>
      </c>
      <c r="Q140" s="8">
        <v>56.4</v>
      </c>
      <c r="R140" s="8">
        <v>70.2</v>
      </c>
      <c r="S140" s="8">
        <v>79.900000000000006</v>
      </c>
      <c r="T140" s="8">
        <v>67.900000000000006</v>
      </c>
      <c r="U140" s="8">
        <v>23.8</v>
      </c>
      <c r="V140" s="8">
        <v>62.6</v>
      </c>
      <c r="W140" s="8">
        <v>33.5</v>
      </c>
      <c r="X140" s="8">
        <v>62.3</v>
      </c>
      <c r="Y140" s="8">
        <v>50.7</v>
      </c>
      <c r="Z140" s="8">
        <v>86.3</v>
      </c>
      <c r="AA140" s="8">
        <v>106.4</v>
      </c>
      <c r="AC140" s="8">
        <v>117.1</v>
      </c>
      <c r="AE140" s="8">
        <v>149.69999999999999</v>
      </c>
      <c r="AG140" s="8">
        <v>87.4</v>
      </c>
      <c r="AH140" s="8">
        <v>80.7</v>
      </c>
      <c r="AI140" s="8">
        <v>131.80000000000001</v>
      </c>
      <c r="AL140" s="8">
        <v>123</v>
      </c>
      <c r="AP140" s="8">
        <v>103.7</v>
      </c>
      <c r="AQ140" s="8">
        <v>141.6</v>
      </c>
      <c r="AR140" s="8">
        <v>141.4</v>
      </c>
      <c r="AX140" s="8">
        <v>105.8</v>
      </c>
      <c r="AZ140" s="8">
        <v>110.8</v>
      </c>
      <c r="BA140" s="8">
        <v>97.9</v>
      </c>
      <c r="BC140" s="8">
        <v>92</v>
      </c>
      <c r="BD140" s="8">
        <v>216.5</v>
      </c>
      <c r="BJ140" s="8">
        <v>64.900000000000006</v>
      </c>
      <c r="BK140" s="8">
        <v>54.5</v>
      </c>
    </row>
    <row r="141" spans="1:63" x14ac:dyDescent="0.2">
      <c r="A141" s="9">
        <v>36951</v>
      </c>
      <c r="B141" s="8">
        <v>75.900000000000006</v>
      </c>
      <c r="C141" s="8">
        <v>92.2</v>
      </c>
      <c r="D141" s="8">
        <v>71</v>
      </c>
      <c r="E141" s="8">
        <v>77</v>
      </c>
      <c r="F141" s="8">
        <v>-0.8</v>
      </c>
      <c r="G141" s="8">
        <v>1.1000000000000001</v>
      </c>
      <c r="H141" s="8">
        <v>-1.8</v>
      </c>
      <c r="I141" s="8">
        <v>9.6999999999999993</v>
      </c>
      <c r="J141" s="8">
        <v>11.6</v>
      </c>
      <c r="K141" s="8">
        <v>8.6</v>
      </c>
      <c r="L141" s="8">
        <v>65.8</v>
      </c>
      <c r="O141" s="8">
        <v>66.5</v>
      </c>
      <c r="Q141" s="8">
        <v>58.6</v>
      </c>
      <c r="R141" s="8">
        <v>74.8</v>
      </c>
      <c r="S141" s="8">
        <v>76.900000000000006</v>
      </c>
      <c r="T141" s="8">
        <v>66.8</v>
      </c>
      <c r="U141" s="8">
        <v>25.4</v>
      </c>
      <c r="V141" s="8">
        <v>51.6</v>
      </c>
      <c r="W141" s="8">
        <v>32.9</v>
      </c>
      <c r="X141" s="8">
        <v>62</v>
      </c>
      <c r="Y141" s="8">
        <v>50.6</v>
      </c>
      <c r="Z141" s="8">
        <v>85.5</v>
      </c>
      <c r="AA141" s="8">
        <v>106.4</v>
      </c>
      <c r="AC141" s="8">
        <v>128.30000000000001</v>
      </c>
      <c r="AE141" s="8">
        <v>158</v>
      </c>
      <c r="AG141" s="8">
        <v>93</v>
      </c>
      <c r="AH141" s="8">
        <v>80.7</v>
      </c>
      <c r="AI141" s="8">
        <v>130</v>
      </c>
      <c r="AL141" s="8">
        <v>129.4</v>
      </c>
      <c r="AP141" s="8">
        <v>103.7</v>
      </c>
      <c r="AQ141" s="8">
        <v>129.19999999999999</v>
      </c>
      <c r="AR141" s="8">
        <v>129.1</v>
      </c>
      <c r="AX141" s="8">
        <v>105.5</v>
      </c>
      <c r="AZ141" s="8">
        <v>111.1</v>
      </c>
      <c r="BA141" s="8">
        <v>99.1</v>
      </c>
      <c r="BC141" s="8">
        <v>97</v>
      </c>
      <c r="BD141" s="8">
        <v>213.9</v>
      </c>
      <c r="BJ141" s="8">
        <v>64.400000000000006</v>
      </c>
      <c r="BK141" s="8">
        <v>55.4</v>
      </c>
    </row>
    <row r="142" spans="1:63" x14ac:dyDescent="0.2">
      <c r="A142" s="9">
        <v>37043</v>
      </c>
      <c r="B142" s="8">
        <v>78.099999999999994</v>
      </c>
      <c r="C142" s="8">
        <v>95.1</v>
      </c>
      <c r="D142" s="8">
        <v>73.099999999999994</v>
      </c>
      <c r="E142" s="8">
        <v>78.900000000000006</v>
      </c>
      <c r="F142" s="8">
        <v>2.9</v>
      </c>
      <c r="G142" s="8">
        <v>3.1</v>
      </c>
      <c r="H142" s="8">
        <v>3</v>
      </c>
      <c r="I142" s="8">
        <v>8.3000000000000007</v>
      </c>
      <c r="J142" s="8">
        <v>9.6999999999999993</v>
      </c>
      <c r="K142" s="8">
        <v>7.8</v>
      </c>
      <c r="L142" s="8">
        <v>70.599999999999994</v>
      </c>
      <c r="O142" s="8">
        <v>73</v>
      </c>
      <c r="Q142" s="8">
        <v>63.7</v>
      </c>
      <c r="R142" s="8">
        <v>73.3</v>
      </c>
      <c r="S142" s="8">
        <v>75.400000000000006</v>
      </c>
      <c r="T142" s="8">
        <v>67.2</v>
      </c>
      <c r="U142" s="8">
        <v>26.3</v>
      </c>
      <c r="V142" s="8">
        <v>56.1</v>
      </c>
      <c r="W142" s="8">
        <v>34.1</v>
      </c>
      <c r="X142" s="8">
        <v>62.6</v>
      </c>
      <c r="Y142" s="8">
        <v>50.5</v>
      </c>
      <c r="Z142" s="8">
        <v>87.5</v>
      </c>
      <c r="AA142" s="8">
        <v>109.1</v>
      </c>
      <c r="AC142" s="8">
        <v>128.30000000000001</v>
      </c>
      <c r="AE142" s="8">
        <v>161.4</v>
      </c>
      <c r="AG142" s="8">
        <v>98.2</v>
      </c>
      <c r="AH142" s="8">
        <v>80.7</v>
      </c>
      <c r="AI142" s="8">
        <v>129.30000000000001</v>
      </c>
      <c r="AL142" s="8">
        <v>141.9</v>
      </c>
      <c r="AP142" s="8">
        <v>103.7</v>
      </c>
      <c r="AQ142" s="8">
        <v>138</v>
      </c>
      <c r="AR142" s="8">
        <v>137.9</v>
      </c>
      <c r="AX142" s="8">
        <v>112.1</v>
      </c>
      <c r="AZ142" s="8">
        <v>114.4</v>
      </c>
      <c r="BA142" s="8">
        <v>101.7</v>
      </c>
      <c r="BC142" s="8">
        <v>100.7</v>
      </c>
      <c r="BD142" s="8">
        <v>214.6</v>
      </c>
      <c r="BJ142" s="8">
        <v>65.099999999999994</v>
      </c>
      <c r="BK142" s="8">
        <v>55.8</v>
      </c>
    </row>
    <row r="143" spans="1:63" x14ac:dyDescent="0.2">
      <c r="A143" s="9">
        <v>37135</v>
      </c>
      <c r="B143" s="8">
        <v>76.400000000000006</v>
      </c>
      <c r="C143" s="8">
        <v>92.2</v>
      </c>
      <c r="D143" s="8">
        <v>71.7</v>
      </c>
      <c r="E143" s="8">
        <v>78</v>
      </c>
      <c r="F143" s="8">
        <v>-2.2000000000000002</v>
      </c>
      <c r="G143" s="8">
        <v>-3</v>
      </c>
      <c r="H143" s="8">
        <v>-1.9</v>
      </c>
      <c r="I143" s="8">
        <v>3.9</v>
      </c>
      <c r="J143" s="8">
        <v>5.5</v>
      </c>
      <c r="K143" s="8">
        <v>3.2</v>
      </c>
      <c r="L143" s="8">
        <v>75.8</v>
      </c>
      <c r="M143" s="8">
        <v>84.1</v>
      </c>
      <c r="N143" s="8">
        <v>136.69999999999999</v>
      </c>
      <c r="O143" s="8">
        <v>77.7</v>
      </c>
      <c r="P143" s="8">
        <v>48.8</v>
      </c>
      <c r="Q143" s="8">
        <v>73.099999999999994</v>
      </c>
      <c r="R143" s="8">
        <v>74.2</v>
      </c>
      <c r="S143" s="8">
        <v>82.4</v>
      </c>
      <c r="T143" s="8">
        <v>68.2</v>
      </c>
      <c r="U143" s="8">
        <v>27.4</v>
      </c>
      <c r="V143" s="8">
        <v>49.7</v>
      </c>
      <c r="W143" s="8">
        <v>34.9</v>
      </c>
      <c r="X143" s="8">
        <v>63</v>
      </c>
      <c r="Y143" s="8">
        <v>51.3</v>
      </c>
      <c r="Z143" s="8">
        <v>87.3</v>
      </c>
      <c r="AA143" s="8">
        <v>108.7</v>
      </c>
      <c r="AB143" s="8">
        <v>108.2</v>
      </c>
      <c r="AC143" s="8">
        <v>122.3</v>
      </c>
      <c r="AD143" s="8">
        <v>106.9</v>
      </c>
      <c r="AE143" s="8">
        <v>156.6</v>
      </c>
      <c r="AF143" s="8">
        <v>93</v>
      </c>
      <c r="AG143" s="8">
        <v>96.5</v>
      </c>
      <c r="AH143" s="8">
        <v>80.7</v>
      </c>
      <c r="AI143" s="8">
        <v>128</v>
      </c>
      <c r="AJ143" s="8">
        <v>63.4</v>
      </c>
      <c r="AK143" s="8">
        <v>99.7</v>
      </c>
      <c r="AL143" s="8">
        <v>107.2</v>
      </c>
      <c r="AM143" s="8">
        <v>144.80000000000001</v>
      </c>
      <c r="AN143" s="8">
        <v>93.1</v>
      </c>
      <c r="AO143" s="8">
        <v>92.7</v>
      </c>
      <c r="AP143" s="8">
        <v>102.9</v>
      </c>
      <c r="AQ143" s="8">
        <v>135.30000000000001</v>
      </c>
      <c r="AR143" s="8">
        <v>135.1</v>
      </c>
      <c r="AS143" s="8">
        <v>74</v>
      </c>
      <c r="AT143" s="8">
        <v>85</v>
      </c>
      <c r="AU143" s="8">
        <v>64.099999999999994</v>
      </c>
      <c r="AV143" s="8">
        <v>67</v>
      </c>
      <c r="AW143" s="8">
        <v>63.7</v>
      </c>
      <c r="AX143" s="8">
        <v>110.1</v>
      </c>
      <c r="AY143" s="8">
        <v>110.5</v>
      </c>
      <c r="AZ143" s="8">
        <v>116.3</v>
      </c>
      <c r="BA143" s="8">
        <v>101.3</v>
      </c>
      <c r="BB143" s="8">
        <v>101.5</v>
      </c>
      <c r="BC143" s="8">
        <v>95.2</v>
      </c>
      <c r="BD143" s="8">
        <v>202.5</v>
      </c>
      <c r="BE143" s="8">
        <v>91.1</v>
      </c>
      <c r="BF143" s="8">
        <v>146.9</v>
      </c>
      <c r="BG143" s="8">
        <v>99</v>
      </c>
      <c r="BH143" s="8">
        <v>84.3</v>
      </c>
      <c r="BI143" s="8">
        <v>62.7</v>
      </c>
      <c r="BJ143" s="8">
        <v>65.5</v>
      </c>
      <c r="BK143" s="8">
        <v>54.1</v>
      </c>
    </row>
    <row r="144" spans="1:63" x14ac:dyDescent="0.2">
      <c r="A144" s="9">
        <v>37226</v>
      </c>
      <c r="B144" s="8">
        <v>75.7</v>
      </c>
      <c r="C144" s="8">
        <v>93.6</v>
      </c>
      <c r="D144" s="8">
        <v>70.2</v>
      </c>
      <c r="E144" s="8">
        <v>78.400000000000006</v>
      </c>
      <c r="F144" s="8">
        <v>-0.9</v>
      </c>
      <c r="G144" s="8">
        <v>1.5</v>
      </c>
      <c r="H144" s="8">
        <v>-2.1</v>
      </c>
      <c r="I144" s="8">
        <v>-1</v>
      </c>
      <c r="J144" s="8">
        <v>2.6</v>
      </c>
      <c r="K144" s="8">
        <v>-2.9</v>
      </c>
      <c r="L144" s="8">
        <v>77.7</v>
      </c>
      <c r="M144" s="8">
        <v>84.3</v>
      </c>
      <c r="N144" s="8">
        <v>138.69999999999999</v>
      </c>
      <c r="O144" s="8">
        <v>80.2</v>
      </c>
      <c r="P144" s="8">
        <v>54.1</v>
      </c>
      <c r="Q144" s="8">
        <v>70.099999999999994</v>
      </c>
      <c r="R144" s="8">
        <v>76.400000000000006</v>
      </c>
      <c r="S144" s="8">
        <v>90.3</v>
      </c>
      <c r="T144" s="8">
        <v>69</v>
      </c>
      <c r="U144" s="8">
        <v>27.5</v>
      </c>
      <c r="V144" s="8">
        <v>41.1</v>
      </c>
      <c r="W144" s="8">
        <v>34.799999999999997</v>
      </c>
      <c r="X144" s="8">
        <v>63.3</v>
      </c>
      <c r="Y144" s="8">
        <v>51.3</v>
      </c>
      <c r="Z144" s="8">
        <v>88.2</v>
      </c>
      <c r="AA144" s="8">
        <v>112</v>
      </c>
      <c r="AB144" s="8">
        <v>109.8</v>
      </c>
      <c r="AC144" s="8">
        <v>139.80000000000001</v>
      </c>
      <c r="AD144" s="8">
        <v>110.2</v>
      </c>
      <c r="AE144" s="8">
        <v>164.4</v>
      </c>
      <c r="AF144" s="8">
        <v>93.2</v>
      </c>
      <c r="AG144" s="8">
        <v>97.4</v>
      </c>
      <c r="AH144" s="8">
        <v>80.7</v>
      </c>
      <c r="AI144" s="8">
        <v>129.5</v>
      </c>
      <c r="AJ144" s="8">
        <v>62.2</v>
      </c>
      <c r="AK144" s="8">
        <v>102.4</v>
      </c>
      <c r="AL144" s="8">
        <v>110.7</v>
      </c>
      <c r="AM144" s="8">
        <v>150.69999999999999</v>
      </c>
      <c r="AN144" s="8">
        <v>93.8</v>
      </c>
      <c r="AO144" s="8">
        <v>93.4</v>
      </c>
      <c r="AP144" s="8">
        <v>103.4</v>
      </c>
      <c r="AQ144" s="8">
        <v>137.9</v>
      </c>
      <c r="AR144" s="8">
        <v>137.80000000000001</v>
      </c>
      <c r="AS144" s="8">
        <v>73.5</v>
      </c>
      <c r="AT144" s="8">
        <v>85.5</v>
      </c>
      <c r="AU144" s="8">
        <v>62.9</v>
      </c>
      <c r="AV144" s="8">
        <v>65.8</v>
      </c>
      <c r="AW144" s="8">
        <v>62.6</v>
      </c>
      <c r="AX144" s="8">
        <v>110.1</v>
      </c>
      <c r="AY144" s="8">
        <v>112.1</v>
      </c>
      <c r="AZ144" s="8">
        <v>117.1</v>
      </c>
      <c r="BA144" s="8">
        <v>103</v>
      </c>
      <c r="BB144" s="8">
        <v>101.7</v>
      </c>
      <c r="BC144" s="8">
        <v>99.4</v>
      </c>
      <c r="BD144" s="8">
        <v>201.2</v>
      </c>
      <c r="BE144" s="8">
        <v>91</v>
      </c>
      <c r="BF144" s="8">
        <v>147.30000000000001</v>
      </c>
      <c r="BG144" s="8">
        <v>104.6</v>
      </c>
      <c r="BH144" s="8">
        <v>83</v>
      </c>
      <c r="BI144" s="8">
        <v>63.5</v>
      </c>
      <c r="BJ144" s="8">
        <v>63.6</v>
      </c>
      <c r="BK144" s="8">
        <v>55.2</v>
      </c>
    </row>
    <row r="145" spans="1:63" x14ac:dyDescent="0.2">
      <c r="A145" s="9">
        <v>37316</v>
      </c>
      <c r="B145" s="8">
        <v>74.900000000000006</v>
      </c>
      <c r="C145" s="8">
        <v>91.7</v>
      </c>
      <c r="D145" s="8">
        <v>69.8</v>
      </c>
      <c r="E145" s="8">
        <v>77.900000000000006</v>
      </c>
      <c r="F145" s="8">
        <v>-1.1000000000000001</v>
      </c>
      <c r="G145" s="8">
        <v>-2</v>
      </c>
      <c r="H145" s="8">
        <v>-0.6</v>
      </c>
      <c r="I145" s="8">
        <v>-1.3</v>
      </c>
      <c r="J145" s="8">
        <v>-0.5</v>
      </c>
      <c r="K145" s="8">
        <v>-1.7</v>
      </c>
      <c r="L145" s="8">
        <v>78.599999999999994</v>
      </c>
      <c r="M145" s="8">
        <v>86.2</v>
      </c>
      <c r="N145" s="8">
        <v>143.5</v>
      </c>
      <c r="O145" s="8">
        <v>79.8</v>
      </c>
      <c r="P145" s="8">
        <v>54.2</v>
      </c>
      <c r="Q145" s="8">
        <v>72.7</v>
      </c>
      <c r="R145" s="8">
        <v>79.5</v>
      </c>
      <c r="S145" s="8">
        <v>98.3</v>
      </c>
      <c r="T145" s="8">
        <v>69.900000000000006</v>
      </c>
      <c r="U145" s="8">
        <v>27.2</v>
      </c>
      <c r="V145" s="8">
        <v>38.1</v>
      </c>
      <c r="W145" s="8">
        <v>35.4</v>
      </c>
      <c r="X145" s="8">
        <v>66.7</v>
      </c>
      <c r="Y145" s="8">
        <v>56.5</v>
      </c>
      <c r="Z145" s="8">
        <v>87.6</v>
      </c>
      <c r="AA145" s="8">
        <v>111.5</v>
      </c>
      <c r="AB145" s="8">
        <v>109.6</v>
      </c>
      <c r="AC145" s="8">
        <v>128.6</v>
      </c>
      <c r="AD145" s="8">
        <v>109.7</v>
      </c>
      <c r="AE145" s="8">
        <v>158.80000000000001</v>
      </c>
      <c r="AF145" s="8">
        <v>92.5</v>
      </c>
      <c r="AG145" s="8">
        <v>96.2</v>
      </c>
      <c r="AH145" s="8">
        <v>80.7</v>
      </c>
      <c r="AI145" s="8">
        <v>126.3</v>
      </c>
      <c r="AJ145" s="8">
        <v>61.5</v>
      </c>
      <c r="AK145" s="8">
        <v>95.4</v>
      </c>
      <c r="AL145" s="8">
        <v>102.8</v>
      </c>
      <c r="AM145" s="8">
        <v>140.4</v>
      </c>
      <c r="AN145" s="8">
        <v>93.4</v>
      </c>
      <c r="AO145" s="8">
        <v>93.1</v>
      </c>
      <c r="AP145" s="8">
        <v>102.8</v>
      </c>
      <c r="AQ145" s="8">
        <v>136.4</v>
      </c>
      <c r="AR145" s="8">
        <v>136.30000000000001</v>
      </c>
      <c r="AS145" s="8">
        <v>72.400000000000006</v>
      </c>
      <c r="AT145" s="8">
        <v>83.5</v>
      </c>
      <c r="AU145" s="8">
        <v>62.2</v>
      </c>
      <c r="AV145" s="8">
        <v>65.099999999999994</v>
      </c>
      <c r="AW145" s="8">
        <v>64.099999999999994</v>
      </c>
      <c r="AX145" s="8">
        <v>114.2</v>
      </c>
      <c r="AY145" s="8">
        <v>111.1</v>
      </c>
      <c r="AZ145" s="8">
        <v>116.1</v>
      </c>
      <c r="BA145" s="8">
        <v>103.2</v>
      </c>
      <c r="BB145" s="8">
        <v>100</v>
      </c>
      <c r="BC145" s="8">
        <v>101.2</v>
      </c>
      <c r="BD145" s="8">
        <v>195.7</v>
      </c>
      <c r="BE145" s="8">
        <v>90.1</v>
      </c>
      <c r="BF145" s="8">
        <v>145.69999999999999</v>
      </c>
      <c r="BG145" s="8">
        <v>103.5</v>
      </c>
      <c r="BH145" s="8">
        <v>82.3</v>
      </c>
      <c r="BI145" s="8">
        <v>62.3</v>
      </c>
      <c r="BJ145" s="8">
        <v>64.599999999999994</v>
      </c>
      <c r="BK145" s="8">
        <v>56.3</v>
      </c>
    </row>
    <row r="146" spans="1:63" x14ac:dyDescent="0.2">
      <c r="A146" s="9">
        <v>37408</v>
      </c>
      <c r="B146" s="8">
        <v>75.400000000000006</v>
      </c>
      <c r="C146" s="8">
        <v>90.2</v>
      </c>
      <c r="D146" s="8">
        <v>71.099999999999994</v>
      </c>
      <c r="E146" s="8">
        <v>77.5</v>
      </c>
      <c r="F146" s="8">
        <v>0.7</v>
      </c>
      <c r="G146" s="8">
        <v>-1.6</v>
      </c>
      <c r="H146" s="8">
        <v>1.9</v>
      </c>
      <c r="I146" s="8">
        <v>-3.5</v>
      </c>
      <c r="J146" s="8">
        <v>-5.2</v>
      </c>
      <c r="K146" s="8">
        <v>-2.7</v>
      </c>
      <c r="L146" s="8">
        <v>76.7</v>
      </c>
      <c r="M146" s="8">
        <v>86</v>
      </c>
      <c r="N146" s="8">
        <v>146.6</v>
      </c>
      <c r="O146" s="8">
        <v>76.599999999999994</v>
      </c>
      <c r="P146" s="8">
        <v>47.1</v>
      </c>
      <c r="Q146" s="8">
        <v>79.3</v>
      </c>
      <c r="R146" s="8">
        <v>78.099999999999994</v>
      </c>
      <c r="S146" s="8">
        <v>84.1</v>
      </c>
      <c r="T146" s="8">
        <v>70.3</v>
      </c>
      <c r="U146" s="8">
        <v>25.8</v>
      </c>
      <c r="V146" s="8">
        <v>45.6</v>
      </c>
      <c r="W146" s="8">
        <v>34.799999999999997</v>
      </c>
      <c r="X146" s="8">
        <v>67.7</v>
      </c>
      <c r="Y146" s="8">
        <v>58.8</v>
      </c>
      <c r="Z146" s="8">
        <v>85.9</v>
      </c>
      <c r="AA146" s="8">
        <v>109.5</v>
      </c>
      <c r="AB146" s="8">
        <v>107.7</v>
      </c>
      <c r="AC146" s="8">
        <v>141.80000000000001</v>
      </c>
      <c r="AD146" s="8">
        <v>107.8</v>
      </c>
      <c r="AE146" s="8">
        <v>154.69999999999999</v>
      </c>
      <c r="AF146" s="8">
        <v>90.4</v>
      </c>
      <c r="AG146" s="8">
        <v>92.4</v>
      </c>
      <c r="AH146" s="8">
        <v>80.7</v>
      </c>
      <c r="AI146" s="8">
        <v>123.9</v>
      </c>
      <c r="AJ146" s="8">
        <v>62.4</v>
      </c>
      <c r="AK146" s="8">
        <v>89.7</v>
      </c>
      <c r="AL146" s="8">
        <v>95.9</v>
      </c>
      <c r="AM146" s="8">
        <v>115.5</v>
      </c>
      <c r="AN146" s="8">
        <v>92</v>
      </c>
      <c r="AO146" s="8">
        <v>91.6</v>
      </c>
      <c r="AP146" s="8">
        <v>102.6</v>
      </c>
      <c r="AQ146" s="8">
        <v>130.19999999999999</v>
      </c>
      <c r="AR146" s="8">
        <v>130</v>
      </c>
      <c r="AS146" s="8">
        <v>74.5</v>
      </c>
      <c r="AT146" s="8">
        <v>86.9</v>
      </c>
      <c r="AU146" s="8">
        <v>63.2</v>
      </c>
      <c r="AV146" s="8">
        <v>66.099999999999994</v>
      </c>
      <c r="AW146" s="8">
        <v>64.900000000000006</v>
      </c>
      <c r="AX146" s="8">
        <v>113.7</v>
      </c>
      <c r="AY146" s="8">
        <v>111.5</v>
      </c>
      <c r="AZ146" s="8">
        <v>115.6</v>
      </c>
      <c r="BA146" s="8">
        <v>101.4</v>
      </c>
      <c r="BB146" s="8">
        <v>101.1</v>
      </c>
      <c r="BC146" s="8">
        <v>99.8</v>
      </c>
      <c r="BD146" s="8">
        <v>189.2</v>
      </c>
      <c r="BE146" s="8">
        <v>89.3</v>
      </c>
      <c r="BF146" s="8">
        <v>142.9</v>
      </c>
      <c r="BG146" s="8">
        <v>99.9</v>
      </c>
      <c r="BH146" s="8">
        <v>83.4</v>
      </c>
      <c r="BI146" s="8">
        <v>72.3</v>
      </c>
      <c r="BJ146" s="8">
        <v>66.5</v>
      </c>
      <c r="BK146" s="8">
        <v>58.9</v>
      </c>
    </row>
    <row r="147" spans="1:63" x14ac:dyDescent="0.2">
      <c r="A147" s="9">
        <v>37500</v>
      </c>
      <c r="B147" s="8">
        <v>75.2</v>
      </c>
      <c r="C147" s="8">
        <v>89.8</v>
      </c>
      <c r="D147" s="8">
        <v>71</v>
      </c>
      <c r="E147" s="8">
        <v>76.8</v>
      </c>
      <c r="F147" s="8">
        <v>-0.3</v>
      </c>
      <c r="G147" s="8">
        <v>-0.4</v>
      </c>
      <c r="H147" s="8">
        <v>-0.1</v>
      </c>
      <c r="I147" s="8">
        <v>-1.6</v>
      </c>
      <c r="J147" s="8">
        <v>-2.6</v>
      </c>
      <c r="K147" s="8">
        <v>-1</v>
      </c>
      <c r="L147" s="8">
        <v>70.7</v>
      </c>
      <c r="M147" s="8">
        <v>86.4</v>
      </c>
      <c r="N147" s="8">
        <v>147.9</v>
      </c>
      <c r="O147" s="8">
        <v>73.599999999999994</v>
      </c>
      <c r="P147" s="8">
        <v>46.8</v>
      </c>
      <c r="Q147" s="8">
        <v>60.6</v>
      </c>
      <c r="R147" s="8">
        <v>78.5</v>
      </c>
      <c r="S147" s="8">
        <v>72.900000000000006</v>
      </c>
      <c r="T147" s="8">
        <v>70.8</v>
      </c>
      <c r="U147" s="8">
        <v>27.5</v>
      </c>
      <c r="V147" s="8">
        <v>48.1</v>
      </c>
      <c r="W147" s="8">
        <v>33.9</v>
      </c>
      <c r="X147" s="8">
        <v>68</v>
      </c>
      <c r="Y147" s="8">
        <v>59.7</v>
      </c>
      <c r="Z147" s="8">
        <v>85.2</v>
      </c>
      <c r="AA147" s="8">
        <v>108.9</v>
      </c>
      <c r="AB147" s="8">
        <v>107.5</v>
      </c>
      <c r="AC147" s="8">
        <v>133.4</v>
      </c>
      <c r="AD147" s="8">
        <v>107.1</v>
      </c>
      <c r="AE147" s="8">
        <v>164.8</v>
      </c>
      <c r="AF147" s="8">
        <v>81.7</v>
      </c>
      <c r="AG147" s="8">
        <v>74.7</v>
      </c>
      <c r="AH147" s="8">
        <v>80.7</v>
      </c>
      <c r="AI147" s="8">
        <v>118.8</v>
      </c>
      <c r="AJ147" s="8">
        <v>61.5</v>
      </c>
      <c r="AK147" s="8">
        <v>88.7</v>
      </c>
      <c r="AL147" s="8">
        <v>99.4</v>
      </c>
      <c r="AM147" s="8">
        <v>96.8</v>
      </c>
      <c r="AN147" s="8">
        <v>101.5</v>
      </c>
      <c r="AO147" s="8">
        <v>101.7</v>
      </c>
      <c r="AP147" s="8">
        <v>99.8</v>
      </c>
      <c r="AQ147" s="8">
        <v>127.2</v>
      </c>
      <c r="AR147" s="8">
        <v>127</v>
      </c>
      <c r="AS147" s="8">
        <v>76.099999999999994</v>
      </c>
      <c r="AT147" s="8">
        <v>92.5</v>
      </c>
      <c r="AU147" s="8">
        <v>62.2</v>
      </c>
      <c r="AV147" s="8">
        <v>65.099999999999994</v>
      </c>
      <c r="AW147" s="8">
        <v>63.1</v>
      </c>
      <c r="AX147" s="8">
        <v>112.3</v>
      </c>
      <c r="AY147" s="8">
        <v>110.5</v>
      </c>
      <c r="AZ147" s="8">
        <v>114.7</v>
      </c>
      <c r="BA147" s="8">
        <v>101.2</v>
      </c>
      <c r="BB147" s="8">
        <v>100.3</v>
      </c>
      <c r="BC147" s="8">
        <v>102.3</v>
      </c>
      <c r="BD147" s="8">
        <v>187.5</v>
      </c>
      <c r="BE147" s="8">
        <v>88.1</v>
      </c>
      <c r="BF147" s="8">
        <v>140.19999999999999</v>
      </c>
      <c r="BG147" s="8">
        <v>98.6</v>
      </c>
      <c r="BH147" s="8">
        <v>82.3</v>
      </c>
      <c r="BI147" s="8">
        <v>73.3</v>
      </c>
      <c r="BJ147" s="8">
        <v>66.2</v>
      </c>
      <c r="BK147" s="8">
        <v>60.7</v>
      </c>
    </row>
    <row r="148" spans="1:63" x14ac:dyDescent="0.2">
      <c r="A148" s="9">
        <v>37591</v>
      </c>
      <c r="B148" s="8">
        <v>75.400000000000006</v>
      </c>
      <c r="C148" s="8">
        <v>89</v>
      </c>
      <c r="D148" s="8">
        <v>71.5</v>
      </c>
      <c r="E148" s="8">
        <v>77.400000000000006</v>
      </c>
      <c r="F148" s="8">
        <v>0.3</v>
      </c>
      <c r="G148" s="8">
        <v>-0.9</v>
      </c>
      <c r="H148" s="8">
        <v>0.7</v>
      </c>
      <c r="I148" s="8">
        <v>-0.4</v>
      </c>
      <c r="J148" s="8">
        <v>-4.9000000000000004</v>
      </c>
      <c r="K148" s="8">
        <v>1.9</v>
      </c>
      <c r="L148" s="8">
        <v>75.400000000000006</v>
      </c>
      <c r="M148" s="8">
        <v>87.2</v>
      </c>
      <c r="N148" s="8">
        <v>143.6</v>
      </c>
      <c r="O148" s="8">
        <v>81.2</v>
      </c>
      <c r="P148" s="8">
        <v>49.1</v>
      </c>
      <c r="Q148" s="8">
        <v>59.6</v>
      </c>
      <c r="R148" s="8">
        <v>80.3</v>
      </c>
      <c r="S148" s="8">
        <v>82.2</v>
      </c>
      <c r="T148" s="8">
        <v>70.599999999999994</v>
      </c>
      <c r="U148" s="8">
        <v>27.5</v>
      </c>
      <c r="V148" s="8">
        <v>46.3</v>
      </c>
      <c r="W148" s="8">
        <v>33.700000000000003</v>
      </c>
      <c r="X148" s="8">
        <v>70.599999999999994</v>
      </c>
      <c r="Y148" s="8">
        <v>63.3</v>
      </c>
      <c r="Z148" s="8">
        <v>85.7</v>
      </c>
      <c r="AA148" s="8">
        <v>108.7</v>
      </c>
      <c r="AB148" s="8">
        <v>107.2</v>
      </c>
      <c r="AC148" s="8">
        <v>131.9</v>
      </c>
      <c r="AD148" s="8">
        <v>107</v>
      </c>
      <c r="AE148" s="8">
        <v>165.9</v>
      </c>
      <c r="AF148" s="8">
        <v>80.900000000000006</v>
      </c>
      <c r="AG148" s="8">
        <v>73.8</v>
      </c>
      <c r="AH148" s="8">
        <v>80.7</v>
      </c>
      <c r="AI148" s="8">
        <v>117.8</v>
      </c>
      <c r="AJ148" s="8">
        <v>61.9</v>
      </c>
      <c r="AK148" s="8">
        <v>84.8</v>
      </c>
      <c r="AL148" s="8">
        <v>96.2</v>
      </c>
      <c r="AM148" s="8">
        <v>76.3</v>
      </c>
      <c r="AN148" s="8">
        <v>101</v>
      </c>
      <c r="AO148" s="8">
        <v>101</v>
      </c>
      <c r="AP148" s="8">
        <v>98.8</v>
      </c>
      <c r="AQ148" s="8">
        <v>126.8</v>
      </c>
      <c r="AR148" s="8">
        <v>126.7</v>
      </c>
      <c r="AS148" s="8">
        <v>77.099999999999994</v>
      </c>
      <c r="AT148" s="8">
        <v>94.4</v>
      </c>
      <c r="AU148" s="8">
        <v>62.6</v>
      </c>
      <c r="AV148" s="8">
        <v>65.5</v>
      </c>
      <c r="AW148" s="8">
        <v>62.8</v>
      </c>
      <c r="AX148" s="8">
        <v>109.9</v>
      </c>
      <c r="AY148" s="8">
        <v>110.4</v>
      </c>
      <c r="AZ148" s="8">
        <v>114.6</v>
      </c>
      <c r="BA148" s="8">
        <v>101.6</v>
      </c>
      <c r="BB148" s="8">
        <v>100.3</v>
      </c>
      <c r="BC148" s="8">
        <v>101.8</v>
      </c>
      <c r="BD148" s="8">
        <v>184.9</v>
      </c>
      <c r="BE148" s="8">
        <v>88.5</v>
      </c>
      <c r="BF148" s="8">
        <v>140.69999999999999</v>
      </c>
      <c r="BG148" s="8">
        <v>98.1</v>
      </c>
      <c r="BH148" s="8">
        <v>82.7</v>
      </c>
      <c r="BI148" s="8">
        <v>74.5</v>
      </c>
      <c r="BJ148" s="8">
        <v>63.8</v>
      </c>
      <c r="BK148" s="8">
        <v>60.3</v>
      </c>
    </row>
    <row r="149" spans="1:63" x14ac:dyDescent="0.2">
      <c r="A149" s="9">
        <v>37681</v>
      </c>
      <c r="B149" s="8">
        <v>76</v>
      </c>
      <c r="C149" s="8">
        <v>88.8</v>
      </c>
      <c r="D149" s="8">
        <v>72.5</v>
      </c>
      <c r="E149" s="8">
        <v>77.3</v>
      </c>
      <c r="F149" s="8">
        <v>0.8</v>
      </c>
      <c r="G149" s="8">
        <v>-0.2</v>
      </c>
      <c r="H149" s="8">
        <v>1.4</v>
      </c>
      <c r="I149" s="8">
        <v>1.5</v>
      </c>
      <c r="J149" s="8">
        <v>-3.2</v>
      </c>
      <c r="K149" s="8">
        <v>3.9</v>
      </c>
      <c r="L149" s="8">
        <v>78.2</v>
      </c>
      <c r="M149" s="8">
        <v>88.7</v>
      </c>
      <c r="N149" s="8">
        <v>143</v>
      </c>
      <c r="O149" s="8">
        <v>85.1</v>
      </c>
      <c r="P149" s="8">
        <v>49.9</v>
      </c>
      <c r="Q149" s="8">
        <v>61.2</v>
      </c>
      <c r="R149" s="8">
        <v>87.4</v>
      </c>
      <c r="S149" s="8">
        <v>79.2</v>
      </c>
      <c r="T149" s="8">
        <v>71.3</v>
      </c>
      <c r="U149" s="8">
        <v>26.2</v>
      </c>
      <c r="V149" s="8">
        <v>52.9</v>
      </c>
      <c r="W149" s="8">
        <v>33.9</v>
      </c>
      <c r="X149" s="8">
        <v>70.599999999999994</v>
      </c>
      <c r="Y149" s="8">
        <v>63.6</v>
      </c>
      <c r="Z149" s="8">
        <v>85</v>
      </c>
      <c r="AA149" s="8">
        <v>106.7</v>
      </c>
      <c r="AB149" s="8">
        <v>106.2</v>
      </c>
      <c r="AC149" s="8">
        <v>136.4</v>
      </c>
      <c r="AD149" s="8">
        <v>104.9</v>
      </c>
      <c r="AE149" s="8">
        <v>169</v>
      </c>
      <c r="AF149" s="8">
        <v>78.3</v>
      </c>
      <c r="AG149" s="8">
        <v>68.8</v>
      </c>
      <c r="AH149" s="8">
        <v>80.7</v>
      </c>
      <c r="AI149" s="8">
        <v>114.8</v>
      </c>
      <c r="AJ149" s="8">
        <v>64</v>
      </c>
      <c r="AK149" s="8">
        <v>85.3</v>
      </c>
      <c r="AL149" s="8">
        <v>94.9</v>
      </c>
      <c r="AM149" s="8">
        <v>80.7</v>
      </c>
      <c r="AN149" s="8">
        <v>97.6</v>
      </c>
      <c r="AO149" s="8">
        <v>97.8</v>
      </c>
      <c r="AP149" s="8">
        <v>94.8</v>
      </c>
      <c r="AQ149" s="8">
        <v>120.3</v>
      </c>
      <c r="AR149" s="8">
        <v>120.2</v>
      </c>
      <c r="AS149" s="8">
        <v>78.8</v>
      </c>
      <c r="AT149" s="8">
        <v>95.4</v>
      </c>
      <c r="AU149" s="8">
        <v>64.8</v>
      </c>
      <c r="AV149" s="8">
        <v>67.7</v>
      </c>
      <c r="AW149" s="8">
        <v>64.7</v>
      </c>
      <c r="AX149" s="8">
        <v>105.9</v>
      </c>
      <c r="AY149" s="8">
        <v>111.2</v>
      </c>
      <c r="AZ149" s="8">
        <v>114</v>
      </c>
      <c r="BA149" s="8">
        <v>102.1</v>
      </c>
      <c r="BB149" s="8">
        <v>100.2</v>
      </c>
      <c r="BC149" s="8">
        <v>102.7</v>
      </c>
      <c r="BD149" s="8">
        <v>179.1</v>
      </c>
      <c r="BE149" s="8">
        <v>87.1</v>
      </c>
      <c r="BF149" s="8">
        <v>139.69999999999999</v>
      </c>
      <c r="BG149" s="8">
        <v>96.7</v>
      </c>
      <c r="BH149" s="8">
        <v>85.3</v>
      </c>
      <c r="BI149" s="8">
        <v>79.2</v>
      </c>
      <c r="BJ149" s="8">
        <v>67</v>
      </c>
      <c r="BK149" s="8">
        <v>62.4</v>
      </c>
    </row>
    <row r="150" spans="1:63" x14ac:dyDescent="0.2">
      <c r="A150" s="9">
        <v>37773</v>
      </c>
      <c r="B150" s="8">
        <v>74.599999999999994</v>
      </c>
      <c r="C150" s="8">
        <v>87.4</v>
      </c>
      <c r="D150" s="8">
        <v>71.099999999999994</v>
      </c>
      <c r="E150" s="8">
        <v>76.8</v>
      </c>
      <c r="F150" s="8">
        <v>-1.8</v>
      </c>
      <c r="G150" s="8">
        <v>-1.6</v>
      </c>
      <c r="H150" s="8">
        <v>-1.9</v>
      </c>
      <c r="I150" s="8">
        <v>-1.1000000000000001</v>
      </c>
      <c r="J150" s="8">
        <v>-3.1</v>
      </c>
      <c r="K150" s="8">
        <v>0</v>
      </c>
      <c r="L150" s="8">
        <v>78.8</v>
      </c>
      <c r="M150" s="8">
        <v>89.2</v>
      </c>
      <c r="N150" s="8">
        <v>138.80000000000001</v>
      </c>
      <c r="O150" s="8">
        <v>85.3</v>
      </c>
      <c r="P150" s="8">
        <v>49.6</v>
      </c>
      <c r="Q150" s="8">
        <v>65.599999999999994</v>
      </c>
      <c r="R150" s="8">
        <v>87.3</v>
      </c>
      <c r="S150" s="8">
        <v>73.2</v>
      </c>
      <c r="T150" s="8">
        <v>71.5</v>
      </c>
      <c r="U150" s="8">
        <v>24.8</v>
      </c>
      <c r="V150" s="8">
        <v>43</v>
      </c>
      <c r="W150" s="8">
        <v>31.9</v>
      </c>
      <c r="X150" s="8">
        <v>72.599999999999994</v>
      </c>
      <c r="Y150" s="8">
        <v>67.7</v>
      </c>
      <c r="Z150" s="8">
        <v>82.3</v>
      </c>
      <c r="AA150" s="8">
        <v>104.7</v>
      </c>
      <c r="AB150" s="8">
        <v>103.9</v>
      </c>
      <c r="AC150" s="8">
        <v>138.80000000000001</v>
      </c>
      <c r="AD150" s="8">
        <v>103.1</v>
      </c>
      <c r="AE150" s="8">
        <v>166.4</v>
      </c>
      <c r="AF150" s="8">
        <v>76.5</v>
      </c>
      <c r="AG150" s="8">
        <v>65.7</v>
      </c>
      <c r="AH150" s="8">
        <v>80.7</v>
      </c>
      <c r="AI150" s="8">
        <v>113.6</v>
      </c>
      <c r="AJ150" s="8">
        <v>61.2</v>
      </c>
      <c r="AK150" s="8">
        <v>81.7</v>
      </c>
      <c r="AL150" s="8">
        <v>89.5</v>
      </c>
      <c r="AM150" s="8">
        <v>83.7</v>
      </c>
      <c r="AN150" s="8">
        <v>101.3</v>
      </c>
      <c r="AO150" s="8">
        <v>101.5</v>
      </c>
      <c r="AP150" s="8">
        <v>95.2</v>
      </c>
      <c r="AQ150" s="8">
        <v>112.9</v>
      </c>
      <c r="AR150" s="8">
        <v>112.8</v>
      </c>
      <c r="AS150" s="8">
        <v>78</v>
      </c>
      <c r="AT150" s="8">
        <v>97.1</v>
      </c>
      <c r="AU150" s="8">
        <v>61.9</v>
      </c>
      <c r="AV150" s="8">
        <v>64.7</v>
      </c>
      <c r="AW150" s="8">
        <v>62.9</v>
      </c>
      <c r="AX150" s="8">
        <v>104.5</v>
      </c>
      <c r="AY150" s="8">
        <v>107.6</v>
      </c>
      <c r="AZ150" s="8">
        <v>109.2</v>
      </c>
      <c r="BA150" s="8">
        <v>99.9</v>
      </c>
      <c r="BB150" s="8">
        <v>97.4</v>
      </c>
      <c r="BC150" s="8">
        <v>101.6</v>
      </c>
      <c r="BD150" s="8">
        <v>172.9</v>
      </c>
      <c r="BE150" s="8">
        <v>84.9</v>
      </c>
      <c r="BF150" s="8">
        <v>132.69999999999999</v>
      </c>
      <c r="BG150" s="8">
        <v>94.6</v>
      </c>
      <c r="BH150" s="8">
        <v>81.900000000000006</v>
      </c>
      <c r="BI150" s="8">
        <v>77.8</v>
      </c>
      <c r="BJ150" s="8">
        <v>65.8</v>
      </c>
      <c r="BK150" s="8">
        <v>61.8</v>
      </c>
    </row>
    <row r="151" spans="1:63" x14ac:dyDescent="0.2">
      <c r="A151" s="9">
        <v>37865</v>
      </c>
      <c r="B151" s="8">
        <v>72.900000000000006</v>
      </c>
      <c r="C151" s="8">
        <v>85.5</v>
      </c>
      <c r="D151" s="8">
        <v>69.5</v>
      </c>
      <c r="E151" s="8">
        <v>75.099999999999994</v>
      </c>
      <c r="F151" s="8">
        <v>-2.2999999999999998</v>
      </c>
      <c r="G151" s="8">
        <v>-2.2000000000000002</v>
      </c>
      <c r="H151" s="8">
        <v>-2.2999999999999998</v>
      </c>
      <c r="I151" s="8">
        <v>-3.1</v>
      </c>
      <c r="J151" s="8">
        <v>-4.8</v>
      </c>
      <c r="K151" s="8">
        <v>-2.1</v>
      </c>
      <c r="L151" s="8">
        <v>77</v>
      </c>
      <c r="M151" s="8">
        <v>89.2</v>
      </c>
      <c r="N151" s="8">
        <v>137.4</v>
      </c>
      <c r="O151" s="8">
        <v>84.7</v>
      </c>
      <c r="P151" s="8">
        <v>44.6</v>
      </c>
      <c r="Q151" s="8">
        <v>62.7</v>
      </c>
      <c r="R151" s="8">
        <v>87.7</v>
      </c>
      <c r="S151" s="8">
        <v>67.5</v>
      </c>
      <c r="T151" s="8">
        <v>73</v>
      </c>
      <c r="U151" s="8">
        <v>23.3</v>
      </c>
      <c r="V151" s="8">
        <v>40.1</v>
      </c>
      <c r="W151" s="8">
        <v>31.8</v>
      </c>
      <c r="X151" s="8">
        <v>72.5</v>
      </c>
      <c r="Y151" s="8">
        <v>68.400000000000006</v>
      </c>
      <c r="Z151" s="8">
        <v>81</v>
      </c>
      <c r="AA151" s="8">
        <v>101.8</v>
      </c>
      <c r="AB151" s="8">
        <v>101.5</v>
      </c>
      <c r="AC151" s="8">
        <v>134.30000000000001</v>
      </c>
      <c r="AD151" s="8">
        <v>100.2</v>
      </c>
      <c r="AE151" s="8">
        <v>160.4</v>
      </c>
      <c r="AF151" s="8">
        <v>73.900000000000006</v>
      </c>
      <c r="AG151" s="8">
        <v>60.5</v>
      </c>
      <c r="AH151" s="8">
        <v>80.7</v>
      </c>
      <c r="AI151" s="8">
        <v>110.4</v>
      </c>
      <c r="AJ151" s="8">
        <v>59.7</v>
      </c>
      <c r="AK151" s="8">
        <v>81.5</v>
      </c>
      <c r="AL151" s="8">
        <v>90</v>
      </c>
      <c r="AM151" s="8">
        <v>80.8</v>
      </c>
      <c r="AN151" s="8">
        <v>96.4</v>
      </c>
      <c r="AO151" s="8">
        <v>96.5</v>
      </c>
      <c r="AP151" s="8">
        <v>94.3</v>
      </c>
      <c r="AQ151" s="8">
        <v>107.2</v>
      </c>
      <c r="AR151" s="8">
        <v>107.1</v>
      </c>
      <c r="AS151" s="8">
        <v>75</v>
      </c>
      <c r="AT151" s="8">
        <v>92.2</v>
      </c>
      <c r="AU151" s="8">
        <v>60.4</v>
      </c>
      <c r="AV151" s="8">
        <v>63.2</v>
      </c>
      <c r="AW151" s="8">
        <v>61.9</v>
      </c>
      <c r="AX151" s="8">
        <v>101.6</v>
      </c>
      <c r="AY151" s="8">
        <v>104.5</v>
      </c>
      <c r="AZ151" s="8">
        <v>105.3</v>
      </c>
      <c r="BA151" s="8">
        <v>98.1</v>
      </c>
      <c r="BB151" s="8">
        <v>95</v>
      </c>
      <c r="BC151" s="8">
        <v>100.2</v>
      </c>
      <c r="BD151" s="8">
        <v>168.3</v>
      </c>
      <c r="BE151" s="8">
        <v>82.7</v>
      </c>
      <c r="BF151" s="8">
        <v>127.9</v>
      </c>
      <c r="BG151" s="8">
        <v>91.1</v>
      </c>
      <c r="BH151" s="8">
        <v>80.2</v>
      </c>
      <c r="BI151" s="8">
        <v>76.900000000000006</v>
      </c>
      <c r="BJ151" s="8">
        <v>66.400000000000006</v>
      </c>
      <c r="BK151" s="8">
        <v>63.3</v>
      </c>
    </row>
    <row r="152" spans="1:63" x14ac:dyDescent="0.2">
      <c r="A152" s="9">
        <v>37956</v>
      </c>
      <c r="B152" s="8">
        <v>72.5</v>
      </c>
      <c r="C152" s="8">
        <v>83.8</v>
      </c>
      <c r="D152" s="8">
        <v>69.599999999999994</v>
      </c>
      <c r="E152" s="8">
        <v>74.5</v>
      </c>
      <c r="F152" s="8">
        <v>-0.5</v>
      </c>
      <c r="G152" s="8">
        <v>-2</v>
      </c>
      <c r="H152" s="8">
        <v>0.1</v>
      </c>
      <c r="I152" s="8">
        <v>-3.8</v>
      </c>
      <c r="J152" s="8">
        <v>-5.8</v>
      </c>
      <c r="K152" s="8">
        <v>-2.7</v>
      </c>
      <c r="L152" s="8">
        <v>76.8</v>
      </c>
      <c r="M152" s="8">
        <v>90.4</v>
      </c>
      <c r="N152" s="8">
        <v>135.4</v>
      </c>
      <c r="O152" s="8">
        <v>83.9</v>
      </c>
      <c r="P152" s="8">
        <v>42.3</v>
      </c>
      <c r="Q152" s="8">
        <v>61.8</v>
      </c>
      <c r="R152" s="8">
        <v>87.6</v>
      </c>
      <c r="S152" s="8">
        <v>82.2</v>
      </c>
      <c r="T152" s="8">
        <v>72.5</v>
      </c>
      <c r="U152" s="8">
        <v>22.2</v>
      </c>
      <c r="V152" s="8">
        <v>41.6</v>
      </c>
      <c r="W152" s="8">
        <v>31.9</v>
      </c>
      <c r="X152" s="8">
        <v>72.3</v>
      </c>
      <c r="Y152" s="8">
        <v>68.400000000000006</v>
      </c>
      <c r="Z152" s="8">
        <v>80.5</v>
      </c>
      <c r="AA152" s="8">
        <v>97.5</v>
      </c>
      <c r="AB152" s="8">
        <v>97.7</v>
      </c>
      <c r="AC152" s="8">
        <v>133.6</v>
      </c>
      <c r="AD152" s="8">
        <v>96</v>
      </c>
      <c r="AE152" s="8">
        <v>155.6</v>
      </c>
      <c r="AF152" s="8">
        <v>74.7</v>
      </c>
      <c r="AG152" s="8">
        <v>63.2</v>
      </c>
      <c r="AH152" s="8">
        <v>80.7</v>
      </c>
      <c r="AI152" s="8">
        <v>107.7</v>
      </c>
      <c r="AJ152" s="8">
        <v>59.5</v>
      </c>
      <c r="AK152" s="8">
        <v>79.900000000000006</v>
      </c>
      <c r="AL152" s="8">
        <v>86.6</v>
      </c>
      <c r="AM152" s="8">
        <v>80.400000000000006</v>
      </c>
      <c r="AN152" s="8">
        <v>98.8</v>
      </c>
      <c r="AO152" s="8">
        <v>99</v>
      </c>
      <c r="AP152" s="8">
        <v>94.9</v>
      </c>
      <c r="AQ152" s="8">
        <v>99.6</v>
      </c>
      <c r="AR152" s="8">
        <v>99.5</v>
      </c>
      <c r="AS152" s="8">
        <v>74</v>
      </c>
      <c r="AT152" s="8">
        <v>89.9</v>
      </c>
      <c r="AU152" s="8">
        <v>60.2</v>
      </c>
      <c r="AV152" s="8">
        <v>63</v>
      </c>
      <c r="AW152" s="8">
        <v>62.5</v>
      </c>
      <c r="AX152" s="8">
        <v>98.4</v>
      </c>
      <c r="AY152" s="8">
        <v>102.6</v>
      </c>
      <c r="AZ152" s="8">
        <v>102.9</v>
      </c>
      <c r="BA152" s="8">
        <v>97.1</v>
      </c>
      <c r="BB152" s="8">
        <v>93.4</v>
      </c>
      <c r="BC152" s="8">
        <v>104.7</v>
      </c>
      <c r="BD152" s="8">
        <v>164.4</v>
      </c>
      <c r="BE152" s="8">
        <v>82</v>
      </c>
      <c r="BF152" s="8">
        <v>124.6</v>
      </c>
      <c r="BG152" s="8">
        <v>87.8</v>
      </c>
      <c r="BH152" s="8">
        <v>79.900000000000006</v>
      </c>
      <c r="BI152" s="8">
        <v>75.2</v>
      </c>
      <c r="BJ152" s="8">
        <v>65.3</v>
      </c>
      <c r="BK152" s="8">
        <v>63.4</v>
      </c>
    </row>
    <row r="153" spans="1:63" x14ac:dyDescent="0.2">
      <c r="A153" s="9">
        <v>38047</v>
      </c>
      <c r="B153" s="8">
        <v>71.3</v>
      </c>
      <c r="C153" s="8">
        <v>81.400000000000006</v>
      </c>
      <c r="D153" s="8">
        <v>68.8</v>
      </c>
      <c r="E153" s="8">
        <v>73.3</v>
      </c>
      <c r="F153" s="8">
        <v>-1.7</v>
      </c>
      <c r="G153" s="8">
        <v>-2.9</v>
      </c>
      <c r="H153" s="8">
        <v>-1.1000000000000001</v>
      </c>
      <c r="I153" s="8">
        <v>-6.2</v>
      </c>
      <c r="J153" s="8">
        <v>-8.3000000000000007</v>
      </c>
      <c r="K153" s="8">
        <v>-5.0999999999999996</v>
      </c>
      <c r="L153" s="8">
        <v>76</v>
      </c>
      <c r="M153" s="8">
        <v>93.6</v>
      </c>
      <c r="N153" s="8">
        <v>145.19999999999999</v>
      </c>
      <c r="O153" s="8">
        <v>82</v>
      </c>
      <c r="P153" s="8">
        <v>43.2</v>
      </c>
      <c r="Q153" s="8">
        <v>62.2</v>
      </c>
      <c r="R153" s="8">
        <v>87.7</v>
      </c>
      <c r="S153" s="8">
        <v>76.3</v>
      </c>
      <c r="T153" s="8">
        <v>73</v>
      </c>
      <c r="U153" s="8">
        <v>20.6</v>
      </c>
      <c r="V153" s="8">
        <v>39.6</v>
      </c>
      <c r="W153" s="8">
        <v>32.5</v>
      </c>
      <c r="X153" s="8">
        <v>72.400000000000006</v>
      </c>
      <c r="Y153" s="8">
        <v>68.599999999999994</v>
      </c>
      <c r="Z153" s="8">
        <v>80.3</v>
      </c>
      <c r="AA153" s="8">
        <v>94.5</v>
      </c>
      <c r="AB153" s="8">
        <v>94.1</v>
      </c>
      <c r="AC153" s="8">
        <v>131.30000000000001</v>
      </c>
      <c r="AD153" s="8">
        <v>93</v>
      </c>
      <c r="AE153" s="8">
        <v>155.6</v>
      </c>
      <c r="AF153" s="8">
        <v>73.2</v>
      </c>
      <c r="AG153" s="8">
        <v>58.5</v>
      </c>
      <c r="AH153" s="8">
        <v>82.9</v>
      </c>
      <c r="AI153" s="8">
        <v>104</v>
      </c>
      <c r="AJ153" s="8">
        <v>58.2</v>
      </c>
      <c r="AK153" s="8">
        <v>77.5</v>
      </c>
      <c r="AL153" s="8">
        <v>84.4</v>
      </c>
      <c r="AM153" s="8">
        <v>74.2</v>
      </c>
      <c r="AN153" s="8">
        <v>89.8</v>
      </c>
      <c r="AO153" s="8">
        <v>89.7</v>
      </c>
      <c r="AP153" s="8">
        <v>92.7</v>
      </c>
      <c r="AQ153" s="8">
        <v>94.3</v>
      </c>
      <c r="AR153" s="8">
        <v>94.2</v>
      </c>
      <c r="AS153" s="8">
        <v>72.599999999999994</v>
      </c>
      <c r="AT153" s="8">
        <v>88.9</v>
      </c>
      <c r="AU153" s="8">
        <v>58.9</v>
      </c>
      <c r="AV153" s="8">
        <v>61.6</v>
      </c>
      <c r="AW153" s="8">
        <v>58.9</v>
      </c>
      <c r="AX153" s="8">
        <v>94.3</v>
      </c>
      <c r="AY153" s="8">
        <v>97.1</v>
      </c>
      <c r="AZ153" s="8">
        <v>97.1</v>
      </c>
      <c r="BA153" s="8">
        <v>91.4</v>
      </c>
      <c r="BB153" s="8">
        <v>90.3</v>
      </c>
      <c r="BC153" s="8">
        <v>103.5</v>
      </c>
      <c r="BD153" s="8">
        <v>159.19999999999999</v>
      </c>
      <c r="BE153" s="8">
        <v>80.7</v>
      </c>
      <c r="BF153" s="8">
        <v>122.8</v>
      </c>
      <c r="BG153" s="8">
        <v>83.3</v>
      </c>
      <c r="BH153" s="8">
        <v>78.3</v>
      </c>
      <c r="BI153" s="8">
        <v>69.900000000000006</v>
      </c>
      <c r="BJ153" s="8">
        <v>65.2</v>
      </c>
      <c r="BK153" s="8">
        <v>64.099999999999994</v>
      </c>
    </row>
    <row r="154" spans="1:63" x14ac:dyDescent="0.2">
      <c r="A154" s="9">
        <v>38139</v>
      </c>
      <c r="B154" s="8">
        <v>73.099999999999994</v>
      </c>
      <c r="C154" s="8">
        <v>84.3</v>
      </c>
      <c r="D154" s="8">
        <v>70.2</v>
      </c>
      <c r="E154" s="8">
        <v>75</v>
      </c>
      <c r="F154" s="8">
        <v>2.5</v>
      </c>
      <c r="G154" s="8">
        <v>3.6</v>
      </c>
      <c r="H154" s="8">
        <v>2</v>
      </c>
      <c r="I154" s="8">
        <v>-2</v>
      </c>
      <c r="J154" s="8">
        <v>-3.5</v>
      </c>
      <c r="K154" s="8">
        <v>-1.3</v>
      </c>
      <c r="L154" s="8">
        <v>76</v>
      </c>
      <c r="M154" s="8">
        <v>91.2</v>
      </c>
      <c r="N154" s="8">
        <v>146</v>
      </c>
      <c r="O154" s="8">
        <v>80.8</v>
      </c>
      <c r="P154" s="8">
        <v>44.8</v>
      </c>
      <c r="Q154" s="8">
        <v>67</v>
      </c>
      <c r="R154" s="8">
        <v>88.1</v>
      </c>
      <c r="S154" s="8">
        <v>69.2</v>
      </c>
      <c r="T154" s="8">
        <v>72.599999999999994</v>
      </c>
      <c r="U154" s="8">
        <v>21.5</v>
      </c>
      <c r="V154" s="8">
        <v>44.4</v>
      </c>
      <c r="W154" s="8">
        <v>33.700000000000003</v>
      </c>
      <c r="X154" s="8">
        <v>75.400000000000006</v>
      </c>
      <c r="Y154" s="8">
        <v>72.3</v>
      </c>
      <c r="Z154" s="8">
        <v>81.7</v>
      </c>
      <c r="AA154" s="8">
        <v>96.2</v>
      </c>
      <c r="AB154" s="8">
        <v>96.9</v>
      </c>
      <c r="AC154" s="8">
        <v>131.6</v>
      </c>
      <c r="AD154" s="8">
        <v>94.6</v>
      </c>
      <c r="AE154" s="8">
        <v>155.6</v>
      </c>
      <c r="AF154" s="8">
        <v>74.3</v>
      </c>
      <c r="AG154" s="8">
        <v>62.1</v>
      </c>
      <c r="AH154" s="8">
        <v>82.9</v>
      </c>
      <c r="AI154" s="8">
        <v>103.4</v>
      </c>
      <c r="AJ154" s="8">
        <v>59.7</v>
      </c>
      <c r="AK154" s="8">
        <v>80.7</v>
      </c>
      <c r="AL154" s="8">
        <v>89.3</v>
      </c>
      <c r="AM154" s="8">
        <v>74.2</v>
      </c>
      <c r="AN154" s="8">
        <v>89.4</v>
      </c>
      <c r="AO154" s="8">
        <v>89.2</v>
      </c>
      <c r="AP154" s="8">
        <v>92.6</v>
      </c>
      <c r="AQ154" s="8">
        <v>92.4</v>
      </c>
      <c r="AR154" s="8">
        <v>92.3</v>
      </c>
      <c r="AS154" s="8">
        <v>73.5</v>
      </c>
      <c r="AT154" s="8">
        <v>89.1</v>
      </c>
      <c r="AU154" s="8">
        <v>60.5</v>
      </c>
      <c r="AV154" s="8">
        <v>63.2</v>
      </c>
      <c r="AW154" s="8">
        <v>59.4</v>
      </c>
      <c r="AX154" s="8">
        <v>96.6</v>
      </c>
      <c r="AY154" s="8">
        <v>97.4</v>
      </c>
      <c r="AZ154" s="8">
        <v>97.9</v>
      </c>
      <c r="BA154" s="8">
        <v>96.1</v>
      </c>
      <c r="BB154" s="8">
        <v>91.5</v>
      </c>
      <c r="BC154" s="8">
        <v>104.4</v>
      </c>
      <c r="BD154" s="8">
        <v>160.5</v>
      </c>
      <c r="BE154" s="8">
        <v>79.7</v>
      </c>
      <c r="BF154" s="8">
        <v>124</v>
      </c>
      <c r="BG154" s="8">
        <v>87.2</v>
      </c>
      <c r="BH154" s="8">
        <v>80.3</v>
      </c>
      <c r="BI154" s="8">
        <v>73.2</v>
      </c>
      <c r="BJ154" s="8">
        <v>63.7</v>
      </c>
      <c r="BK154" s="8">
        <v>62.8</v>
      </c>
    </row>
    <row r="155" spans="1:63" x14ac:dyDescent="0.2">
      <c r="A155" s="9">
        <v>38231</v>
      </c>
      <c r="B155" s="8">
        <v>76.5</v>
      </c>
      <c r="C155" s="8">
        <v>88.3</v>
      </c>
      <c r="D155" s="8">
        <v>73.400000000000006</v>
      </c>
      <c r="E155" s="8">
        <v>77.599999999999994</v>
      </c>
      <c r="F155" s="8">
        <v>4.7</v>
      </c>
      <c r="G155" s="8">
        <v>4.7</v>
      </c>
      <c r="H155" s="8">
        <v>4.5999999999999996</v>
      </c>
      <c r="I155" s="8">
        <v>4.9000000000000004</v>
      </c>
      <c r="J155" s="8">
        <v>3.3</v>
      </c>
      <c r="K155" s="8">
        <v>5.6</v>
      </c>
      <c r="L155" s="8">
        <v>80.3</v>
      </c>
      <c r="M155" s="8">
        <v>94.5</v>
      </c>
      <c r="N155" s="8">
        <v>147.69999999999999</v>
      </c>
      <c r="O155" s="8">
        <v>87.4</v>
      </c>
      <c r="P155" s="8">
        <v>47.8</v>
      </c>
      <c r="Q155" s="8">
        <v>67</v>
      </c>
      <c r="R155" s="8">
        <v>86.7</v>
      </c>
      <c r="S155" s="8">
        <v>74.099999999999994</v>
      </c>
      <c r="T155" s="8">
        <v>72.5</v>
      </c>
      <c r="U155" s="8">
        <v>26.2</v>
      </c>
      <c r="V155" s="8">
        <v>53.2</v>
      </c>
      <c r="W155" s="8">
        <v>38.4</v>
      </c>
      <c r="X155" s="8">
        <v>76.5</v>
      </c>
      <c r="Y155" s="8">
        <v>72.8</v>
      </c>
      <c r="Z155" s="8">
        <v>84.2</v>
      </c>
      <c r="AA155" s="8">
        <v>98.6</v>
      </c>
      <c r="AB155" s="8">
        <v>99.6</v>
      </c>
      <c r="AC155" s="8">
        <v>130.19999999999999</v>
      </c>
      <c r="AD155" s="8">
        <v>97</v>
      </c>
      <c r="AE155" s="8">
        <v>155.6</v>
      </c>
      <c r="AF155" s="8">
        <v>75.099999999999994</v>
      </c>
      <c r="AG155" s="8">
        <v>65.099999999999994</v>
      </c>
      <c r="AH155" s="8">
        <v>83.2</v>
      </c>
      <c r="AI155" s="8">
        <v>104.1</v>
      </c>
      <c r="AJ155" s="8">
        <v>64.400000000000006</v>
      </c>
      <c r="AK155" s="8">
        <v>85.6</v>
      </c>
      <c r="AL155" s="8">
        <v>95.1</v>
      </c>
      <c r="AM155" s="8">
        <v>79.8</v>
      </c>
      <c r="AN155" s="8">
        <v>90.9</v>
      </c>
      <c r="AO155" s="8">
        <v>90.9</v>
      </c>
      <c r="AP155" s="8">
        <v>89.7</v>
      </c>
      <c r="AQ155" s="8">
        <v>94.5</v>
      </c>
      <c r="AR155" s="8">
        <v>94.4</v>
      </c>
      <c r="AS155" s="8">
        <v>85.6</v>
      </c>
      <c r="AT155" s="8">
        <v>111.7</v>
      </c>
      <c r="AU155" s="8">
        <v>65.2</v>
      </c>
      <c r="AV155" s="8">
        <v>68.2</v>
      </c>
      <c r="AW155" s="8">
        <v>60.6</v>
      </c>
      <c r="AX155" s="8">
        <v>99.5</v>
      </c>
      <c r="AY155" s="8">
        <v>99.4</v>
      </c>
      <c r="AZ155" s="8">
        <v>100.4</v>
      </c>
      <c r="BA155" s="8">
        <v>98.5</v>
      </c>
      <c r="BB155" s="8">
        <v>93.7</v>
      </c>
      <c r="BC155" s="8">
        <v>105.4</v>
      </c>
      <c r="BD155" s="8">
        <v>162.80000000000001</v>
      </c>
      <c r="BE155" s="8">
        <v>81.900000000000006</v>
      </c>
      <c r="BF155" s="8">
        <v>129.4</v>
      </c>
      <c r="BG155" s="8">
        <v>91.1</v>
      </c>
      <c r="BH155" s="8">
        <v>85.9</v>
      </c>
      <c r="BI155" s="8">
        <v>73.900000000000006</v>
      </c>
      <c r="BJ155" s="8">
        <v>66.900000000000006</v>
      </c>
      <c r="BK155" s="8">
        <v>60.9</v>
      </c>
    </row>
    <row r="156" spans="1:63" x14ac:dyDescent="0.2">
      <c r="A156" s="9">
        <v>38322</v>
      </c>
      <c r="B156" s="8">
        <v>77.8</v>
      </c>
      <c r="C156" s="8">
        <v>89.8</v>
      </c>
      <c r="D156" s="8">
        <v>74.7</v>
      </c>
      <c r="E156" s="8">
        <v>78.5</v>
      </c>
      <c r="F156" s="8">
        <v>1.7</v>
      </c>
      <c r="G156" s="8">
        <v>1.7</v>
      </c>
      <c r="H156" s="8">
        <v>1.8</v>
      </c>
      <c r="I156" s="8">
        <v>7.3</v>
      </c>
      <c r="J156" s="8">
        <v>7.2</v>
      </c>
      <c r="K156" s="8">
        <v>7.3</v>
      </c>
      <c r="L156" s="8">
        <v>80.7</v>
      </c>
      <c r="M156" s="8">
        <v>97.6</v>
      </c>
      <c r="N156" s="8">
        <v>155.5</v>
      </c>
      <c r="O156" s="8">
        <v>87</v>
      </c>
      <c r="P156" s="8">
        <v>47.8</v>
      </c>
      <c r="Q156" s="8">
        <v>65.7</v>
      </c>
      <c r="R156" s="8">
        <v>87.6</v>
      </c>
      <c r="S156" s="8">
        <v>88.7</v>
      </c>
      <c r="T156" s="8">
        <v>75.5</v>
      </c>
      <c r="U156" s="8">
        <v>24.9</v>
      </c>
      <c r="V156" s="8">
        <v>57.6</v>
      </c>
      <c r="W156" s="8">
        <v>38.1</v>
      </c>
      <c r="X156" s="8">
        <v>76</v>
      </c>
      <c r="Y156" s="8">
        <v>72.400000000000006</v>
      </c>
      <c r="Z156" s="8">
        <v>83.3</v>
      </c>
      <c r="AA156" s="8">
        <v>99.6</v>
      </c>
      <c r="AB156" s="8">
        <v>100.4</v>
      </c>
      <c r="AC156" s="8">
        <v>128.30000000000001</v>
      </c>
      <c r="AD156" s="8">
        <v>98</v>
      </c>
      <c r="AE156" s="8">
        <v>155.6</v>
      </c>
      <c r="AF156" s="8">
        <v>76.900000000000006</v>
      </c>
      <c r="AG156" s="8">
        <v>66.8</v>
      </c>
      <c r="AH156" s="8">
        <v>85.2</v>
      </c>
      <c r="AI156" s="8">
        <v>99.9</v>
      </c>
      <c r="AJ156" s="8">
        <v>65.2</v>
      </c>
      <c r="AK156" s="8">
        <v>84.7</v>
      </c>
      <c r="AL156" s="8">
        <v>93.8</v>
      </c>
      <c r="AM156" s="8">
        <v>77.599999999999994</v>
      </c>
      <c r="AN156" s="8">
        <v>87.5</v>
      </c>
      <c r="AO156" s="8">
        <v>87.3</v>
      </c>
      <c r="AP156" s="8">
        <v>92.6</v>
      </c>
      <c r="AQ156" s="8">
        <v>94.6</v>
      </c>
      <c r="AR156" s="8">
        <v>94.5</v>
      </c>
      <c r="AS156" s="8">
        <v>86</v>
      </c>
      <c r="AT156" s="8">
        <v>111.7</v>
      </c>
      <c r="AU156" s="8">
        <v>66</v>
      </c>
      <c r="AV156" s="8">
        <v>69</v>
      </c>
      <c r="AW156" s="8">
        <v>60.3</v>
      </c>
      <c r="AX156" s="8">
        <v>101.4</v>
      </c>
      <c r="AY156" s="8">
        <v>96.8</v>
      </c>
      <c r="AZ156" s="8">
        <v>98.5</v>
      </c>
      <c r="BA156" s="8">
        <v>93.2</v>
      </c>
      <c r="BB156" s="8">
        <v>91.7</v>
      </c>
      <c r="BC156" s="8">
        <v>102.8</v>
      </c>
      <c r="BD156" s="8">
        <v>159.19999999999999</v>
      </c>
      <c r="BE156" s="8">
        <v>82.5</v>
      </c>
      <c r="BF156" s="8">
        <v>130.69999999999999</v>
      </c>
      <c r="BG156" s="8">
        <v>89.7</v>
      </c>
      <c r="BH156" s="8">
        <v>87.2</v>
      </c>
      <c r="BI156" s="8">
        <v>68.7</v>
      </c>
      <c r="BJ156" s="8">
        <v>67.2</v>
      </c>
      <c r="BK156" s="8">
        <v>61.4</v>
      </c>
    </row>
    <row r="157" spans="1:63" x14ac:dyDescent="0.2">
      <c r="A157" s="9">
        <v>38412</v>
      </c>
      <c r="B157" s="8">
        <v>77.099999999999994</v>
      </c>
      <c r="C157" s="8">
        <v>90.3</v>
      </c>
      <c r="D157" s="8">
        <v>73.400000000000006</v>
      </c>
      <c r="E157" s="8">
        <v>78.5</v>
      </c>
      <c r="F157" s="8">
        <v>-0.9</v>
      </c>
      <c r="G157" s="8">
        <v>0.6</v>
      </c>
      <c r="H157" s="8">
        <v>-1.7</v>
      </c>
      <c r="I157" s="8">
        <v>8.1</v>
      </c>
      <c r="J157" s="8">
        <v>10.9</v>
      </c>
      <c r="K157" s="8">
        <v>6.7</v>
      </c>
      <c r="L157" s="8">
        <v>79.2</v>
      </c>
      <c r="M157" s="8">
        <v>94.7</v>
      </c>
      <c r="N157" s="8">
        <v>147.69999999999999</v>
      </c>
      <c r="O157" s="8">
        <v>84.4</v>
      </c>
      <c r="P157" s="8">
        <v>45.1</v>
      </c>
      <c r="Q157" s="8">
        <v>67.900000000000006</v>
      </c>
      <c r="R157" s="8">
        <v>88.4</v>
      </c>
      <c r="S157" s="8">
        <v>86.8</v>
      </c>
      <c r="T157" s="8">
        <v>76.7</v>
      </c>
      <c r="U157" s="8">
        <v>24.3</v>
      </c>
      <c r="V157" s="8">
        <v>49.6</v>
      </c>
      <c r="W157" s="8">
        <v>37.700000000000003</v>
      </c>
      <c r="X157" s="8">
        <v>76.8</v>
      </c>
      <c r="Y157" s="8">
        <v>72.400000000000006</v>
      </c>
      <c r="Z157" s="8">
        <v>85.7</v>
      </c>
      <c r="AA157" s="8">
        <v>99.5</v>
      </c>
      <c r="AB157" s="8">
        <v>99.1</v>
      </c>
      <c r="AC157" s="8">
        <v>131.30000000000001</v>
      </c>
      <c r="AD157" s="8">
        <v>97.9</v>
      </c>
      <c r="AE157" s="8">
        <v>155.6</v>
      </c>
      <c r="AF157" s="8">
        <v>76.599999999999994</v>
      </c>
      <c r="AG157" s="8">
        <v>66.2</v>
      </c>
      <c r="AH157" s="8">
        <v>85.5</v>
      </c>
      <c r="AI157" s="8">
        <v>100.3</v>
      </c>
      <c r="AJ157" s="8">
        <v>63.3</v>
      </c>
      <c r="AK157" s="8">
        <v>83.5</v>
      </c>
      <c r="AL157" s="8">
        <v>91.1</v>
      </c>
      <c r="AM157" s="8">
        <v>78.7</v>
      </c>
      <c r="AN157" s="8">
        <v>86.5</v>
      </c>
      <c r="AO157" s="8">
        <v>86.3</v>
      </c>
      <c r="AP157" s="8">
        <v>89</v>
      </c>
      <c r="AQ157" s="8">
        <v>96.7</v>
      </c>
      <c r="AR157" s="8">
        <v>96.6</v>
      </c>
      <c r="AS157" s="8">
        <v>94.6</v>
      </c>
      <c r="AT157" s="8">
        <v>134.6</v>
      </c>
      <c r="AU157" s="8">
        <v>64.099999999999994</v>
      </c>
      <c r="AV157" s="8">
        <v>67</v>
      </c>
      <c r="AW157" s="8">
        <v>60.1</v>
      </c>
      <c r="AX157" s="8">
        <v>101.9</v>
      </c>
      <c r="AY157" s="8">
        <v>94.1</v>
      </c>
      <c r="AZ157" s="8">
        <v>95.6</v>
      </c>
      <c r="BA157" s="8">
        <v>92.2</v>
      </c>
      <c r="BB157" s="8">
        <v>88.7</v>
      </c>
      <c r="BC157" s="8">
        <v>105.1</v>
      </c>
      <c r="BD157" s="8">
        <v>135.4</v>
      </c>
      <c r="BE157" s="8">
        <v>82</v>
      </c>
      <c r="BF157" s="8">
        <v>120.1</v>
      </c>
      <c r="BG157" s="8">
        <v>86.7</v>
      </c>
      <c r="BH157" s="8">
        <v>85.1</v>
      </c>
      <c r="BI157" s="8">
        <v>68.3</v>
      </c>
      <c r="BJ157" s="8">
        <v>67.400000000000006</v>
      </c>
      <c r="BK157" s="8">
        <v>61.9</v>
      </c>
    </row>
    <row r="158" spans="1:63" x14ac:dyDescent="0.2">
      <c r="A158" s="9">
        <v>38504</v>
      </c>
      <c r="B158" s="8">
        <v>78.400000000000006</v>
      </c>
      <c r="C158" s="8">
        <v>91.5</v>
      </c>
      <c r="D158" s="8">
        <v>74.8</v>
      </c>
      <c r="E158" s="8">
        <v>79.3</v>
      </c>
      <c r="F158" s="8">
        <v>1.7</v>
      </c>
      <c r="G158" s="8">
        <v>1.3</v>
      </c>
      <c r="H158" s="8">
        <v>1.9</v>
      </c>
      <c r="I158" s="8">
        <v>7.3</v>
      </c>
      <c r="J158" s="8">
        <v>8.5</v>
      </c>
      <c r="K158" s="8">
        <v>6.6</v>
      </c>
      <c r="L158" s="8">
        <v>78.8</v>
      </c>
      <c r="M158" s="8">
        <v>96.4</v>
      </c>
      <c r="N158" s="8">
        <v>130.30000000000001</v>
      </c>
      <c r="O158" s="8">
        <v>81.7</v>
      </c>
      <c r="P158" s="8">
        <v>44.4</v>
      </c>
      <c r="Q158" s="8">
        <v>78.599999999999994</v>
      </c>
      <c r="R158" s="8">
        <v>86.5</v>
      </c>
      <c r="S158" s="8">
        <v>76.400000000000006</v>
      </c>
      <c r="T158" s="8">
        <v>76</v>
      </c>
      <c r="U158" s="8">
        <v>24.4</v>
      </c>
      <c r="V158" s="8">
        <v>56.7</v>
      </c>
      <c r="W158" s="8">
        <v>38.5</v>
      </c>
      <c r="X158" s="8">
        <v>78.3</v>
      </c>
      <c r="Y158" s="8">
        <v>74.900000000000006</v>
      </c>
      <c r="Z158" s="8">
        <v>85.4</v>
      </c>
      <c r="AA158" s="8">
        <v>98.4</v>
      </c>
      <c r="AB158" s="8">
        <v>97.3</v>
      </c>
      <c r="AC158" s="8">
        <v>130.6</v>
      </c>
      <c r="AD158" s="8">
        <v>96.8</v>
      </c>
      <c r="AE158" s="8">
        <v>148.19999999999999</v>
      </c>
      <c r="AF158" s="8">
        <v>76.3</v>
      </c>
      <c r="AG158" s="8">
        <v>66.2</v>
      </c>
      <c r="AH158" s="8">
        <v>85</v>
      </c>
      <c r="AI158" s="8">
        <v>101.7</v>
      </c>
      <c r="AJ158" s="8">
        <v>65.2</v>
      </c>
      <c r="AK158" s="8">
        <v>85.8</v>
      </c>
      <c r="AL158" s="8">
        <v>93.6</v>
      </c>
      <c r="AM158" s="8">
        <v>83.1</v>
      </c>
      <c r="AN158" s="8">
        <v>85.8</v>
      </c>
      <c r="AO158" s="8">
        <v>85.7</v>
      </c>
      <c r="AP158" s="8">
        <v>89</v>
      </c>
      <c r="AQ158" s="8">
        <v>95.4</v>
      </c>
      <c r="AR158" s="8">
        <v>95.3</v>
      </c>
      <c r="AS158" s="8">
        <v>96.1</v>
      </c>
      <c r="AT158" s="8">
        <v>134.4</v>
      </c>
      <c r="AU158" s="8">
        <v>66</v>
      </c>
      <c r="AV158" s="8">
        <v>69</v>
      </c>
      <c r="AW158" s="8">
        <v>67.7</v>
      </c>
      <c r="AX158" s="8">
        <v>104.4</v>
      </c>
      <c r="AY158" s="8">
        <v>92.9</v>
      </c>
      <c r="AZ158" s="8">
        <v>94.6</v>
      </c>
      <c r="BA158" s="8">
        <v>92.7</v>
      </c>
      <c r="BB158" s="8">
        <v>91.4</v>
      </c>
      <c r="BC158" s="8">
        <v>106.4</v>
      </c>
      <c r="BD158" s="8">
        <v>146.80000000000001</v>
      </c>
      <c r="BE158" s="8">
        <v>82.5</v>
      </c>
      <c r="BF158" s="8">
        <v>120.3</v>
      </c>
      <c r="BG158" s="8">
        <v>87.9</v>
      </c>
      <c r="BH158" s="8">
        <v>87.4</v>
      </c>
      <c r="BI158" s="8">
        <v>73.2</v>
      </c>
      <c r="BJ158" s="8">
        <v>67.5</v>
      </c>
      <c r="BK158" s="8">
        <v>62.7</v>
      </c>
    </row>
    <row r="159" spans="1:63" x14ac:dyDescent="0.2">
      <c r="A159" s="9">
        <v>38596</v>
      </c>
      <c r="B159" s="8">
        <v>80.2</v>
      </c>
      <c r="C159" s="8">
        <v>92.3</v>
      </c>
      <c r="D159" s="8">
        <v>77.099999999999994</v>
      </c>
      <c r="E159" s="8">
        <v>80.099999999999994</v>
      </c>
      <c r="F159" s="8">
        <v>2.2999999999999998</v>
      </c>
      <c r="G159" s="8">
        <v>0.9</v>
      </c>
      <c r="H159" s="8">
        <v>3.1</v>
      </c>
      <c r="I159" s="8">
        <v>4.8</v>
      </c>
      <c r="J159" s="8">
        <v>4.5</v>
      </c>
      <c r="K159" s="8">
        <v>5</v>
      </c>
      <c r="L159" s="8">
        <v>81.7</v>
      </c>
      <c r="M159" s="8">
        <v>93.5</v>
      </c>
      <c r="N159" s="8">
        <v>120.7</v>
      </c>
      <c r="O159" s="8">
        <v>87.9</v>
      </c>
      <c r="P159" s="8">
        <v>46.7</v>
      </c>
      <c r="Q159" s="8">
        <v>75.7</v>
      </c>
      <c r="R159" s="8">
        <v>85.1</v>
      </c>
      <c r="S159" s="8">
        <v>75.599999999999994</v>
      </c>
      <c r="T159" s="8">
        <v>76.099999999999994</v>
      </c>
      <c r="U159" s="8">
        <v>43.5</v>
      </c>
      <c r="V159" s="8">
        <v>73.400000000000006</v>
      </c>
      <c r="W159" s="8">
        <v>44.6</v>
      </c>
      <c r="X159" s="8">
        <v>78.2</v>
      </c>
      <c r="Y159" s="8">
        <v>75</v>
      </c>
      <c r="Z159" s="8">
        <v>84.6</v>
      </c>
      <c r="AA159" s="8">
        <v>96.6</v>
      </c>
      <c r="AB159" s="8">
        <v>94.9</v>
      </c>
      <c r="AC159" s="8">
        <v>130.5</v>
      </c>
      <c r="AD159" s="8">
        <v>94.9</v>
      </c>
      <c r="AE159" s="8">
        <v>149.30000000000001</v>
      </c>
      <c r="AF159" s="8">
        <v>76.3</v>
      </c>
      <c r="AG159" s="8">
        <v>66.2</v>
      </c>
      <c r="AH159" s="8">
        <v>85.2</v>
      </c>
      <c r="AI159" s="8">
        <v>102.4</v>
      </c>
      <c r="AJ159" s="8">
        <v>70.5</v>
      </c>
      <c r="AK159" s="8">
        <v>83.5</v>
      </c>
      <c r="AL159" s="8">
        <v>85.1</v>
      </c>
      <c r="AM159" s="8">
        <v>89.5</v>
      </c>
      <c r="AN159" s="8">
        <v>88.7</v>
      </c>
      <c r="AO159" s="8">
        <v>88.3</v>
      </c>
      <c r="AP159" s="8">
        <v>97.4</v>
      </c>
      <c r="AQ159" s="8">
        <v>96.7</v>
      </c>
      <c r="AR159" s="8">
        <v>96.6</v>
      </c>
      <c r="AS159" s="8">
        <v>94.2</v>
      </c>
      <c r="AT159" s="8">
        <v>122.6</v>
      </c>
      <c r="AU159" s="8">
        <v>71.3</v>
      </c>
      <c r="AV159" s="8">
        <v>74.599999999999994</v>
      </c>
      <c r="AW159" s="8">
        <v>71.2</v>
      </c>
      <c r="AX159" s="8">
        <v>106.3</v>
      </c>
      <c r="AY159" s="8">
        <v>93.7</v>
      </c>
      <c r="AZ159" s="8">
        <v>94.2</v>
      </c>
      <c r="BA159" s="8">
        <v>97.8</v>
      </c>
      <c r="BB159" s="8">
        <v>93.7</v>
      </c>
      <c r="BC159" s="8">
        <v>107.8</v>
      </c>
      <c r="BD159" s="8">
        <v>147.80000000000001</v>
      </c>
      <c r="BE159" s="8">
        <v>83.4</v>
      </c>
      <c r="BF159" s="8">
        <v>126.5</v>
      </c>
      <c r="BG159" s="8">
        <v>91.6</v>
      </c>
      <c r="BH159" s="8">
        <v>93.9</v>
      </c>
      <c r="BI159" s="8">
        <v>76.7</v>
      </c>
      <c r="BJ159" s="8">
        <v>68.599999999999994</v>
      </c>
      <c r="BK159" s="8">
        <v>63.4</v>
      </c>
    </row>
    <row r="160" spans="1:63" x14ac:dyDescent="0.2">
      <c r="A160" s="9">
        <v>38687</v>
      </c>
      <c r="B160" s="8">
        <v>80.3</v>
      </c>
      <c r="C160" s="8">
        <v>91.7</v>
      </c>
      <c r="D160" s="8">
        <v>77.599999999999994</v>
      </c>
      <c r="E160" s="8">
        <v>80.900000000000006</v>
      </c>
      <c r="F160" s="8">
        <v>0.1</v>
      </c>
      <c r="G160" s="8">
        <v>-0.7</v>
      </c>
      <c r="H160" s="8">
        <v>0.6</v>
      </c>
      <c r="I160" s="8">
        <v>3.2</v>
      </c>
      <c r="J160" s="8">
        <v>2.1</v>
      </c>
      <c r="K160" s="8">
        <v>3.9</v>
      </c>
      <c r="L160" s="8">
        <v>79.099999999999994</v>
      </c>
      <c r="M160" s="8">
        <v>97.4</v>
      </c>
      <c r="N160" s="8">
        <v>109.8</v>
      </c>
      <c r="O160" s="8">
        <v>84.4</v>
      </c>
      <c r="P160" s="8">
        <v>49.2</v>
      </c>
      <c r="Q160" s="8">
        <v>71.5</v>
      </c>
      <c r="R160" s="8">
        <v>85.5</v>
      </c>
      <c r="S160" s="8">
        <v>80.3</v>
      </c>
      <c r="T160" s="8">
        <v>79.7</v>
      </c>
      <c r="U160" s="8">
        <v>44.4</v>
      </c>
      <c r="V160" s="8">
        <v>74.099999999999994</v>
      </c>
      <c r="W160" s="8">
        <v>47.8</v>
      </c>
      <c r="X160" s="8">
        <v>78.099999999999994</v>
      </c>
      <c r="Y160" s="8">
        <v>75</v>
      </c>
      <c r="Z160" s="8">
        <v>84.4</v>
      </c>
      <c r="AA160" s="8">
        <v>97.9</v>
      </c>
      <c r="AB160" s="8">
        <v>95.6</v>
      </c>
      <c r="AC160" s="8">
        <v>129.80000000000001</v>
      </c>
      <c r="AD160" s="8">
        <v>96.4</v>
      </c>
      <c r="AE160" s="8">
        <v>147.6</v>
      </c>
      <c r="AF160" s="8">
        <v>78.400000000000006</v>
      </c>
      <c r="AG160" s="8">
        <v>69.7</v>
      </c>
      <c r="AH160" s="8">
        <v>86.1</v>
      </c>
      <c r="AI160" s="8">
        <v>103</v>
      </c>
      <c r="AJ160" s="8">
        <v>70.8</v>
      </c>
      <c r="AK160" s="8">
        <v>86.7</v>
      </c>
      <c r="AL160" s="8">
        <v>90.5</v>
      </c>
      <c r="AM160" s="8">
        <v>90.5</v>
      </c>
      <c r="AN160" s="8">
        <v>86.6</v>
      </c>
      <c r="AO160" s="8">
        <v>86.1</v>
      </c>
      <c r="AP160" s="8">
        <v>96.6</v>
      </c>
      <c r="AQ160" s="8">
        <v>96.7</v>
      </c>
      <c r="AR160" s="8">
        <v>96.6</v>
      </c>
      <c r="AS160" s="8">
        <v>93.2</v>
      </c>
      <c r="AT160" s="8">
        <v>119.4</v>
      </c>
      <c r="AU160" s="8">
        <v>71.7</v>
      </c>
      <c r="AV160" s="8">
        <v>75</v>
      </c>
      <c r="AW160" s="8">
        <v>73.400000000000006</v>
      </c>
      <c r="AX160" s="8">
        <v>107.1</v>
      </c>
      <c r="AY160" s="8">
        <v>94.3</v>
      </c>
      <c r="AZ160" s="8">
        <v>95.4</v>
      </c>
      <c r="BA160" s="8">
        <v>100.6</v>
      </c>
      <c r="BB160" s="8">
        <v>94.4</v>
      </c>
      <c r="BC160" s="8">
        <v>106.3</v>
      </c>
      <c r="BD160" s="8">
        <v>148.1</v>
      </c>
      <c r="BE160" s="8">
        <v>82.3</v>
      </c>
      <c r="BF160" s="8">
        <v>126.8</v>
      </c>
      <c r="BG160" s="8">
        <v>96.6</v>
      </c>
      <c r="BH160" s="8">
        <v>94.6</v>
      </c>
      <c r="BI160" s="8">
        <v>80.5</v>
      </c>
      <c r="BJ160" s="8">
        <v>68.900000000000006</v>
      </c>
      <c r="BK160" s="8">
        <v>63.8</v>
      </c>
    </row>
    <row r="161" spans="1:63" x14ac:dyDescent="0.2">
      <c r="A161" s="9">
        <v>38777</v>
      </c>
      <c r="B161" s="8">
        <v>82.1</v>
      </c>
      <c r="C161" s="8">
        <v>93.4</v>
      </c>
      <c r="D161" s="8">
        <v>79.400000000000006</v>
      </c>
      <c r="E161" s="8">
        <v>82.6</v>
      </c>
      <c r="F161" s="8">
        <v>2.2000000000000002</v>
      </c>
      <c r="G161" s="8">
        <v>1.9</v>
      </c>
      <c r="H161" s="8">
        <v>2.2999999999999998</v>
      </c>
      <c r="I161" s="8">
        <v>6.5</v>
      </c>
      <c r="J161" s="8">
        <v>3.4</v>
      </c>
      <c r="K161" s="8">
        <v>8.1999999999999993</v>
      </c>
      <c r="L161" s="8">
        <v>79.099999999999994</v>
      </c>
      <c r="M161" s="8">
        <v>92.6</v>
      </c>
      <c r="N161" s="8">
        <v>109.3</v>
      </c>
      <c r="O161" s="8">
        <v>81.5</v>
      </c>
      <c r="P161" s="8">
        <v>59.8</v>
      </c>
      <c r="Q161" s="8">
        <v>73.8</v>
      </c>
      <c r="R161" s="8">
        <v>89</v>
      </c>
      <c r="S161" s="8">
        <v>80.5</v>
      </c>
      <c r="T161" s="8">
        <v>81.8</v>
      </c>
      <c r="U161" s="8">
        <v>44.6</v>
      </c>
      <c r="V161" s="8">
        <v>77.5</v>
      </c>
      <c r="W161" s="8">
        <v>54</v>
      </c>
      <c r="X161" s="8">
        <v>79.2</v>
      </c>
      <c r="Y161" s="8">
        <v>75</v>
      </c>
      <c r="Z161" s="8">
        <v>87.8</v>
      </c>
      <c r="AA161" s="8">
        <v>99.7</v>
      </c>
      <c r="AB161" s="8">
        <v>97.6</v>
      </c>
      <c r="AC161" s="8">
        <v>129.69999999999999</v>
      </c>
      <c r="AD161" s="8">
        <v>98.1</v>
      </c>
      <c r="AE161" s="8">
        <v>147.6</v>
      </c>
      <c r="AF161" s="8">
        <v>79.900000000000006</v>
      </c>
      <c r="AG161" s="8">
        <v>72.599999999999994</v>
      </c>
      <c r="AH161" s="8">
        <v>85.9</v>
      </c>
      <c r="AI161" s="8">
        <v>102.1</v>
      </c>
      <c r="AJ161" s="8">
        <v>72.7</v>
      </c>
      <c r="AK161" s="8">
        <v>89.1</v>
      </c>
      <c r="AL161" s="8">
        <v>92.5</v>
      </c>
      <c r="AM161" s="8">
        <v>94.3</v>
      </c>
      <c r="AN161" s="8">
        <v>89.1</v>
      </c>
      <c r="AO161" s="8">
        <v>88.7</v>
      </c>
      <c r="AP161" s="8">
        <v>97.9</v>
      </c>
      <c r="AQ161" s="8">
        <v>95.9</v>
      </c>
      <c r="AR161" s="8">
        <v>95.8</v>
      </c>
      <c r="AS161" s="8">
        <v>91.5</v>
      </c>
      <c r="AT161" s="8">
        <v>112.3</v>
      </c>
      <c r="AU161" s="8">
        <v>73.599999999999994</v>
      </c>
      <c r="AV161" s="8">
        <v>76.900000000000006</v>
      </c>
      <c r="AW161" s="8">
        <v>76.5</v>
      </c>
      <c r="AX161" s="8">
        <v>108.8</v>
      </c>
      <c r="AY161" s="8">
        <v>97.4</v>
      </c>
      <c r="AZ161" s="8">
        <v>97.7</v>
      </c>
      <c r="BA161" s="8">
        <v>103.5</v>
      </c>
      <c r="BB161" s="8">
        <v>95.5</v>
      </c>
      <c r="BC161" s="8">
        <v>102.3</v>
      </c>
      <c r="BD161" s="8">
        <v>147.19999999999999</v>
      </c>
      <c r="BE161" s="8">
        <v>83.8</v>
      </c>
      <c r="BF161" s="8">
        <v>128.6</v>
      </c>
      <c r="BG161" s="8">
        <v>97.9</v>
      </c>
      <c r="BH161" s="8">
        <v>96.8</v>
      </c>
      <c r="BI161" s="8">
        <v>82.8</v>
      </c>
      <c r="BJ161" s="8">
        <v>69.400000000000006</v>
      </c>
      <c r="BK161" s="8">
        <v>65</v>
      </c>
    </row>
    <row r="162" spans="1:63" x14ac:dyDescent="0.2">
      <c r="A162" s="9">
        <v>38869</v>
      </c>
      <c r="B162" s="8">
        <v>85.8</v>
      </c>
      <c r="C162" s="8">
        <v>96.8</v>
      </c>
      <c r="D162" s="8">
        <v>83.3</v>
      </c>
      <c r="E162" s="8">
        <v>85.2</v>
      </c>
      <c r="F162" s="8">
        <v>4.5</v>
      </c>
      <c r="G162" s="8">
        <v>3.6</v>
      </c>
      <c r="H162" s="8">
        <v>4.9000000000000004</v>
      </c>
      <c r="I162" s="8">
        <v>9.4</v>
      </c>
      <c r="J162" s="8">
        <v>5.8</v>
      </c>
      <c r="K162" s="8">
        <v>11.4</v>
      </c>
      <c r="L162" s="8">
        <v>81.8</v>
      </c>
      <c r="M162" s="8">
        <v>91.1</v>
      </c>
      <c r="N162" s="8">
        <v>106.6</v>
      </c>
      <c r="O162" s="8">
        <v>83.5</v>
      </c>
      <c r="P162" s="8">
        <v>63.1</v>
      </c>
      <c r="Q162" s="8">
        <v>80.599999999999994</v>
      </c>
      <c r="R162" s="8">
        <v>88</v>
      </c>
      <c r="S162" s="8">
        <v>78.7</v>
      </c>
      <c r="T162" s="8">
        <v>80.2</v>
      </c>
      <c r="U162" s="8">
        <v>44.6</v>
      </c>
      <c r="V162" s="8">
        <v>87</v>
      </c>
      <c r="W162" s="8">
        <v>62</v>
      </c>
      <c r="X162" s="8">
        <v>82.3</v>
      </c>
      <c r="Y162" s="8">
        <v>79.099999999999994</v>
      </c>
      <c r="Z162" s="8">
        <v>88.9</v>
      </c>
      <c r="AA162" s="8">
        <v>100.1</v>
      </c>
      <c r="AB162" s="8">
        <v>97.1</v>
      </c>
      <c r="AC162" s="8">
        <v>127.1</v>
      </c>
      <c r="AD162" s="8">
        <v>98.4</v>
      </c>
      <c r="AE162" s="8">
        <v>139.5</v>
      </c>
      <c r="AF162" s="8">
        <v>83.5</v>
      </c>
      <c r="AG162" s="8">
        <v>77.5</v>
      </c>
      <c r="AH162" s="8">
        <v>88.6</v>
      </c>
      <c r="AI162" s="8">
        <v>103.5</v>
      </c>
      <c r="AJ162" s="8">
        <v>77</v>
      </c>
      <c r="AK162" s="8">
        <v>93.4</v>
      </c>
      <c r="AL162" s="8">
        <v>96.7</v>
      </c>
      <c r="AM162" s="8">
        <v>99.6</v>
      </c>
      <c r="AN162" s="8">
        <v>90.6</v>
      </c>
      <c r="AO162" s="8">
        <v>90.3</v>
      </c>
      <c r="AP162" s="8">
        <v>97</v>
      </c>
      <c r="AQ162" s="8">
        <v>95.2</v>
      </c>
      <c r="AR162" s="8">
        <v>95.1</v>
      </c>
      <c r="AS162" s="8">
        <v>93.3</v>
      </c>
      <c r="AT162" s="8">
        <v>110</v>
      </c>
      <c r="AU162" s="8">
        <v>77.900000000000006</v>
      </c>
      <c r="AV162" s="8">
        <v>81.400000000000006</v>
      </c>
      <c r="AW162" s="8">
        <v>83.3</v>
      </c>
      <c r="AX162" s="8">
        <v>101.6</v>
      </c>
      <c r="AY162" s="8">
        <v>98.6</v>
      </c>
      <c r="AZ162" s="8">
        <v>99.4</v>
      </c>
      <c r="BA162" s="8">
        <v>103.3</v>
      </c>
      <c r="BB162" s="8">
        <v>98.2</v>
      </c>
      <c r="BC162" s="8">
        <v>114.5</v>
      </c>
      <c r="BD162" s="8">
        <v>145.5</v>
      </c>
      <c r="BE162" s="8">
        <v>84.5</v>
      </c>
      <c r="BF162" s="8">
        <v>133.6</v>
      </c>
      <c r="BG162" s="8">
        <v>102.4</v>
      </c>
      <c r="BH162" s="8">
        <v>102.7</v>
      </c>
      <c r="BI162" s="8">
        <v>89.9</v>
      </c>
      <c r="BJ162" s="8">
        <v>69.5</v>
      </c>
      <c r="BK162" s="8">
        <v>63.5</v>
      </c>
    </row>
    <row r="163" spans="1:63" x14ac:dyDescent="0.2">
      <c r="A163" s="9">
        <v>38961</v>
      </c>
      <c r="B163" s="8">
        <v>87</v>
      </c>
      <c r="C163" s="8">
        <v>98.8</v>
      </c>
      <c r="D163" s="8">
        <v>84.2</v>
      </c>
      <c r="E163" s="8">
        <v>86.5</v>
      </c>
      <c r="F163" s="8">
        <v>1.4</v>
      </c>
      <c r="G163" s="8">
        <v>2.1</v>
      </c>
      <c r="H163" s="8">
        <v>1.1000000000000001</v>
      </c>
      <c r="I163" s="8">
        <v>8.5</v>
      </c>
      <c r="J163" s="8">
        <v>7</v>
      </c>
      <c r="K163" s="8">
        <v>9.1999999999999993</v>
      </c>
      <c r="L163" s="8">
        <v>81.5</v>
      </c>
      <c r="M163" s="8">
        <v>92.2</v>
      </c>
      <c r="N163" s="8">
        <v>101.8</v>
      </c>
      <c r="O163" s="8">
        <v>85.3</v>
      </c>
      <c r="P163" s="8">
        <v>63.7</v>
      </c>
      <c r="Q163" s="8">
        <v>75.7</v>
      </c>
      <c r="R163" s="8">
        <v>81.400000000000006</v>
      </c>
      <c r="S163" s="8">
        <v>78.900000000000006</v>
      </c>
      <c r="T163" s="8">
        <v>79</v>
      </c>
      <c r="U163" s="8">
        <v>47.5</v>
      </c>
      <c r="V163" s="8">
        <v>88.1</v>
      </c>
      <c r="W163" s="8">
        <v>64.3</v>
      </c>
      <c r="X163" s="8">
        <v>81.5</v>
      </c>
      <c r="Y163" s="8">
        <v>77.900000000000006</v>
      </c>
      <c r="Z163" s="8">
        <v>88.9</v>
      </c>
      <c r="AA163" s="8">
        <v>102.4</v>
      </c>
      <c r="AB163" s="8">
        <v>99.7</v>
      </c>
      <c r="AC163" s="8">
        <v>126.9</v>
      </c>
      <c r="AD163" s="8">
        <v>100.7</v>
      </c>
      <c r="AE163" s="8">
        <v>140.80000000000001</v>
      </c>
      <c r="AF163" s="8">
        <v>79.8</v>
      </c>
      <c r="AG163" s="8">
        <v>75.599999999999994</v>
      </c>
      <c r="AH163" s="8">
        <v>84</v>
      </c>
      <c r="AI163" s="8">
        <v>105.5</v>
      </c>
      <c r="AJ163" s="8">
        <v>77.599999999999994</v>
      </c>
      <c r="AK163" s="8">
        <v>93.2</v>
      </c>
      <c r="AL163" s="8">
        <v>96.2</v>
      </c>
      <c r="AM163" s="8">
        <v>98</v>
      </c>
      <c r="AN163" s="8">
        <v>90.7</v>
      </c>
      <c r="AO163" s="8">
        <v>90.5</v>
      </c>
      <c r="AP163" s="8">
        <v>95.9</v>
      </c>
      <c r="AQ163" s="8">
        <v>96.3</v>
      </c>
      <c r="AR163" s="8">
        <v>96.2</v>
      </c>
      <c r="AS163" s="8">
        <v>95.3</v>
      </c>
      <c r="AT163" s="8">
        <v>113.7</v>
      </c>
      <c r="AU163" s="8">
        <v>78.5</v>
      </c>
      <c r="AV163" s="8">
        <v>82.1</v>
      </c>
      <c r="AW163" s="8">
        <v>85</v>
      </c>
      <c r="AX163" s="8">
        <v>100.9</v>
      </c>
      <c r="AY163" s="8">
        <v>97.6</v>
      </c>
      <c r="AZ163" s="8">
        <v>98.9</v>
      </c>
      <c r="BA163" s="8">
        <v>103.2</v>
      </c>
      <c r="BB163" s="8">
        <v>99.1</v>
      </c>
      <c r="BC163" s="8">
        <v>114.4</v>
      </c>
      <c r="BD163" s="8">
        <v>143.9</v>
      </c>
      <c r="BE163" s="8">
        <v>87.2</v>
      </c>
      <c r="BF163" s="8">
        <v>133.69999999999999</v>
      </c>
      <c r="BG163" s="8">
        <v>103.3</v>
      </c>
      <c r="BH163" s="8">
        <v>102.8</v>
      </c>
      <c r="BI163" s="8">
        <v>89.7</v>
      </c>
      <c r="BJ163" s="8">
        <v>69.900000000000006</v>
      </c>
      <c r="BK163" s="8">
        <v>63.7</v>
      </c>
    </row>
    <row r="164" spans="1:63" x14ac:dyDescent="0.2">
      <c r="A164" s="9">
        <v>39052</v>
      </c>
      <c r="B164" s="8">
        <v>86.3</v>
      </c>
      <c r="C164" s="8">
        <v>96.4</v>
      </c>
      <c r="D164" s="8">
        <v>84.3</v>
      </c>
      <c r="E164" s="8">
        <v>88.1</v>
      </c>
      <c r="F164" s="8">
        <v>-0.8</v>
      </c>
      <c r="G164" s="8">
        <v>-2.4</v>
      </c>
      <c r="H164" s="8">
        <v>0.1</v>
      </c>
      <c r="I164" s="8">
        <v>7.5</v>
      </c>
      <c r="J164" s="8">
        <v>5.0999999999999996</v>
      </c>
      <c r="K164" s="8">
        <v>8.6</v>
      </c>
      <c r="L164" s="8">
        <v>82.8</v>
      </c>
      <c r="M164" s="8">
        <v>95</v>
      </c>
      <c r="N164" s="8">
        <v>107.1</v>
      </c>
      <c r="O164" s="8">
        <v>87.2</v>
      </c>
      <c r="P164" s="8">
        <v>67.099999999999994</v>
      </c>
      <c r="Q164" s="8">
        <v>72.3</v>
      </c>
      <c r="R164" s="8">
        <v>81.599999999999994</v>
      </c>
      <c r="S164" s="8">
        <v>89</v>
      </c>
      <c r="T164" s="8">
        <v>80.3</v>
      </c>
      <c r="U164" s="8">
        <v>46.6</v>
      </c>
      <c r="V164" s="8">
        <v>72.900000000000006</v>
      </c>
      <c r="W164" s="8">
        <v>68</v>
      </c>
      <c r="X164" s="8">
        <v>80.8</v>
      </c>
      <c r="Y164" s="8">
        <v>78</v>
      </c>
      <c r="Z164" s="8">
        <v>86.6</v>
      </c>
      <c r="AA164" s="8">
        <v>102.9</v>
      </c>
      <c r="AB164" s="8">
        <v>100.4</v>
      </c>
      <c r="AC164" s="8">
        <v>126.3</v>
      </c>
      <c r="AD164" s="8">
        <v>101.1</v>
      </c>
      <c r="AE164" s="8">
        <v>123</v>
      </c>
      <c r="AF164" s="8">
        <v>80.400000000000006</v>
      </c>
      <c r="AG164" s="8">
        <v>76.400000000000006</v>
      </c>
      <c r="AH164" s="8">
        <v>84.7</v>
      </c>
      <c r="AI164" s="8">
        <v>106.8</v>
      </c>
      <c r="AJ164" s="8">
        <v>75.3</v>
      </c>
      <c r="AK164" s="8">
        <v>94.2</v>
      </c>
      <c r="AL164" s="8">
        <v>99.9</v>
      </c>
      <c r="AM164" s="8">
        <v>93.6</v>
      </c>
      <c r="AN164" s="8">
        <v>89.6</v>
      </c>
      <c r="AO164" s="8">
        <v>89.3</v>
      </c>
      <c r="AP164" s="8">
        <v>97.9</v>
      </c>
      <c r="AQ164" s="8">
        <v>96.2</v>
      </c>
      <c r="AR164" s="8">
        <v>96.1</v>
      </c>
      <c r="AS164" s="8">
        <v>96.6</v>
      </c>
      <c r="AT164" s="8">
        <v>119.4</v>
      </c>
      <c r="AU164" s="8">
        <v>76.2</v>
      </c>
      <c r="AV164" s="8">
        <v>79.7</v>
      </c>
      <c r="AW164" s="8">
        <v>86.2</v>
      </c>
      <c r="AX164" s="8">
        <v>102.6</v>
      </c>
      <c r="AY164" s="8">
        <v>97.7</v>
      </c>
      <c r="AZ164" s="8">
        <v>98.6</v>
      </c>
      <c r="BA164" s="8">
        <v>103.3</v>
      </c>
      <c r="BB164" s="8">
        <v>98.5</v>
      </c>
      <c r="BC164" s="8">
        <v>115.4</v>
      </c>
      <c r="BD164" s="8">
        <v>142</v>
      </c>
      <c r="BE164" s="8">
        <v>86.6</v>
      </c>
      <c r="BF164" s="8">
        <v>131.1</v>
      </c>
      <c r="BG164" s="8">
        <v>101.3</v>
      </c>
      <c r="BH164" s="8">
        <v>100.1</v>
      </c>
      <c r="BI164" s="8">
        <v>90.1</v>
      </c>
      <c r="BJ164" s="8">
        <v>69.599999999999994</v>
      </c>
      <c r="BK164" s="8">
        <v>63.3</v>
      </c>
    </row>
    <row r="165" spans="1:63" x14ac:dyDescent="0.2">
      <c r="A165" s="9">
        <v>39142</v>
      </c>
      <c r="B165" s="8">
        <v>86</v>
      </c>
      <c r="C165" s="8">
        <v>94.9</v>
      </c>
      <c r="D165" s="8">
        <v>84.7</v>
      </c>
      <c r="E165" s="8">
        <v>87.9</v>
      </c>
      <c r="F165" s="8">
        <v>-0.3</v>
      </c>
      <c r="G165" s="8">
        <v>-1.6</v>
      </c>
      <c r="H165" s="8">
        <v>0.5</v>
      </c>
      <c r="I165" s="8">
        <v>4.8</v>
      </c>
      <c r="J165" s="8">
        <v>1.6</v>
      </c>
      <c r="K165" s="8">
        <v>6.7</v>
      </c>
      <c r="L165" s="8">
        <v>85</v>
      </c>
      <c r="M165" s="8">
        <v>95</v>
      </c>
      <c r="N165" s="8">
        <v>113.2</v>
      </c>
      <c r="O165" s="8">
        <v>89</v>
      </c>
      <c r="P165" s="8">
        <v>67.400000000000006</v>
      </c>
      <c r="Q165" s="8">
        <v>75.400000000000006</v>
      </c>
      <c r="R165" s="8">
        <v>86.1</v>
      </c>
      <c r="S165" s="8">
        <v>92</v>
      </c>
      <c r="T165" s="8">
        <v>81.099999999999994</v>
      </c>
      <c r="U165" s="8">
        <v>46.4</v>
      </c>
      <c r="V165" s="8">
        <v>71.8</v>
      </c>
      <c r="W165" s="8">
        <v>65.099999999999994</v>
      </c>
      <c r="X165" s="8">
        <v>80.900000000000006</v>
      </c>
      <c r="Y165" s="8">
        <v>78.099999999999994</v>
      </c>
      <c r="Z165" s="8">
        <v>86.5</v>
      </c>
      <c r="AA165" s="8">
        <v>101.4</v>
      </c>
      <c r="AB165" s="8">
        <v>98.6</v>
      </c>
      <c r="AC165" s="8">
        <v>130.4</v>
      </c>
      <c r="AD165" s="8">
        <v>99.8</v>
      </c>
      <c r="AE165" s="8">
        <v>123.7</v>
      </c>
      <c r="AF165" s="8">
        <v>79</v>
      </c>
      <c r="AG165" s="8">
        <v>76.5</v>
      </c>
      <c r="AH165" s="8">
        <v>82</v>
      </c>
      <c r="AI165" s="8">
        <v>107</v>
      </c>
      <c r="AJ165" s="8">
        <v>75.3</v>
      </c>
      <c r="AK165" s="8">
        <v>91.6</v>
      </c>
      <c r="AL165" s="8">
        <v>95.3</v>
      </c>
      <c r="AM165" s="8">
        <v>92.5</v>
      </c>
      <c r="AN165" s="8">
        <v>89.5</v>
      </c>
      <c r="AO165" s="8">
        <v>89.3</v>
      </c>
      <c r="AP165" s="8">
        <v>97.2</v>
      </c>
      <c r="AQ165" s="8">
        <v>96.3</v>
      </c>
      <c r="AR165" s="8">
        <v>96.2</v>
      </c>
      <c r="AS165" s="8">
        <v>101.9</v>
      </c>
      <c r="AT165" s="8">
        <v>131.69999999999999</v>
      </c>
      <c r="AU165" s="8">
        <v>76.2</v>
      </c>
      <c r="AV165" s="8">
        <v>79.7</v>
      </c>
      <c r="AW165" s="8">
        <v>86.6</v>
      </c>
      <c r="AX165" s="8">
        <v>101.7</v>
      </c>
      <c r="AY165" s="8">
        <v>98.9</v>
      </c>
      <c r="AZ165" s="8">
        <v>99.1</v>
      </c>
      <c r="BA165" s="8">
        <v>104.1</v>
      </c>
      <c r="BB165" s="8">
        <v>100.7</v>
      </c>
      <c r="BC165" s="8">
        <v>113.4</v>
      </c>
      <c r="BD165" s="8">
        <v>139.30000000000001</v>
      </c>
      <c r="BE165" s="8">
        <v>86.7</v>
      </c>
      <c r="BF165" s="8">
        <v>131.69999999999999</v>
      </c>
      <c r="BG165" s="8">
        <v>109.6</v>
      </c>
      <c r="BH165" s="8">
        <v>100.3</v>
      </c>
      <c r="BI165" s="8">
        <v>99.4</v>
      </c>
      <c r="BJ165" s="8">
        <v>70</v>
      </c>
      <c r="BK165" s="8">
        <v>64.400000000000006</v>
      </c>
    </row>
    <row r="166" spans="1:63" x14ac:dyDescent="0.2">
      <c r="A166" s="9">
        <v>39234</v>
      </c>
      <c r="B166" s="8">
        <v>88</v>
      </c>
      <c r="C166" s="8">
        <v>97.2</v>
      </c>
      <c r="D166" s="8">
        <v>86.5</v>
      </c>
      <c r="E166" s="8">
        <v>89.1</v>
      </c>
      <c r="F166" s="8">
        <v>2.2999999999999998</v>
      </c>
      <c r="G166" s="8">
        <v>2.4</v>
      </c>
      <c r="H166" s="8">
        <v>2.1</v>
      </c>
      <c r="I166" s="8">
        <v>2.6</v>
      </c>
      <c r="J166" s="8">
        <v>0.4</v>
      </c>
      <c r="K166" s="8">
        <v>3.8</v>
      </c>
      <c r="L166" s="8">
        <v>85.4</v>
      </c>
      <c r="M166" s="8">
        <v>98.1</v>
      </c>
      <c r="N166" s="8">
        <v>112.5</v>
      </c>
      <c r="O166" s="8">
        <v>88.6</v>
      </c>
      <c r="P166" s="8">
        <v>64.2</v>
      </c>
      <c r="Q166" s="8">
        <v>82.4</v>
      </c>
      <c r="R166" s="8">
        <v>89</v>
      </c>
      <c r="S166" s="8">
        <v>81.7</v>
      </c>
      <c r="T166" s="8">
        <v>80.8</v>
      </c>
      <c r="U166" s="8">
        <v>44.1</v>
      </c>
      <c r="V166" s="8">
        <v>78.599999999999994</v>
      </c>
      <c r="W166" s="8">
        <v>67.8</v>
      </c>
      <c r="X166" s="8">
        <v>82</v>
      </c>
      <c r="Y166" s="8">
        <v>79.400000000000006</v>
      </c>
      <c r="Z166" s="8">
        <v>87.4</v>
      </c>
      <c r="AA166" s="8">
        <v>100.5</v>
      </c>
      <c r="AB166" s="8">
        <v>97.7</v>
      </c>
      <c r="AC166" s="8">
        <v>126.1</v>
      </c>
      <c r="AD166" s="8">
        <v>98.9</v>
      </c>
      <c r="AE166" s="8">
        <v>126.3</v>
      </c>
      <c r="AF166" s="8">
        <v>82.4</v>
      </c>
      <c r="AG166" s="8">
        <v>79.400000000000006</v>
      </c>
      <c r="AH166" s="8">
        <v>83.8</v>
      </c>
      <c r="AI166" s="8">
        <v>104</v>
      </c>
      <c r="AJ166" s="8">
        <v>77.3</v>
      </c>
      <c r="AK166" s="8">
        <v>98.7</v>
      </c>
      <c r="AL166" s="8">
        <v>101.5</v>
      </c>
      <c r="AM166" s="8">
        <v>103.4</v>
      </c>
      <c r="AN166" s="8">
        <v>89.7</v>
      </c>
      <c r="AO166" s="8">
        <v>89.4</v>
      </c>
      <c r="AP166" s="8">
        <v>97.2</v>
      </c>
      <c r="AQ166" s="8">
        <v>85.7</v>
      </c>
      <c r="AR166" s="8">
        <v>85.6</v>
      </c>
      <c r="AS166" s="8">
        <v>98.8</v>
      </c>
      <c r="AT166" s="8">
        <v>121.4</v>
      </c>
      <c r="AU166" s="8">
        <v>78.3</v>
      </c>
      <c r="AV166" s="8">
        <v>81.8</v>
      </c>
      <c r="AW166" s="8">
        <v>88.6</v>
      </c>
      <c r="AX166" s="8">
        <v>99.6</v>
      </c>
      <c r="AY166" s="8">
        <v>97.5</v>
      </c>
      <c r="AZ166" s="8">
        <v>98.2</v>
      </c>
      <c r="BA166" s="8">
        <v>99.8</v>
      </c>
      <c r="BB166" s="8">
        <v>100.5</v>
      </c>
      <c r="BC166" s="8">
        <v>107.8</v>
      </c>
      <c r="BD166" s="8">
        <v>134.80000000000001</v>
      </c>
      <c r="BE166" s="8">
        <v>88.7</v>
      </c>
      <c r="BF166" s="8">
        <v>133</v>
      </c>
      <c r="BG166" s="8">
        <v>107.2</v>
      </c>
      <c r="BH166" s="8">
        <v>102.7</v>
      </c>
      <c r="BI166" s="8">
        <v>98.9</v>
      </c>
      <c r="BJ166" s="8">
        <v>70.8</v>
      </c>
      <c r="BK166" s="8">
        <v>65.599999999999994</v>
      </c>
    </row>
    <row r="167" spans="1:63" x14ac:dyDescent="0.2">
      <c r="A167" s="9">
        <v>39326</v>
      </c>
      <c r="B167" s="8">
        <v>87.8</v>
      </c>
      <c r="C167" s="8">
        <v>98</v>
      </c>
      <c r="D167" s="8">
        <v>85.8</v>
      </c>
      <c r="E167" s="8">
        <v>89</v>
      </c>
      <c r="F167" s="8">
        <v>-0.2</v>
      </c>
      <c r="G167" s="8">
        <v>0.8</v>
      </c>
      <c r="H167" s="8">
        <v>-0.8</v>
      </c>
      <c r="I167" s="8">
        <v>0.9</v>
      </c>
      <c r="J167" s="8">
        <v>-0.8</v>
      </c>
      <c r="K167" s="8">
        <v>1.9</v>
      </c>
      <c r="L167" s="8">
        <v>91.5</v>
      </c>
      <c r="M167" s="8">
        <v>98.7</v>
      </c>
      <c r="N167" s="8">
        <v>109.4</v>
      </c>
      <c r="O167" s="8">
        <v>91.2</v>
      </c>
      <c r="P167" s="8">
        <v>66.5</v>
      </c>
      <c r="Q167" s="8">
        <v>105.5</v>
      </c>
      <c r="R167" s="8">
        <v>88.6</v>
      </c>
      <c r="S167" s="8">
        <v>76.3</v>
      </c>
      <c r="T167" s="8">
        <v>80.7</v>
      </c>
      <c r="U167" s="8">
        <v>37.4</v>
      </c>
      <c r="V167" s="8">
        <v>77.7</v>
      </c>
      <c r="W167" s="8">
        <v>70.5</v>
      </c>
      <c r="X167" s="8">
        <v>82</v>
      </c>
      <c r="Y167" s="8">
        <v>79.8</v>
      </c>
      <c r="Z167" s="8">
        <v>86.6</v>
      </c>
      <c r="AA167" s="8">
        <v>98.2</v>
      </c>
      <c r="AB167" s="8">
        <v>95</v>
      </c>
      <c r="AC167" s="8">
        <v>129</v>
      </c>
      <c r="AD167" s="8">
        <v>96.6</v>
      </c>
      <c r="AE167" s="8">
        <v>112.5</v>
      </c>
      <c r="AF167" s="8">
        <v>84.2</v>
      </c>
      <c r="AG167" s="8">
        <v>80.3</v>
      </c>
      <c r="AH167" s="8">
        <v>83.3</v>
      </c>
      <c r="AI167" s="8">
        <v>102.4</v>
      </c>
      <c r="AJ167" s="8">
        <v>78.400000000000006</v>
      </c>
      <c r="AK167" s="8">
        <v>96</v>
      </c>
      <c r="AL167" s="8">
        <v>97.6</v>
      </c>
      <c r="AM167" s="8">
        <v>101.8</v>
      </c>
      <c r="AN167" s="8">
        <v>89.5</v>
      </c>
      <c r="AO167" s="8">
        <v>89.3</v>
      </c>
      <c r="AP167" s="8">
        <v>96.9</v>
      </c>
      <c r="AQ167" s="8">
        <v>84.3</v>
      </c>
      <c r="AR167" s="8">
        <v>84.2</v>
      </c>
      <c r="AS167" s="8">
        <v>98</v>
      </c>
      <c r="AT167" s="8">
        <v>118.7</v>
      </c>
      <c r="AU167" s="8">
        <v>79.3</v>
      </c>
      <c r="AV167" s="8">
        <v>83</v>
      </c>
      <c r="AW167" s="8">
        <v>86.6</v>
      </c>
      <c r="AX167" s="8">
        <v>98</v>
      </c>
      <c r="AY167" s="8">
        <v>95.1</v>
      </c>
      <c r="AZ167" s="8">
        <v>95</v>
      </c>
      <c r="BA167" s="8">
        <v>99.7</v>
      </c>
      <c r="BB167" s="8">
        <v>100.3</v>
      </c>
      <c r="BC167" s="8">
        <v>108.3</v>
      </c>
      <c r="BD167" s="8">
        <v>132.5</v>
      </c>
      <c r="BE167" s="8">
        <v>89.2</v>
      </c>
      <c r="BF167" s="8">
        <v>134</v>
      </c>
      <c r="BG167" s="8">
        <v>99.2</v>
      </c>
      <c r="BH167" s="8">
        <v>104.7</v>
      </c>
      <c r="BI167" s="8">
        <v>98.7</v>
      </c>
      <c r="BJ167" s="8">
        <v>70.599999999999994</v>
      </c>
      <c r="BK167" s="8">
        <v>67.3</v>
      </c>
    </row>
    <row r="168" spans="1:63" x14ac:dyDescent="0.2">
      <c r="A168" s="9">
        <v>39417</v>
      </c>
      <c r="B168" s="8">
        <v>89.4</v>
      </c>
      <c r="C168" s="8">
        <v>98.8</v>
      </c>
      <c r="D168" s="8">
        <v>87.9</v>
      </c>
      <c r="E168" s="8">
        <v>89.1</v>
      </c>
      <c r="F168" s="8">
        <v>1.8</v>
      </c>
      <c r="G168" s="8">
        <v>0.8</v>
      </c>
      <c r="H168" s="8">
        <v>2.4</v>
      </c>
      <c r="I168" s="8">
        <v>3.6</v>
      </c>
      <c r="J168" s="8">
        <v>2.5</v>
      </c>
      <c r="K168" s="8">
        <v>4.3</v>
      </c>
      <c r="L168" s="8">
        <v>92</v>
      </c>
      <c r="M168" s="8">
        <v>100.1</v>
      </c>
      <c r="N168" s="8">
        <v>107.4</v>
      </c>
      <c r="O168" s="8">
        <v>90.7</v>
      </c>
      <c r="P168" s="8">
        <v>69.099999999999994</v>
      </c>
      <c r="Q168" s="8">
        <v>106.8</v>
      </c>
      <c r="R168" s="8">
        <v>90.4</v>
      </c>
      <c r="S168" s="8">
        <v>80.099999999999994</v>
      </c>
      <c r="T168" s="8">
        <v>82.7</v>
      </c>
      <c r="U168" s="8">
        <v>35.6</v>
      </c>
      <c r="V168" s="8">
        <v>88.7</v>
      </c>
      <c r="W168" s="8">
        <v>73.599999999999994</v>
      </c>
      <c r="X168" s="8">
        <v>82</v>
      </c>
      <c r="Y168" s="8">
        <v>80.099999999999994</v>
      </c>
      <c r="Z168" s="8">
        <v>85.9</v>
      </c>
      <c r="AA168" s="8">
        <v>95.3</v>
      </c>
      <c r="AB168" s="8">
        <v>93.6</v>
      </c>
      <c r="AC168" s="8">
        <v>128.9</v>
      </c>
      <c r="AD168" s="8">
        <v>93.7</v>
      </c>
      <c r="AE168" s="8">
        <v>105.8</v>
      </c>
      <c r="AF168" s="8">
        <v>86.3</v>
      </c>
      <c r="AG168" s="8">
        <v>80.3</v>
      </c>
      <c r="AH168" s="8">
        <v>87.7</v>
      </c>
      <c r="AI168" s="8">
        <v>102.2</v>
      </c>
      <c r="AJ168" s="8">
        <v>81.3</v>
      </c>
      <c r="AK168" s="8">
        <v>95.8</v>
      </c>
      <c r="AL168" s="8">
        <v>97.2</v>
      </c>
      <c r="AM168" s="8">
        <v>100.8</v>
      </c>
      <c r="AN168" s="8">
        <v>91.6</v>
      </c>
      <c r="AO168" s="8">
        <v>91.4</v>
      </c>
      <c r="AP168" s="8">
        <v>97</v>
      </c>
      <c r="AQ168" s="8">
        <v>84.7</v>
      </c>
      <c r="AR168" s="8">
        <v>84.6</v>
      </c>
      <c r="AS168" s="8">
        <v>96.4</v>
      </c>
      <c r="AT168" s="8">
        <v>112.1</v>
      </c>
      <c r="AU168" s="8">
        <v>82.2</v>
      </c>
      <c r="AV168" s="8">
        <v>86</v>
      </c>
      <c r="AW168" s="8">
        <v>83.9</v>
      </c>
      <c r="AX168" s="8">
        <v>95.8</v>
      </c>
      <c r="AY168" s="8">
        <v>93.8</v>
      </c>
      <c r="AZ168" s="8">
        <v>94.5</v>
      </c>
      <c r="BA168" s="8">
        <v>89.1</v>
      </c>
      <c r="BB168" s="8">
        <v>102</v>
      </c>
      <c r="BC168" s="8">
        <v>106.5</v>
      </c>
      <c r="BD168" s="8">
        <v>128</v>
      </c>
      <c r="BE168" s="8">
        <v>94.3</v>
      </c>
      <c r="BF168" s="8">
        <v>136.19999999999999</v>
      </c>
      <c r="BG168" s="8">
        <v>101.8</v>
      </c>
      <c r="BH168" s="8">
        <v>108</v>
      </c>
      <c r="BI168" s="8">
        <v>98.9</v>
      </c>
      <c r="BJ168" s="8">
        <v>72</v>
      </c>
      <c r="BK168" s="8">
        <v>68.5</v>
      </c>
    </row>
    <row r="169" spans="1:63" x14ac:dyDescent="0.2">
      <c r="A169" s="9">
        <v>39508</v>
      </c>
      <c r="B169" s="8">
        <v>91</v>
      </c>
      <c r="C169" s="8">
        <v>102.1</v>
      </c>
      <c r="D169" s="8">
        <v>88.7</v>
      </c>
      <c r="E169" s="8">
        <v>89.6</v>
      </c>
      <c r="F169" s="8">
        <v>1.8</v>
      </c>
      <c r="G169" s="8">
        <v>3.3</v>
      </c>
      <c r="H169" s="8">
        <v>0.9</v>
      </c>
      <c r="I169" s="8">
        <v>5.8</v>
      </c>
      <c r="J169" s="8">
        <v>7.6</v>
      </c>
      <c r="K169" s="8">
        <v>4.7</v>
      </c>
      <c r="L169" s="8">
        <v>95.8</v>
      </c>
      <c r="M169" s="8">
        <v>105.6</v>
      </c>
      <c r="N169" s="8">
        <v>115.3</v>
      </c>
      <c r="O169" s="8">
        <v>94.6</v>
      </c>
      <c r="P169" s="8">
        <v>66.400000000000006</v>
      </c>
      <c r="Q169" s="8">
        <v>111.8</v>
      </c>
      <c r="R169" s="8">
        <v>99.2</v>
      </c>
      <c r="S169" s="8">
        <v>84.4</v>
      </c>
      <c r="T169" s="8">
        <v>84.2</v>
      </c>
      <c r="U169" s="8">
        <v>34.9</v>
      </c>
      <c r="V169" s="8">
        <v>97.8</v>
      </c>
      <c r="W169" s="8">
        <v>73.5</v>
      </c>
      <c r="X169" s="8">
        <v>82.7</v>
      </c>
      <c r="Y169" s="8">
        <v>80.5</v>
      </c>
      <c r="Z169" s="8">
        <v>86.9</v>
      </c>
      <c r="AA169" s="8">
        <v>95.7</v>
      </c>
      <c r="AB169" s="8">
        <v>93.5</v>
      </c>
      <c r="AC169" s="8">
        <v>128.30000000000001</v>
      </c>
      <c r="AD169" s="8">
        <v>94.1</v>
      </c>
      <c r="AE169" s="8">
        <v>102.6</v>
      </c>
      <c r="AF169" s="8">
        <v>84.1</v>
      </c>
      <c r="AG169" s="8">
        <v>75.8</v>
      </c>
      <c r="AH169" s="8">
        <v>88.4</v>
      </c>
      <c r="AI169" s="8">
        <v>100.5</v>
      </c>
      <c r="AJ169" s="8">
        <v>84.3</v>
      </c>
      <c r="AK169" s="8">
        <v>98.6</v>
      </c>
      <c r="AL169" s="8">
        <v>98.4</v>
      </c>
      <c r="AM169" s="8">
        <v>111</v>
      </c>
      <c r="AN169" s="8">
        <v>94.5</v>
      </c>
      <c r="AO169" s="8">
        <v>94.3</v>
      </c>
      <c r="AP169" s="8">
        <v>98.3</v>
      </c>
      <c r="AQ169" s="8">
        <v>91.2</v>
      </c>
      <c r="AR169" s="8">
        <v>91.1</v>
      </c>
      <c r="AS169" s="8">
        <v>100.3</v>
      </c>
      <c r="AT169" s="8">
        <v>116.7</v>
      </c>
      <c r="AU169" s="8">
        <v>85.3</v>
      </c>
      <c r="AV169" s="8">
        <v>89.2</v>
      </c>
      <c r="AW169" s="8">
        <v>88.4</v>
      </c>
      <c r="AX169" s="8">
        <v>95.6</v>
      </c>
      <c r="AY169" s="8">
        <v>94.5</v>
      </c>
      <c r="AZ169" s="8">
        <v>94.3</v>
      </c>
      <c r="BA169" s="8">
        <v>95.3</v>
      </c>
      <c r="BB169" s="8">
        <v>101.6</v>
      </c>
      <c r="BC169" s="8">
        <v>106.6</v>
      </c>
      <c r="BD169" s="8">
        <v>126.6</v>
      </c>
      <c r="BE169" s="8">
        <v>94.8</v>
      </c>
      <c r="BF169" s="8">
        <v>140</v>
      </c>
      <c r="BG169" s="8">
        <v>103.3</v>
      </c>
      <c r="BH169" s="8">
        <v>111.7</v>
      </c>
      <c r="BI169" s="8">
        <v>95.6</v>
      </c>
      <c r="BJ169" s="8">
        <v>70.400000000000006</v>
      </c>
      <c r="BK169" s="8">
        <v>70.400000000000006</v>
      </c>
    </row>
    <row r="170" spans="1:63" x14ac:dyDescent="0.2">
      <c r="A170" s="9">
        <v>39600</v>
      </c>
      <c r="B170" s="8">
        <v>94.6</v>
      </c>
      <c r="C170" s="8">
        <v>107.9</v>
      </c>
      <c r="D170" s="8">
        <v>91.3</v>
      </c>
      <c r="E170" s="8">
        <v>91.1</v>
      </c>
      <c r="F170" s="8">
        <v>4</v>
      </c>
      <c r="G170" s="8">
        <v>5.7</v>
      </c>
      <c r="H170" s="8">
        <v>2.9</v>
      </c>
      <c r="I170" s="8">
        <v>7.5</v>
      </c>
      <c r="J170" s="8">
        <v>11</v>
      </c>
      <c r="K170" s="8">
        <v>5.5</v>
      </c>
      <c r="L170" s="8">
        <v>100</v>
      </c>
      <c r="M170" s="8">
        <v>105.9</v>
      </c>
      <c r="N170" s="8">
        <v>128.1</v>
      </c>
      <c r="O170" s="8">
        <v>95.4</v>
      </c>
      <c r="P170" s="8">
        <v>68</v>
      </c>
      <c r="Q170" s="8">
        <v>127.4</v>
      </c>
      <c r="R170" s="8">
        <v>101.7</v>
      </c>
      <c r="S170" s="8">
        <v>84.3</v>
      </c>
      <c r="T170" s="8">
        <v>84.2</v>
      </c>
      <c r="U170" s="8">
        <v>33.700000000000003</v>
      </c>
      <c r="V170" s="8">
        <v>114.8</v>
      </c>
      <c r="W170" s="8">
        <v>71.400000000000006</v>
      </c>
      <c r="X170" s="8">
        <v>85.1</v>
      </c>
      <c r="Y170" s="8">
        <v>83</v>
      </c>
      <c r="Z170" s="8">
        <v>89.4</v>
      </c>
      <c r="AA170" s="8">
        <v>93.8</v>
      </c>
      <c r="AB170" s="8">
        <v>91.1</v>
      </c>
      <c r="AC170" s="8">
        <v>131.6</v>
      </c>
      <c r="AD170" s="8">
        <v>92.2</v>
      </c>
      <c r="AE170" s="8">
        <v>101</v>
      </c>
      <c r="AF170" s="8">
        <v>87.1</v>
      </c>
      <c r="AG170" s="8">
        <v>77.400000000000006</v>
      </c>
      <c r="AH170" s="8">
        <v>92.9</v>
      </c>
      <c r="AI170" s="8">
        <v>102.1</v>
      </c>
      <c r="AJ170" s="8">
        <v>89.6</v>
      </c>
      <c r="AK170" s="8">
        <v>104.4</v>
      </c>
      <c r="AL170" s="8">
        <v>104.8</v>
      </c>
      <c r="AM170" s="8">
        <v>113.2</v>
      </c>
      <c r="AN170" s="8">
        <v>96.8</v>
      </c>
      <c r="AO170" s="8">
        <v>96.8</v>
      </c>
      <c r="AP170" s="8">
        <v>97.3</v>
      </c>
      <c r="AQ170" s="8">
        <v>105.9</v>
      </c>
      <c r="AR170" s="8">
        <v>105.8</v>
      </c>
      <c r="AS170" s="8">
        <v>107.1</v>
      </c>
      <c r="AT170" s="8">
        <v>125.6</v>
      </c>
      <c r="AU170" s="8">
        <v>90.6</v>
      </c>
      <c r="AV170" s="8">
        <v>94.8</v>
      </c>
      <c r="AW170" s="8">
        <v>92</v>
      </c>
      <c r="AX170" s="8">
        <v>86.3</v>
      </c>
      <c r="AY170" s="8">
        <v>93.6</v>
      </c>
      <c r="AZ170" s="8">
        <v>92.8</v>
      </c>
      <c r="BA170" s="8">
        <v>89.4</v>
      </c>
      <c r="BB170" s="8">
        <v>103.8</v>
      </c>
      <c r="BC170" s="8">
        <v>106.6</v>
      </c>
      <c r="BD170" s="8">
        <v>123.1</v>
      </c>
      <c r="BE170" s="8">
        <v>96.4</v>
      </c>
      <c r="BF170" s="8">
        <v>144.80000000000001</v>
      </c>
      <c r="BG170" s="8">
        <v>103.6</v>
      </c>
      <c r="BH170" s="8">
        <v>118.3</v>
      </c>
      <c r="BI170" s="8">
        <v>101.2</v>
      </c>
      <c r="BJ170" s="8">
        <v>73.5</v>
      </c>
      <c r="BK170" s="8">
        <v>74.8</v>
      </c>
    </row>
    <row r="171" spans="1:63" x14ac:dyDescent="0.2">
      <c r="A171" s="9">
        <v>39692</v>
      </c>
      <c r="B171" s="8">
        <v>98.8</v>
      </c>
      <c r="C171" s="8">
        <v>114.1</v>
      </c>
      <c r="D171" s="8">
        <v>94.7</v>
      </c>
      <c r="E171" s="8">
        <v>94.8</v>
      </c>
      <c r="F171" s="8">
        <v>4.4000000000000004</v>
      </c>
      <c r="G171" s="8">
        <v>5.7</v>
      </c>
      <c r="H171" s="8">
        <v>3.7</v>
      </c>
      <c r="I171" s="8">
        <v>12.5</v>
      </c>
      <c r="J171" s="8">
        <v>16.399999999999999</v>
      </c>
      <c r="K171" s="8">
        <v>10.4</v>
      </c>
      <c r="L171" s="8">
        <v>100.5</v>
      </c>
      <c r="M171" s="8">
        <v>107.7</v>
      </c>
      <c r="N171" s="8">
        <v>133.19999999999999</v>
      </c>
      <c r="O171" s="8">
        <v>98.8</v>
      </c>
      <c r="P171" s="8">
        <v>68.599999999999994</v>
      </c>
      <c r="Q171" s="8">
        <v>116.6</v>
      </c>
      <c r="R171" s="8">
        <v>102.7</v>
      </c>
      <c r="S171" s="8">
        <v>92.4</v>
      </c>
      <c r="T171" s="8">
        <v>85.6</v>
      </c>
      <c r="U171" s="8">
        <v>98.6</v>
      </c>
      <c r="V171" s="8">
        <v>123.9</v>
      </c>
      <c r="W171" s="8">
        <v>75.099999999999994</v>
      </c>
      <c r="X171" s="8">
        <v>86</v>
      </c>
      <c r="Y171" s="8">
        <v>83.3</v>
      </c>
      <c r="Z171" s="8">
        <v>91.6</v>
      </c>
      <c r="AA171" s="8">
        <v>95.8</v>
      </c>
      <c r="AB171" s="8">
        <v>93.7</v>
      </c>
      <c r="AC171" s="8">
        <v>129.1</v>
      </c>
      <c r="AD171" s="8">
        <v>94.3</v>
      </c>
      <c r="AE171" s="8">
        <v>102.1</v>
      </c>
      <c r="AF171" s="8">
        <v>89.9</v>
      </c>
      <c r="AG171" s="8">
        <v>83.2</v>
      </c>
      <c r="AH171" s="8">
        <v>92.4</v>
      </c>
      <c r="AI171" s="8">
        <v>104.5</v>
      </c>
      <c r="AJ171" s="8">
        <v>95</v>
      </c>
      <c r="AK171" s="8">
        <v>119.4</v>
      </c>
      <c r="AL171" s="8">
        <v>121.4</v>
      </c>
      <c r="AM171" s="8">
        <v>148.1</v>
      </c>
      <c r="AN171" s="8">
        <v>99.2</v>
      </c>
      <c r="AO171" s="8">
        <v>99.3</v>
      </c>
      <c r="AP171" s="8">
        <v>99</v>
      </c>
      <c r="AQ171" s="8">
        <v>95.3</v>
      </c>
      <c r="AR171" s="8">
        <v>95.2</v>
      </c>
      <c r="AS171" s="8">
        <v>122.1</v>
      </c>
      <c r="AT171" s="8">
        <v>154.19999999999999</v>
      </c>
      <c r="AU171" s="8">
        <v>96.1</v>
      </c>
      <c r="AV171" s="8">
        <v>100.5</v>
      </c>
      <c r="AW171" s="8">
        <v>93.9</v>
      </c>
      <c r="AX171" s="8">
        <v>95.2</v>
      </c>
      <c r="AY171" s="8">
        <v>95.1</v>
      </c>
      <c r="AZ171" s="8">
        <v>94.3</v>
      </c>
      <c r="BA171" s="8">
        <v>92.5</v>
      </c>
      <c r="BB171" s="8">
        <v>105.4</v>
      </c>
      <c r="BC171" s="8">
        <v>107.2</v>
      </c>
      <c r="BD171" s="8">
        <v>125</v>
      </c>
      <c r="BE171" s="8">
        <v>95.7</v>
      </c>
      <c r="BF171" s="8">
        <v>150.80000000000001</v>
      </c>
      <c r="BG171" s="8">
        <v>113.7</v>
      </c>
      <c r="BH171" s="8">
        <v>124.8</v>
      </c>
      <c r="BI171" s="8">
        <v>103.9</v>
      </c>
      <c r="BJ171" s="8">
        <v>74.2</v>
      </c>
      <c r="BK171" s="8">
        <v>73.7</v>
      </c>
    </row>
    <row r="172" spans="1:63" x14ac:dyDescent="0.2">
      <c r="A172" s="9">
        <v>39783</v>
      </c>
      <c r="B172" s="8">
        <v>102.3</v>
      </c>
      <c r="C172" s="8">
        <v>120.5</v>
      </c>
      <c r="D172" s="8">
        <v>96.9</v>
      </c>
      <c r="E172" s="8">
        <v>103.5</v>
      </c>
      <c r="F172" s="8">
        <v>3.5</v>
      </c>
      <c r="G172" s="8">
        <v>5.6</v>
      </c>
      <c r="H172" s="8">
        <v>2.2999999999999998</v>
      </c>
      <c r="I172" s="8">
        <v>14.4</v>
      </c>
      <c r="J172" s="8">
        <v>22</v>
      </c>
      <c r="K172" s="8">
        <v>10.199999999999999</v>
      </c>
      <c r="L172" s="8">
        <v>97.6</v>
      </c>
      <c r="M172" s="8">
        <v>114.3</v>
      </c>
      <c r="N172" s="8">
        <v>134.6</v>
      </c>
      <c r="O172" s="8">
        <v>93.5</v>
      </c>
      <c r="P172" s="8">
        <v>72.599999999999994</v>
      </c>
      <c r="Q172" s="8">
        <v>109.6</v>
      </c>
      <c r="R172" s="8">
        <v>105.7</v>
      </c>
      <c r="S172" s="8">
        <v>109.8</v>
      </c>
      <c r="T172" s="8">
        <v>86.6</v>
      </c>
      <c r="U172" s="8">
        <v>128.5</v>
      </c>
      <c r="V172" s="8">
        <v>92.9</v>
      </c>
      <c r="W172" s="8">
        <v>81.7</v>
      </c>
      <c r="X172" s="8">
        <v>88.5</v>
      </c>
      <c r="Y172" s="8">
        <v>84.7</v>
      </c>
      <c r="Z172" s="8">
        <v>96.3</v>
      </c>
      <c r="AA172" s="8">
        <v>102.5</v>
      </c>
      <c r="AB172" s="8">
        <v>99.9</v>
      </c>
      <c r="AC172" s="8">
        <v>132.30000000000001</v>
      </c>
      <c r="AD172" s="8">
        <v>100.8</v>
      </c>
      <c r="AE172" s="8">
        <v>108.8</v>
      </c>
      <c r="AF172" s="8">
        <v>107.9</v>
      </c>
      <c r="AG172" s="8">
        <v>115.5</v>
      </c>
      <c r="AH172" s="8">
        <v>95.9</v>
      </c>
      <c r="AI172" s="8">
        <v>112.9</v>
      </c>
      <c r="AJ172" s="8">
        <v>92.5</v>
      </c>
      <c r="AK172" s="8">
        <v>134.6</v>
      </c>
      <c r="AL172" s="8">
        <v>146.9</v>
      </c>
      <c r="AM172" s="8">
        <v>148.9</v>
      </c>
      <c r="AN172" s="8">
        <v>103.8</v>
      </c>
      <c r="AO172" s="8">
        <v>103.5</v>
      </c>
      <c r="AP172" s="8">
        <v>110.8</v>
      </c>
      <c r="AQ172" s="8">
        <v>114.7</v>
      </c>
      <c r="AR172" s="8">
        <v>114.6</v>
      </c>
      <c r="AS172" s="8">
        <v>143.6</v>
      </c>
      <c r="AT172" s="8">
        <v>209.5</v>
      </c>
      <c r="AU172" s="8">
        <v>93.6</v>
      </c>
      <c r="AV172" s="8">
        <v>97.9</v>
      </c>
      <c r="AW172" s="8">
        <v>87.6</v>
      </c>
      <c r="AX172" s="8">
        <v>105.2</v>
      </c>
      <c r="AY172" s="8">
        <v>111.6</v>
      </c>
      <c r="AZ172" s="8">
        <v>110.5</v>
      </c>
      <c r="BA172" s="8">
        <v>121.1</v>
      </c>
      <c r="BB172" s="8">
        <v>109.1</v>
      </c>
      <c r="BC172" s="8">
        <v>114.7</v>
      </c>
      <c r="BD172" s="8">
        <v>133.80000000000001</v>
      </c>
      <c r="BE172" s="8">
        <v>98.6</v>
      </c>
      <c r="BF172" s="8">
        <v>152.30000000000001</v>
      </c>
      <c r="BG172" s="8">
        <v>135</v>
      </c>
      <c r="BH172" s="8">
        <v>122.5</v>
      </c>
      <c r="BI172" s="8">
        <v>101.8</v>
      </c>
      <c r="BJ172" s="8">
        <v>76.7</v>
      </c>
      <c r="BK172" s="8">
        <v>76.7</v>
      </c>
    </row>
    <row r="173" spans="1:63" x14ac:dyDescent="0.2">
      <c r="A173" s="9">
        <v>39873</v>
      </c>
      <c r="B173" s="8">
        <v>96.4</v>
      </c>
      <c r="C173" s="8">
        <v>108.3</v>
      </c>
      <c r="D173" s="8">
        <v>93.9</v>
      </c>
      <c r="E173" s="8">
        <v>100.7</v>
      </c>
      <c r="F173" s="8">
        <v>-5.8</v>
      </c>
      <c r="G173" s="8">
        <v>-10.1</v>
      </c>
      <c r="H173" s="8">
        <v>-3.1</v>
      </c>
      <c r="I173" s="8">
        <v>5.9</v>
      </c>
      <c r="J173" s="8">
        <v>6.1</v>
      </c>
      <c r="K173" s="8">
        <v>5.9</v>
      </c>
      <c r="L173" s="8">
        <v>90.9</v>
      </c>
      <c r="M173" s="8">
        <v>115.8</v>
      </c>
      <c r="N173" s="8">
        <v>137.1</v>
      </c>
      <c r="O173" s="8">
        <v>89.2</v>
      </c>
      <c r="P173" s="8">
        <v>73.8</v>
      </c>
      <c r="Q173" s="8">
        <v>85.5</v>
      </c>
      <c r="R173" s="8">
        <v>103.3</v>
      </c>
      <c r="S173" s="8">
        <v>122.1</v>
      </c>
      <c r="T173" s="8">
        <v>89.7</v>
      </c>
      <c r="U173" s="8">
        <v>129.4</v>
      </c>
      <c r="V173" s="8">
        <v>67.3</v>
      </c>
      <c r="W173" s="8">
        <v>79.8</v>
      </c>
      <c r="X173" s="8">
        <v>87.4</v>
      </c>
      <c r="Y173" s="8">
        <v>86</v>
      </c>
      <c r="Z173" s="8">
        <v>90.3</v>
      </c>
      <c r="AA173" s="8">
        <v>113.3</v>
      </c>
      <c r="AB173" s="8">
        <v>111.2</v>
      </c>
      <c r="AC173" s="8">
        <v>127.6</v>
      </c>
      <c r="AD173" s="8">
        <v>111.5</v>
      </c>
      <c r="AE173" s="8">
        <v>111.4</v>
      </c>
      <c r="AF173" s="8">
        <v>110.5</v>
      </c>
      <c r="AG173" s="8">
        <v>114.7</v>
      </c>
      <c r="AH173" s="8">
        <v>101.9</v>
      </c>
      <c r="AI173" s="8">
        <v>108.3</v>
      </c>
      <c r="AJ173" s="8">
        <v>84.9</v>
      </c>
      <c r="AK173" s="8">
        <v>128.30000000000001</v>
      </c>
      <c r="AL173" s="8">
        <v>139.80000000000001</v>
      </c>
      <c r="AM173" s="8">
        <v>140.6</v>
      </c>
      <c r="AN173" s="8">
        <v>99.2</v>
      </c>
      <c r="AO173" s="8">
        <v>98.7</v>
      </c>
      <c r="AP173" s="8">
        <v>110.8</v>
      </c>
      <c r="AQ173" s="8">
        <v>143.4</v>
      </c>
      <c r="AR173" s="8">
        <v>143.19999999999999</v>
      </c>
      <c r="AS173" s="8">
        <v>126.9</v>
      </c>
      <c r="AT173" s="8">
        <v>180</v>
      </c>
      <c r="AU173" s="8">
        <v>86</v>
      </c>
      <c r="AV173" s="8">
        <v>89.9</v>
      </c>
      <c r="AW173" s="8">
        <v>83.7</v>
      </c>
      <c r="AX173" s="8">
        <v>131.19999999999999</v>
      </c>
      <c r="AY173" s="8">
        <v>119.2</v>
      </c>
      <c r="AZ173" s="8">
        <v>119.3</v>
      </c>
      <c r="BA173" s="8">
        <v>129.69999999999999</v>
      </c>
      <c r="BB173" s="8">
        <v>107.2</v>
      </c>
      <c r="BC173" s="8">
        <v>115.5</v>
      </c>
      <c r="BD173" s="8">
        <v>117.5</v>
      </c>
      <c r="BE173" s="8">
        <v>100.2</v>
      </c>
      <c r="BF173" s="8">
        <v>149.19999999999999</v>
      </c>
      <c r="BG173" s="8">
        <v>133.9</v>
      </c>
      <c r="BH173" s="8">
        <v>113.1</v>
      </c>
      <c r="BI173" s="8">
        <v>100.6</v>
      </c>
      <c r="BJ173" s="8">
        <v>80.2</v>
      </c>
      <c r="BK173" s="8">
        <v>76.599999999999994</v>
      </c>
    </row>
    <row r="174" spans="1:63" x14ac:dyDescent="0.2">
      <c r="A174" s="9">
        <v>39965</v>
      </c>
      <c r="B174" s="8">
        <v>90.9</v>
      </c>
      <c r="C174" s="8">
        <v>100.3</v>
      </c>
      <c r="D174" s="8">
        <v>89.5</v>
      </c>
      <c r="E174" s="8">
        <v>95.3</v>
      </c>
      <c r="F174" s="8">
        <v>-5.7</v>
      </c>
      <c r="G174" s="8">
        <v>-7.4</v>
      </c>
      <c r="H174" s="8">
        <v>-4.7</v>
      </c>
      <c r="I174" s="8">
        <v>-3.9</v>
      </c>
      <c r="J174" s="8">
        <v>-7</v>
      </c>
      <c r="K174" s="8">
        <v>-2</v>
      </c>
      <c r="L174" s="8">
        <v>91.3</v>
      </c>
      <c r="M174" s="8">
        <v>117.1</v>
      </c>
      <c r="N174" s="8">
        <v>113.5</v>
      </c>
      <c r="O174" s="8">
        <v>89.4</v>
      </c>
      <c r="P174" s="8">
        <v>77.599999999999994</v>
      </c>
      <c r="Q174" s="8">
        <v>91.2</v>
      </c>
      <c r="R174" s="8">
        <v>97.8</v>
      </c>
      <c r="S174" s="8">
        <v>116.1</v>
      </c>
      <c r="T174" s="8">
        <v>90.2</v>
      </c>
      <c r="U174" s="8">
        <v>106.8</v>
      </c>
      <c r="V174" s="8">
        <v>64.3</v>
      </c>
      <c r="W174" s="8">
        <v>76.099999999999994</v>
      </c>
      <c r="X174" s="8">
        <v>86.8</v>
      </c>
      <c r="Y174" s="8">
        <v>86.9</v>
      </c>
      <c r="Z174" s="8">
        <v>86.1</v>
      </c>
      <c r="AA174" s="8">
        <v>105.5</v>
      </c>
      <c r="AB174" s="8">
        <v>102.2</v>
      </c>
      <c r="AC174" s="8">
        <v>128.19999999999999</v>
      </c>
      <c r="AD174" s="8">
        <v>103.7</v>
      </c>
      <c r="AE174" s="8">
        <v>107.7</v>
      </c>
      <c r="AF174" s="8">
        <v>104.1</v>
      </c>
      <c r="AG174" s="8">
        <v>106.1</v>
      </c>
      <c r="AH174" s="8">
        <v>101.9</v>
      </c>
      <c r="AI174" s="8">
        <v>102.4</v>
      </c>
      <c r="AJ174" s="8">
        <v>81.3</v>
      </c>
      <c r="AK174" s="8">
        <v>126.7</v>
      </c>
      <c r="AL174" s="8">
        <v>139.69999999999999</v>
      </c>
      <c r="AM174" s="8">
        <v>120.8</v>
      </c>
      <c r="AN174" s="8">
        <v>95.7</v>
      </c>
      <c r="AO174" s="8">
        <v>95.4</v>
      </c>
      <c r="AP174" s="8">
        <v>103.8</v>
      </c>
      <c r="AQ174" s="8">
        <v>96.8</v>
      </c>
      <c r="AR174" s="8">
        <v>96.7</v>
      </c>
      <c r="AS174" s="8">
        <v>97.5</v>
      </c>
      <c r="AT174" s="8">
        <v>113.9</v>
      </c>
      <c r="AU174" s="8">
        <v>82.3</v>
      </c>
      <c r="AV174" s="8">
        <v>86.1</v>
      </c>
      <c r="AW174" s="8">
        <v>86.5</v>
      </c>
      <c r="AX174" s="8">
        <v>123.1</v>
      </c>
      <c r="AY174" s="8">
        <v>112.6</v>
      </c>
      <c r="AZ174" s="8">
        <v>111.5</v>
      </c>
      <c r="BA174" s="8">
        <v>119.2</v>
      </c>
      <c r="BB174" s="8">
        <v>104.6</v>
      </c>
      <c r="BC174" s="8">
        <v>112</v>
      </c>
      <c r="BD174" s="8">
        <v>113.6</v>
      </c>
      <c r="BE174" s="8">
        <v>99.4</v>
      </c>
      <c r="BF174" s="8">
        <v>140.4</v>
      </c>
      <c r="BG174" s="8">
        <v>122.5</v>
      </c>
      <c r="BH174" s="8">
        <v>109.4</v>
      </c>
      <c r="BI174" s="8">
        <v>99.4</v>
      </c>
      <c r="BJ174" s="8">
        <v>80.5</v>
      </c>
      <c r="BK174" s="8">
        <v>79.7</v>
      </c>
    </row>
    <row r="175" spans="1:63" x14ac:dyDescent="0.2">
      <c r="A175" s="9">
        <v>40057</v>
      </c>
      <c r="B175" s="8">
        <v>90.5</v>
      </c>
      <c r="C175" s="8">
        <v>103.9</v>
      </c>
      <c r="D175" s="8">
        <v>87.6</v>
      </c>
      <c r="E175" s="8">
        <v>92</v>
      </c>
      <c r="F175" s="8">
        <v>-0.4</v>
      </c>
      <c r="G175" s="8">
        <v>3.6</v>
      </c>
      <c r="H175" s="8">
        <v>-2.1</v>
      </c>
      <c r="I175" s="8">
        <v>-8.4</v>
      </c>
      <c r="J175" s="8">
        <v>-8.9</v>
      </c>
      <c r="K175" s="8">
        <v>-7.5</v>
      </c>
      <c r="L175" s="8">
        <v>91.6</v>
      </c>
      <c r="M175" s="8">
        <v>112.1</v>
      </c>
      <c r="N175" s="8">
        <v>116.7</v>
      </c>
      <c r="O175" s="8">
        <v>91.5</v>
      </c>
      <c r="P175" s="8">
        <v>81.5</v>
      </c>
      <c r="Q175" s="8">
        <v>86</v>
      </c>
      <c r="R175" s="8">
        <v>97.8</v>
      </c>
      <c r="S175" s="8">
        <v>107.7</v>
      </c>
      <c r="T175" s="8">
        <v>89.4</v>
      </c>
      <c r="U175" s="8">
        <v>86.1</v>
      </c>
      <c r="V175" s="8">
        <v>75.400000000000006</v>
      </c>
      <c r="W175" s="8">
        <v>72.900000000000006</v>
      </c>
      <c r="X175" s="8">
        <v>86.7</v>
      </c>
      <c r="Y175" s="8">
        <v>87</v>
      </c>
      <c r="Z175" s="8">
        <v>85.6</v>
      </c>
      <c r="AA175" s="8">
        <v>96.4</v>
      </c>
      <c r="AB175" s="8">
        <v>92.9</v>
      </c>
      <c r="AC175" s="8">
        <v>113.7</v>
      </c>
      <c r="AD175" s="8">
        <v>96.6</v>
      </c>
      <c r="AE175" s="8">
        <v>99.4</v>
      </c>
      <c r="AF175" s="8">
        <v>99.4</v>
      </c>
      <c r="AG175" s="8">
        <v>98.6</v>
      </c>
      <c r="AH175" s="8">
        <v>100.3</v>
      </c>
      <c r="AI175" s="8">
        <v>101.4</v>
      </c>
      <c r="AJ175" s="8">
        <v>84.6</v>
      </c>
      <c r="AK175" s="8">
        <v>108.3</v>
      </c>
      <c r="AL175" s="8">
        <v>114.7</v>
      </c>
      <c r="AM175" s="8">
        <v>108.8</v>
      </c>
      <c r="AN175" s="8">
        <v>95.1</v>
      </c>
      <c r="AO175" s="8">
        <v>94.9</v>
      </c>
      <c r="AP175" s="8">
        <v>100.9</v>
      </c>
      <c r="AQ175" s="8">
        <v>96.7</v>
      </c>
      <c r="AR175" s="8">
        <v>96.7</v>
      </c>
      <c r="AS175" s="8">
        <v>95.5</v>
      </c>
      <c r="AT175" s="8">
        <v>105.1</v>
      </c>
      <c r="AU175" s="8">
        <v>86.4</v>
      </c>
      <c r="AV175" s="8">
        <v>89.5</v>
      </c>
      <c r="AW175" s="8">
        <v>86.5</v>
      </c>
      <c r="AX175" s="8">
        <v>118.1</v>
      </c>
      <c r="AY175" s="8">
        <v>109.1</v>
      </c>
      <c r="AZ175" s="8">
        <v>109.1</v>
      </c>
      <c r="BA175" s="8">
        <v>108.8</v>
      </c>
      <c r="BB175" s="8">
        <v>104</v>
      </c>
      <c r="BC175" s="8">
        <v>113.8</v>
      </c>
      <c r="BD175" s="8">
        <v>109.3</v>
      </c>
      <c r="BE175" s="8">
        <v>100</v>
      </c>
      <c r="BF175" s="8">
        <v>130.9</v>
      </c>
      <c r="BG175" s="8">
        <v>111</v>
      </c>
      <c r="BH175" s="8">
        <v>110.8</v>
      </c>
      <c r="BI175" s="8">
        <v>99.4</v>
      </c>
      <c r="BJ175" s="8">
        <v>80.7</v>
      </c>
      <c r="BK175" s="8">
        <v>79.099999999999994</v>
      </c>
    </row>
    <row r="176" spans="1:63" x14ac:dyDescent="0.2">
      <c r="A176" s="9">
        <v>40148</v>
      </c>
      <c r="B176" s="8">
        <v>88.5</v>
      </c>
      <c r="C176" s="8">
        <v>100.8</v>
      </c>
      <c r="D176" s="8">
        <v>85.9</v>
      </c>
      <c r="E176" s="8">
        <v>89.5</v>
      </c>
      <c r="F176" s="8">
        <v>-2.2000000000000002</v>
      </c>
      <c r="G176" s="8">
        <v>-3</v>
      </c>
      <c r="H176" s="8">
        <v>-1.9</v>
      </c>
      <c r="I176" s="8">
        <v>-13.5</v>
      </c>
      <c r="J176" s="8">
        <v>-16.3</v>
      </c>
      <c r="K176" s="8">
        <v>-11.4</v>
      </c>
      <c r="L176" s="8">
        <v>87.6</v>
      </c>
      <c r="M176" s="8">
        <v>110.9</v>
      </c>
      <c r="N176" s="8">
        <v>112.2</v>
      </c>
      <c r="O176" s="8">
        <v>87.5</v>
      </c>
      <c r="P176" s="8">
        <v>85.3</v>
      </c>
      <c r="Q176" s="8">
        <v>76.2</v>
      </c>
      <c r="R176" s="8">
        <v>98.2</v>
      </c>
      <c r="S176" s="8">
        <v>109.7</v>
      </c>
      <c r="T176" s="8">
        <v>90.6</v>
      </c>
      <c r="U176" s="8">
        <v>85.4</v>
      </c>
      <c r="V176" s="8">
        <v>76.8</v>
      </c>
      <c r="W176" s="8">
        <v>75.3</v>
      </c>
      <c r="X176" s="8">
        <v>86.6</v>
      </c>
      <c r="Y176" s="8">
        <v>86.8</v>
      </c>
      <c r="Z176" s="8">
        <v>86.2</v>
      </c>
      <c r="AA176" s="8">
        <v>95.2</v>
      </c>
      <c r="AB176" s="8">
        <v>90.6</v>
      </c>
      <c r="AC176" s="8">
        <v>116.9</v>
      </c>
      <c r="AD176" s="8">
        <v>96</v>
      </c>
      <c r="AE176" s="8">
        <v>98.1</v>
      </c>
      <c r="AF176" s="8">
        <v>99.6</v>
      </c>
      <c r="AG176" s="8">
        <v>98.2</v>
      </c>
      <c r="AH176" s="8">
        <v>101.1</v>
      </c>
      <c r="AI176" s="8">
        <v>100.3</v>
      </c>
      <c r="AJ176" s="8">
        <v>87</v>
      </c>
      <c r="AK176" s="8">
        <v>92.5</v>
      </c>
      <c r="AL176" s="8">
        <v>86.8</v>
      </c>
      <c r="AM176" s="8">
        <v>93.1</v>
      </c>
      <c r="AN176" s="8">
        <v>94.5</v>
      </c>
      <c r="AO176" s="8">
        <v>94.5</v>
      </c>
      <c r="AP176" s="8">
        <v>95.9</v>
      </c>
      <c r="AQ176" s="8">
        <v>94.7</v>
      </c>
      <c r="AR176" s="8">
        <v>93.7</v>
      </c>
      <c r="AS176" s="8">
        <v>94.7</v>
      </c>
      <c r="AT176" s="8">
        <v>101.1</v>
      </c>
      <c r="AU176" s="8">
        <v>80.400000000000006</v>
      </c>
      <c r="AV176" s="8">
        <v>92.7</v>
      </c>
      <c r="AW176" s="8">
        <v>89.3</v>
      </c>
      <c r="AX176" s="8">
        <v>108.3</v>
      </c>
      <c r="AY176" s="8">
        <v>104.2</v>
      </c>
      <c r="AZ176" s="8">
        <v>104.7</v>
      </c>
      <c r="BA176" s="8">
        <v>101</v>
      </c>
      <c r="BB176" s="8">
        <v>100.9</v>
      </c>
      <c r="BC176" s="8">
        <v>106.3</v>
      </c>
      <c r="BD176" s="8">
        <v>106.4</v>
      </c>
      <c r="BE176" s="8">
        <v>97.5</v>
      </c>
      <c r="BF176" s="8">
        <v>123.7</v>
      </c>
      <c r="BG176" s="8">
        <v>101.6</v>
      </c>
      <c r="BH176" s="8">
        <v>111.8</v>
      </c>
      <c r="BI176" s="8">
        <v>97</v>
      </c>
      <c r="BJ176" s="8">
        <v>82</v>
      </c>
      <c r="BK176" s="8">
        <v>80.400000000000006</v>
      </c>
    </row>
    <row r="177" spans="1:63" x14ac:dyDescent="0.2">
      <c r="A177" s="9">
        <v>40238</v>
      </c>
      <c r="B177" s="8">
        <v>90.3</v>
      </c>
      <c r="C177" s="8">
        <v>101.1</v>
      </c>
      <c r="D177" s="8">
        <v>88.2</v>
      </c>
      <c r="E177" s="8">
        <v>91.7</v>
      </c>
      <c r="F177" s="8">
        <v>2</v>
      </c>
      <c r="G177" s="8">
        <v>0.3</v>
      </c>
      <c r="H177" s="8">
        <v>2.7</v>
      </c>
      <c r="I177" s="8">
        <v>-6.3</v>
      </c>
      <c r="J177" s="8">
        <v>-6.6</v>
      </c>
      <c r="K177" s="8">
        <v>-6.1</v>
      </c>
      <c r="L177" s="8">
        <v>92</v>
      </c>
      <c r="M177" s="8">
        <v>104.3</v>
      </c>
      <c r="N177" s="8">
        <v>114</v>
      </c>
      <c r="O177" s="8">
        <v>92</v>
      </c>
      <c r="P177" s="8">
        <v>93.9</v>
      </c>
      <c r="Q177" s="8">
        <v>81.2</v>
      </c>
      <c r="R177" s="8">
        <v>98.2</v>
      </c>
      <c r="S177" s="8">
        <v>109.8</v>
      </c>
      <c r="T177" s="8">
        <v>93.4</v>
      </c>
      <c r="U177" s="8">
        <v>86.4</v>
      </c>
      <c r="V177" s="8">
        <v>76.2</v>
      </c>
      <c r="W177" s="8">
        <v>80.400000000000006</v>
      </c>
      <c r="X177" s="8">
        <v>87.6</v>
      </c>
      <c r="Y177" s="8">
        <v>86.9</v>
      </c>
      <c r="Z177" s="8">
        <v>89.7</v>
      </c>
      <c r="AA177" s="8">
        <v>96.6</v>
      </c>
      <c r="AB177" s="8">
        <v>92.6</v>
      </c>
      <c r="AC177" s="8">
        <v>117</v>
      </c>
      <c r="AD177" s="8">
        <v>96.5</v>
      </c>
      <c r="AE177" s="8">
        <v>99.4</v>
      </c>
      <c r="AF177" s="8">
        <v>100</v>
      </c>
      <c r="AG177" s="8">
        <v>99.1</v>
      </c>
      <c r="AH177" s="8">
        <v>101</v>
      </c>
      <c r="AI177" s="8">
        <v>100.7</v>
      </c>
      <c r="AJ177" s="8">
        <v>85.7</v>
      </c>
      <c r="AK177" s="8">
        <v>90.6</v>
      </c>
      <c r="AL177" s="8">
        <v>83.6</v>
      </c>
      <c r="AM177" s="8">
        <v>90.9</v>
      </c>
      <c r="AN177" s="8">
        <v>95.2</v>
      </c>
      <c r="AO177" s="8">
        <v>95.1</v>
      </c>
      <c r="AP177" s="8">
        <v>97.8</v>
      </c>
      <c r="AQ177" s="8">
        <v>95.9</v>
      </c>
      <c r="AR177" s="8">
        <v>96.7</v>
      </c>
      <c r="AS177" s="8">
        <v>97</v>
      </c>
      <c r="AT177" s="8">
        <v>96.1</v>
      </c>
      <c r="AU177" s="8">
        <v>81.7</v>
      </c>
      <c r="AV177" s="8">
        <v>101.6</v>
      </c>
      <c r="AW177" s="8">
        <v>99.9</v>
      </c>
      <c r="AX177" s="8">
        <v>101.6</v>
      </c>
      <c r="AY177" s="8">
        <v>104.1</v>
      </c>
      <c r="AZ177" s="8">
        <v>103.9</v>
      </c>
      <c r="BA177" s="8">
        <v>105.5</v>
      </c>
      <c r="BB177" s="8">
        <v>99</v>
      </c>
      <c r="BC177" s="8">
        <v>103.7</v>
      </c>
      <c r="BD177" s="8">
        <v>106.3</v>
      </c>
      <c r="BE177" s="8">
        <v>93.9</v>
      </c>
      <c r="BF177" s="8">
        <v>123.1</v>
      </c>
      <c r="BG177" s="8">
        <v>102.8</v>
      </c>
      <c r="BH177" s="8">
        <v>111.4</v>
      </c>
      <c r="BI177" s="8">
        <v>96</v>
      </c>
      <c r="BJ177" s="8">
        <v>86.3</v>
      </c>
      <c r="BK177" s="8">
        <v>83.2</v>
      </c>
    </row>
    <row r="178" spans="1:63" x14ac:dyDescent="0.2">
      <c r="A178" s="9">
        <v>40330</v>
      </c>
      <c r="B178" s="8">
        <v>92.7</v>
      </c>
      <c r="C178" s="8">
        <v>104.8</v>
      </c>
      <c r="D178" s="8">
        <v>90.3</v>
      </c>
      <c r="E178" s="8">
        <v>94.1</v>
      </c>
      <c r="F178" s="8">
        <v>2.7</v>
      </c>
      <c r="G178" s="8">
        <v>3.7</v>
      </c>
      <c r="H178" s="8">
        <v>2.4</v>
      </c>
      <c r="I178" s="8">
        <v>2</v>
      </c>
      <c r="J178" s="8">
        <v>4.5</v>
      </c>
      <c r="K178" s="8">
        <v>0.9</v>
      </c>
      <c r="L178" s="8">
        <v>92.3</v>
      </c>
      <c r="M178" s="8">
        <v>106.2</v>
      </c>
      <c r="N178" s="8">
        <v>105</v>
      </c>
      <c r="O178" s="8">
        <v>89.9</v>
      </c>
      <c r="P178" s="8">
        <v>98.5</v>
      </c>
      <c r="Q178" s="8">
        <v>90.1</v>
      </c>
      <c r="R178" s="8">
        <v>96.1</v>
      </c>
      <c r="S178" s="8">
        <v>98</v>
      </c>
      <c r="T178" s="8">
        <v>96.7</v>
      </c>
      <c r="U178" s="8">
        <v>86.7</v>
      </c>
      <c r="V178" s="8">
        <v>79.599999999999994</v>
      </c>
      <c r="W178" s="8">
        <v>87.5</v>
      </c>
      <c r="X178" s="8">
        <v>88.7</v>
      </c>
      <c r="Y178" s="8">
        <v>87.9</v>
      </c>
      <c r="Z178" s="8">
        <v>91.2</v>
      </c>
      <c r="AA178" s="8">
        <v>95.6</v>
      </c>
      <c r="AB178" s="8">
        <v>91.3</v>
      </c>
      <c r="AC178" s="8">
        <v>116.4</v>
      </c>
      <c r="AD178" s="8">
        <v>95.6</v>
      </c>
      <c r="AE178" s="8">
        <v>99.4</v>
      </c>
      <c r="AF178" s="8">
        <v>102.1</v>
      </c>
      <c r="AG178" s="8">
        <v>102.8</v>
      </c>
      <c r="AH178" s="8">
        <v>101.3</v>
      </c>
      <c r="AI178" s="8">
        <v>99.7</v>
      </c>
      <c r="AJ178" s="8">
        <v>86.2</v>
      </c>
      <c r="AK178" s="8">
        <v>93.2</v>
      </c>
      <c r="AL178" s="8">
        <v>82.8</v>
      </c>
      <c r="AM178" s="8">
        <v>92.5</v>
      </c>
      <c r="AN178" s="8">
        <v>96.1</v>
      </c>
      <c r="AO178" s="8">
        <v>96</v>
      </c>
      <c r="AP178" s="8">
        <v>97.8</v>
      </c>
      <c r="AQ178" s="8">
        <v>97.4</v>
      </c>
      <c r="AR178" s="8">
        <v>96.9</v>
      </c>
      <c r="AS178" s="8">
        <v>98.5</v>
      </c>
      <c r="AT178" s="8">
        <v>95</v>
      </c>
      <c r="AU178" s="8">
        <v>88.9</v>
      </c>
      <c r="AV178" s="8">
        <v>104.2</v>
      </c>
      <c r="AW178" s="8">
        <v>101.7</v>
      </c>
      <c r="AX178" s="8">
        <v>101.3</v>
      </c>
      <c r="AY178" s="8">
        <v>102.8</v>
      </c>
      <c r="AZ178" s="8">
        <v>102.3</v>
      </c>
      <c r="BA178" s="8">
        <v>105.4</v>
      </c>
      <c r="BB178" s="8">
        <v>100.4</v>
      </c>
      <c r="BC178" s="8">
        <v>105.3</v>
      </c>
      <c r="BD178" s="8">
        <v>106.5</v>
      </c>
      <c r="BE178" s="8">
        <v>94.7</v>
      </c>
      <c r="BF178" s="8">
        <v>119.8</v>
      </c>
      <c r="BG178" s="8">
        <v>103.6</v>
      </c>
      <c r="BH178" s="8">
        <v>107.5</v>
      </c>
      <c r="BI178" s="8">
        <v>101.1</v>
      </c>
      <c r="BJ178" s="8">
        <v>91</v>
      </c>
      <c r="BK178" s="8">
        <v>87.7</v>
      </c>
    </row>
    <row r="179" spans="1:63" x14ac:dyDescent="0.2">
      <c r="A179" s="9">
        <v>40422</v>
      </c>
      <c r="B179" s="8">
        <v>93.6</v>
      </c>
      <c r="C179" s="8">
        <v>104.4</v>
      </c>
      <c r="D179" s="8">
        <v>91.6</v>
      </c>
      <c r="E179" s="8">
        <v>95.2</v>
      </c>
      <c r="F179" s="8">
        <v>1</v>
      </c>
      <c r="G179" s="8">
        <v>-0.4</v>
      </c>
      <c r="H179" s="8">
        <v>1.4</v>
      </c>
      <c r="I179" s="8">
        <v>3.4</v>
      </c>
      <c r="J179" s="8">
        <v>0.5</v>
      </c>
      <c r="K179" s="8">
        <v>4.5999999999999996</v>
      </c>
      <c r="L179" s="8">
        <v>95.6</v>
      </c>
      <c r="M179" s="8">
        <v>110.3</v>
      </c>
      <c r="N179" s="8">
        <v>102.2</v>
      </c>
      <c r="O179" s="8">
        <v>93.6</v>
      </c>
      <c r="P179" s="8">
        <v>94.3</v>
      </c>
      <c r="Q179" s="8">
        <v>100.4</v>
      </c>
      <c r="R179" s="8">
        <v>92.3</v>
      </c>
      <c r="S179" s="8">
        <v>91.6</v>
      </c>
      <c r="T179" s="8">
        <v>95.3</v>
      </c>
      <c r="U179" s="8">
        <v>97.7</v>
      </c>
      <c r="V179" s="8">
        <v>79.099999999999994</v>
      </c>
      <c r="W179" s="8">
        <v>88.2</v>
      </c>
      <c r="X179" s="8">
        <v>89</v>
      </c>
      <c r="Y179" s="8">
        <v>88.2</v>
      </c>
      <c r="Z179" s="8">
        <v>91.3</v>
      </c>
      <c r="AA179" s="8">
        <v>96.8</v>
      </c>
      <c r="AB179" s="8">
        <v>93.4</v>
      </c>
      <c r="AC179" s="8">
        <v>117.4</v>
      </c>
      <c r="AD179" s="8">
        <v>95.8</v>
      </c>
      <c r="AE179" s="8">
        <v>99.4</v>
      </c>
      <c r="AF179" s="8">
        <v>100.8</v>
      </c>
      <c r="AG179" s="8">
        <v>100.7</v>
      </c>
      <c r="AH179" s="8">
        <v>100.9</v>
      </c>
      <c r="AI179" s="8">
        <v>100.1</v>
      </c>
      <c r="AJ179" s="8">
        <v>87.2</v>
      </c>
      <c r="AK179" s="8">
        <v>93.4</v>
      </c>
      <c r="AL179" s="8">
        <v>86.6</v>
      </c>
      <c r="AM179" s="8">
        <v>92.7</v>
      </c>
      <c r="AN179" s="8">
        <v>96.4</v>
      </c>
      <c r="AO179" s="8">
        <v>96.3</v>
      </c>
      <c r="AP179" s="8">
        <v>97.8</v>
      </c>
      <c r="AQ179" s="8">
        <v>96.9</v>
      </c>
      <c r="AR179" s="8">
        <v>96.4</v>
      </c>
      <c r="AS179" s="8">
        <v>98.9</v>
      </c>
      <c r="AT179" s="8">
        <v>98.1</v>
      </c>
      <c r="AU179" s="8">
        <v>90.2</v>
      </c>
      <c r="AV179" s="8">
        <v>101.8</v>
      </c>
      <c r="AW179" s="8">
        <v>100.6</v>
      </c>
      <c r="AX179" s="8">
        <v>101.6</v>
      </c>
      <c r="AY179" s="8">
        <v>103.3</v>
      </c>
      <c r="AZ179" s="8">
        <v>102.7</v>
      </c>
      <c r="BA179" s="8">
        <v>106.5</v>
      </c>
      <c r="BB179" s="8">
        <v>101.6</v>
      </c>
      <c r="BC179" s="8">
        <v>105.4</v>
      </c>
      <c r="BD179" s="8">
        <v>106.7</v>
      </c>
      <c r="BE179" s="8">
        <v>96.2</v>
      </c>
      <c r="BF179" s="8">
        <v>120.3</v>
      </c>
      <c r="BG179" s="8">
        <v>109.7</v>
      </c>
      <c r="BH179" s="8">
        <v>96.8</v>
      </c>
      <c r="BI179" s="8">
        <v>105.1</v>
      </c>
      <c r="BJ179" s="8">
        <v>92.6</v>
      </c>
      <c r="BK179" s="8">
        <v>87.9</v>
      </c>
    </row>
    <row r="180" spans="1:63" x14ac:dyDescent="0.2">
      <c r="A180" s="9">
        <v>40513</v>
      </c>
      <c r="B180" s="8">
        <v>93.8</v>
      </c>
      <c r="C180" s="8">
        <v>104.2</v>
      </c>
      <c r="D180" s="8">
        <v>91.9</v>
      </c>
      <c r="E180" s="8">
        <v>95.4</v>
      </c>
      <c r="F180" s="8">
        <v>0.2</v>
      </c>
      <c r="G180" s="8">
        <v>-0.2</v>
      </c>
      <c r="H180" s="8">
        <v>0.3</v>
      </c>
      <c r="I180" s="8">
        <v>6</v>
      </c>
      <c r="J180" s="8">
        <v>3.4</v>
      </c>
      <c r="K180" s="8">
        <v>7</v>
      </c>
      <c r="L180" s="8">
        <v>94.9</v>
      </c>
      <c r="M180" s="8">
        <v>112.6</v>
      </c>
      <c r="N180" s="8">
        <v>102.7</v>
      </c>
      <c r="O180" s="8">
        <v>97.5</v>
      </c>
      <c r="P180" s="8">
        <v>87.4</v>
      </c>
      <c r="Q180" s="8">
        <v>88.8</v>
      </c>
      <c r="R180" s="8">
        <v>94</v>
      </c>
      <c r="S180" s="8">
        <v>95.8</v>
      </c>
      <c r="T180" s="8">
        <v>96.6</v>
      </c>
      <c r="U180" s="8">
        <v>93.2</v>
      </c>
      <c r="V180" s="8">
        <v>79.2</v>
      </c>
      <c r="W180" s="8">
        <v>89.3</v>
      </c>
      <c r="X180" s="8">
        <v>90</v>
      </c>
      <c r="Y180" s="8">
        <v>89.9</v>
      </c>
      <c r="Z180" s="8">
        <v>90.5</v>
      </c>
      <c r="AA180" s="8">
        <v>95.9</v>
      </c>
      <c r="AB180" s="8">
        <v>92.4</v>
      </c>
      <c r="AC180" s="8">
        <v>117.7</v>
      </c>
      <c r="AD180" s="8">
        <v>95.3</v>
      </c>
      <c r="AE180" s="8">
        <v>96.7</v>
      </c>
      <c r="AF180" s="8">
        <v>101</v>
      </c>
      <c r="AG180" s="8">
        <v>101.9</v>
      </c>
      <c r="AH180" s="8">
        <v>99.9</v>
      </c>
      <c r="AI180" s="8">
        <v>99.8</v>
      </c>
      <c r="AJ180" s="8">
        <v>85.8</v>
      </c>
      <c r="AK180" s="8">
        <v>91.9</v>
      </c>
      <c r="AL180" s="8">
        <v>84.1</v>
      </c>
      <c r="AM180" s="8">
        <v>90.8</v>
      </c>
      <c r="AN180" s="8">
        <v>96.9</v>
      </c>
      <c r="AO180" s="8">
        <v>96.8</v>
      </c>
      <c r="AP180" s="8">
        <v>98.5</v>
      </c>
      <c r="AQ180" s="8">
        <v>97.5</v>
      </c>
      <c r="AR180" s="8">
        <v>97.7</v>
      </c>
      <c r="AS180" s="8">
        <v>98.8</v>
      </c>
      <c r="AT180" s="8">
        <v>94.6</v>
      </c>
      <c r="AU180" s="8">
        <v>87.7</v>
      </c>
      <c r="AV180" s="8">
        <v>105.3</v>
      </c>
      <c r="AW180" s="8">
        <v>103.5</v>
      </c>
      <c r="AX180" s="8">
        <v>99.5</v>
      </c>
      <c r="AY180" s="8">
        <v>103.9</v>
      </c>
      <c r="AZ180" s="8">
        <v>105</v>
      </c>
      <c r="BA180" s="8">
        <v>97.5</v>
      </c>
      <c r="BB180" s="8">
        <v>103.2</v>
      </c>
      <c r="BC180" s="8">
        <v>102.3</v>
      </c>
      <c r="BD180" s="8">
        <v>104.1</v>
      </c>
      <c r="BE180" s="8">
        <v>95.6</v>
      </c>
      <c r="BF180" s="8">
        <v>112.2</v>
      </c>
      <c r="BG180" s="8">
        <v>100.4</v>
      </c>
      <c r="BH180" s="8">
        <v>99.1</v>
      </c>
      <c r="BI180" s="8">
        <v>115.5</v>
      </c>
      <c r="BJ180" s="8">
        <v>92.7</v>
      </c>
      <c r="BK180" s="8">
        <v>91.5</v>
      </c>
    </row>
    <row r="181" spans="1:63" x14ac:dyDescent="0.2">
      <c r="A181" s="9">
        <v>40603</v>
      </c>
      <c r="B181" s="8">
        <v>98</v>
      </c>
      <c r="C181" s="8">
        <v>108.4</v>
      </c>
      <c r="D181" s="8">
        <v>96.3</v>
      </c>
      <c r="E181" s="8">
        <v>99</v>
      </c>
      <c r="F181" s="8">
        <v>4.5</v>
      </c>
      <c r="G181" s="8">
        <v>4</v>
      </c>
      <c r="H181" s="8">
        <v>4.8</v>
      </c>
      <c r="I181" s="8">
        <v>8.5</v>
      </c>
      <c r="J181" s="8">
        <v>7.2</v>
      </c>
      <c r="K181" s="8">
        <v>9.1999999999999993</v>
      </c>
      <c r="L181" s="8">
        <v>103.2</v>
      </c>
      <c r="M181" s="8">
        <v>99.5</v>
      </c>
      <c r="N181" s="8">
        <v>107.2</v>
      </c>
      <c r="O181" s="8">
        <v>107.2</v>
      </c>
      <c r="P181" s="8">
        <v>96.8</v>
      </c>
      <c r="Q181" s="8">
        <v>96.8</v>
      </c>
      <c r="R181" s="8">
        <v>98.6</v>
      </c>
      <c r="S181" s="8">
        <v>100.1</v>
      </c>
      <c r="T181" s="8">
        <v>97</v>
      </c>
      <c r="U181" s="8">
        <v>94.6</v>
      </c>
      <c r="V181" s="8">
        <v>86.7</v>
      </c>
      <c r="W181" s="8">
        <v>91.8</v>
      </c>
      <c r="X181" s="8">
        <v>90.4</v>
      </c>
      <c r="Y181" s="8">
        <v>90.2</v>
      </c>
      <c r="Z181" s="8">
        <v>90.9</v>
      </c>
      <c r="AA181" s="8">
        <v>95.8</v>
      </c>
      <c r="AB181" s="8">
        <v>92.3</v>
      </c>
      <c r="AC181" s="8">
        <v>112.4</v>
      </c>
      <c r="AD181" s="8">
        <v>96.5</v>
      </c>
      <c r="AE181" s="8">
        <v>98.5</v>
      </c>
      <c r="AF181" s="8">
        <v>100.7</v>
      </c>
      <c r="AG181" s="8">
        <v>100.5</v>
      </c>
      <c r="AH181" s="8">
        <v>101</v>
      </c>
      <c r="AI181" s="8">
        <v>98.8</v>
      </c>
      <c r="AJ181" s="8">
        <v>90.4</v>
      </c>
      <c r="AK181" s="8">
        <v>94.3</v>
      </c>
      <c r="AL181" s="8">
        <v>86.9</v>
      </c>
      <c r="AM181" s="8">
        <v>93.2</v>
      </c>
      <c r="AN181" s="8">
        <v>97.3</v>
      </c>
      <c r="AO181" s="8">
        <v>97.2</v>
      </c>
      <c r="AP181" s="8">
        <v>99.5</v>
      </c>
      <c r="AQ181" s="8">
        <v>98.3</v>
      </c>
      <c r="AR181" s="8">
        <v>98</v>
      </c>
      <c r="AS181" s="8">
        <v>105</v>
      </c>
      <c r="AT181" s="8">
        <v>98.6</v>
      </c>
      <c r="AU181" s="8">
        <v>94.1</v>
      </c>
      <c r="AV181" s="8">
        <v>114.3</v>
      </c>
      <c r="AW181" s="8">
        <v>108.2</v>
      </c>
      <c r="AX181" s="8">
        <v>98.6</v>
      </c>
      <c r="AY181" s="8">
        <v>107</v>
      </c>
      <c r="AZ181" s="8">
        <v>108</v>
      </c>
      <c r="BA181" s="8">
        <v>100.6</v>
      </c>
      <c r="BB181" s="8">
        <v>102.4</v>
      </c>
      <c r="BC181" s="8">
        <v>102</v>
      </c>
      <c r="BD181" s="8">
        <v>103.5</v>
      </c>
      <c r="BE181" s="8">
        <v>100.6</v>
      </c>
      <c r="BF181" s="8">
        <v>109.2</v>
      </c>
      <c r="BG181" s="8">
        <v>95.3</v>
      </c>
      <c r="BH181" s="8">
        <v>97.8</v>
      </c>
      <c r="BI181" s="8">
        <v>106.4</v>
      </c>
      <c r="BJ181" s="8">
        <v>95.3</v>
      </c>
      <c r="BK181" s="8">
        <v>93.5</v>
      </c>
    </row>
    <row r="182" spans="1:63" x14ac:dyDescent="0.2">
      <c r="A182" s="9">
        <v>40695</v>
      </c>
      <c r="B182" s="8">
        <v>101.9</v>
      </c>
      <c r="C182" s="8">
        <v>115.4</v>
      </c>
      <c r="D182" s="8">
        <v>99.2</v>
      </c>
      <c r="E182" s="8">
        <v>101.2</v>
      </c>
      <c r="F182" s="8">
        <v>4</v>
      </c>
      <c r="G182" s="8">
        <v>6.5</v>
      </c>
      <c r="H182" s="8">
        <v>3</v>
      </c>
      <c r="I182" s="8">
        <v>9.9</v>
      </c>
      <c r="J182" s="8">
        <v>10.1</v>
      </c>
      <c r="K182" s="8">
        <v>9.9</v>
      </c>
      <c r="L182" s="8">
        <v>107.8</v>
      </c>
      <c r="M182" s="8">
        <v>94.5</v>
      </c>
      <c r="N182" s="8">
        <v>102.8</v>
      </c>
      <c r="O182" s="8">
        <v>110.8</v>
      </c>
      <c r="P182" s="8">
        <v>105</v>
      </c>
      <c r="Q182" s="8">
        <v>107.2</v>
      </c>
      <c r="R182" s="8">
        <v>98.6</v>
      </c>
      <c r="S182" s="8">
        <v>98.6</v>
      </c>
      <c r="T182" s="8">
        <v>97.3</v>
      </c>
      <c r="U182" s="8">
        <v>99.5</v>
      </c>
      <c r="V182" s="8">
        <v>100.1</v>
      </c>
      <c r="W182" s="8">
        <v>96.2</v>
      </c>
      <c r="X182" s="8">
        <v>97.8</v>
      </c>
      <c r="Y182" s="8">
        <v>97.8</v>
      </c>
      <c r="Z182" s="8">
        <v>97.9</v>
      </c>
      <c r="AA182" s="8">
        <v>97</v>
      </c>
      <c r="AB182" s="8">
        <v>96.9</v>
      </c>
      <c r="AC182" s="8">
        <v>97.5</v>
      </c>
      <c r="AD182" s="8">
        <v>97.3</v>
      </c>
      <c r="AE182" s="8">
        <v>97.3</v>
      </c>
      <c r="AF182" s="8">
        <v>100</v>
      </c>
      <c r="AG182" s="8">
        <v>100.1</v>
      </c>
      <c r="AH182" s="8">
        <v>99.9</v>
      </c>
      <c r="AI182" s="8">
        <v>98.2</v>
      </c>
      <c r="AJ182" s="8">
        <v>96.4</v>
      </c>
      <c r="AK182" s="8">
        <v>96.5</v>
      </c>
      <c r="AL182" s="8">
        <v>88.8</v>
      </c>
      <c r="AM182" s="8">
        <v>96.3</v>
      </c>
      <c r="AN182" s="8">
        <v>99.2</v>
      </c>
      <c r="AO182" s="8">
        <v>99.2</v>
      </c>
      <c r="AP182" s="8">
        <v>99.2</v>
      </c>
      <c r="AQ182" s="8">
        <v>99.5</v>
      </c>
      <c r="AR182" s="8">
        <v>99</v>
      </c>
      <c r="AS182" s="8">
        <v>105.9</v>
      </c>
      <c r="AT182" s="8">
        <v>102.7</v>
      </c>
      <c r="AU182" s="8">
        <v>98.8</v>
      </c>
      <c r="AV182" s="8">
        <v>111.5</v>
      </c>
      <c r="AW182" s="8">
        <v>105.5</v>
      </c>
      <c r="AX182" s="8">
        <v>99.4</v>
      </c>
      <c r="AY182" s="8">
        <v>102.2</v>
      </c>
      <c r="AZ182" s="8">
        <v>102.9</v>
      </c>
      <c r="BA182" s="8">
        <v>97.5</v>
      </c>
      <c r="BB182" s="8">
        <v>99.7</v>
      </c>
      <c r="BC182" s="8">
        <v>101.2</v>
      </c>
      <c r="BD182" s="8">
        <v>102.1</v>
      </c>
      <c r="BE182" s="8">
        <v>99.2</v>
      </c>
      <c r="BF182" s="8">
        <v>103</v>
      </c>
      <c r="BG182" s="8">
        <v>97.5</v>
      </c>
      <c r="BH182" s="8">
        <v>97.8</v>
      </c>
      <c r="BI182" s="8">
        <v>99.6</v>
      </c>
      <c r="BJ182" s="8">
        <v>99</v>
      </c>
      <c r="BK182" s="8">
        <v>96.2</v>
      </c>
    </row>
    <row r="183" spans="1:63" x14ac:dyDescent="0.2">
      <c r="A183" s="9">
        <v>40787</v>
      </c>
      <c r="B183" s="8">
        <v>102.2</v>
      </c>
      <c r="C183" s="8">
        <v>116.3</v>
      </c>
      <c r="D183" s="8">
        <v>99.2</v>
      </c>
      <c r="E183" s="8">
        <v>102.1</v>
      </c>
      <c r="F183" s="8">
        <v>0.3</v>
      </c>
      <c r="G183" s="8">
        <v>0.8</v>
      </c>
      <c r="H183" s="8">
        <v>0</v>
      </c>
      <c r="I183" s="8">
        <v>9.1999999999999993</v>
      </c>
      <c r="J183" s="8">
        <v>11.4</v>
      </c>
      <c r="K183" s="8">
        <v>8.3000000000000007</v>
      </c>
      <c r="L183" s="8">
        <v>102.7</v>
      </c>
      <c r="M183" s="8">
        <v>97.8</v>
      </c>
      <c r="N183" s="8">
        <v>99.1</v>
      </c>
      <c r="O183" s="8">
        <v>103</v>
      </c>
      <c r="P183" s="8">
        <v>104.2</v>
      </c>
      <c r="Q183" s="8">
        <v>104</v>
      </c>
      <c r="R183" s="8">
        <v>96.4</v>
      </c>
      <c r="S183" s="8">
        <v>99.2</v>
      </c>
      <c r="T183" s="8">
        <v>98.6</v>
      </c>
      <c r="U183" s="8">
        <v>103.6</v>
      </c>
      <c r="V183" s="8">
        <v>96.6</v>
      </c>
      <c r="W183" s="8">
        <v>104.9</v>
      </c>
      <c r="X183" s="8">
        <v>98.5</v>
      </c>
      <c r="Y183" s="8">
        <v>98.2</v>
      </c>
      <c r="Z183" s="8">
        <v>99.3</v>
      </c>
      <c r="AA183" s="8">
        <v>100.5</v>
      </c>
      <c r="AB183" s="8">
        <v>101.1</v>
      </c>
      <c r="AC183" s="8">
        <v>104.4</v>
      </c>
      <c r="AD183" s="8">
        <v>99.1</v>
      </c>
      <c r="AE183" s="8">
        <v>98.2</v>
      </c>
      <c r="AF183" s="8">
        <v>99.8</v>
      </c>
      <c r="AG183" s="8">
        <v>100.7</v>
      </c>
      <c r="AH183" s="8">
        <v>98.9</v>
      </c>
      <c r="AI183" s="8">
        <v>99.6</v>
      </c>
      <c r="AJ183" s="8">
        <v>95.7</v>
      </c>
      <c r="AK183" s="8">
        <v>100.2</v>
      </c>
      <c r="AL183" s="8">
        <v>97.2</v>
      </c>
      <c r="AM183" s="8">
        <v>99.7</v>
      </c>
      <c r="AN183" s="8">
        <v>98.6</v>
      </c>
      <c r="AO183" s="8">
        <v>98.6</v>
      </c>
      <c r="AP183" s="8">
        <v>100.1</v>
      </c>
      <c r="AQ183" s="8">
        <v>100.4</v>
      </c>
      <c r="AR183" s="8">
        <v>99.4</v>
      </c>
      <c r="AS183" s="8">
        <v>104.6</v>
      </c>
      <c r="AT183" s="8">
        <v>101.9</v>
      </c>
      <c r="AU183" s="8">
        <v>98.3</v>
      </c>
      <c r="AV183" s="8">
        <v>109</v>
      </c>
      <c r="AW183" s="8">
        <v>105.8</v>
      </c>
      <c r="AX183" s="8">
        <v>98.5</v>
      </c>
      <c r="AY183" s="8">
        <v>99.6</v>
      </c>
      <c r="AZ183" s="8">
        <v>100.1</v>
      </c>
      <c r="BA183" s="8">
        <v>96.5</v>
      </c>
      <c r="BB183" s="8">
        <v>99.8</v>
      </c>
      <c r="BC183" s="8">
        <v>101</v>
      </c>
      <c r="BD183" s="8">
        <v>100.3</v>
      </c>
      <c r="BE183" s="8">
        <v>100.5</v>
      </c>
      <c r="BF183" s="8">
        <v>102.4</v>
      </c>
      <c r="BG183" s="8">
        <v>96.9</v>
      </c>
      <c r="BH183" s="8">
        <v>97</v>
      </c>
      <c r="BI183" s="8">
        <v>98.8</v>
      </c>
      <c r="BJ183" s="8">
        <v>98.4</v>
      </c>
      <c r="BK183" s="8">
        <v>96.6</v>
      </c>
    </row>
    <row r="184" spans="1:63" x14ac:dyDescent="0.2">
      <c r="A184" s="9">
        <v>40878</v>
      </c>
      <c r="B184" s="8">
        <v>100.8</v>
      </c>
      <c r="C184" s="8">
        <v>117.4</v>
      </c>
      <c r="D184" s="8">
        <v>96.9</v>
      </c>
      <c r="E184" s="8">
        <v>100.1</v>
      </c>
      <c r="F184" s="8">
        <v>-1.4</v>
      </c>
      <c r="G184" s="8">
        <v>0.9</v>
      </c>
      <c r="H184" s="8">
        <v>-2.2999999999999998</v>
      </c>
      <c r="I184" s="8">
        <v>7.5</v>
      </c>
      <c r="J184" s="8">
        <v>12.7</v>
      </c>
      <c r="K184" s="8">
        <v>5.4</v>
      </c>
      <c r="L184" s="8">
        <v>99.7</v>
      </c>
      <c r="M184" s="8">
        <v>107.9</v>
      </c>
      <c r="N184" s="8">
        <v>99.1</v>
      </c>
      <c r="O184" s="8">
        <v>102.9</v>
      </c>
      <c r="P184" s="8">
        <v>98.9</v>
      </c>
      <c r="Q184" s="8">
        <v>90.8</v>
      </c>
      <c r="R184" s="8">
        <v>100.4</v>
      </c>
      <c r="S184" s="8">
        <v>100.7</v>
      </c>
      <c r="T184" s="8">
        <v>100.2</v>
      </c>
      <c r="U184" s="8">
        <v>102</v>
      </c>
      <c r="V184" s="8">
        <v>99.2</v>
      </c>
      <c r="W184" s="8">
        <v>100.9</v>
      </c>
      <c r="X184" s="8">
        <v>98.3</v>
      </c>
      <c r="Y184" s="8">
        <v>98.3</v>
      </c>
      <c r="Z184" s="8">
        <v>98.2</v>
      </c>
      <c r="AA184" s="8">
        <v>102.5</v>
      </c>
      <c r="AB184" s="8">
        <v>103.7</v>
      </c>
      <c r="AC184" s="8">
        <v>97.8</v>
      </c>
      <c r="AD184" s="8">
        <v>100.3</v>
      </c>
      <c r="AE184" s="8">
        <v>103.2</v>
      </c>
      <c r="AF184" s="8">
        <v>99.9</v>
      </c>
      <c r="AG184" s="8">
        <v>99.6</v>
      </c>
      <c r="AH184" s="8">
        <v>100.3</v>
      </c>
      <c r="AI184" s="8">
        <v>100.4</v>
      </c>
      <c r="AJ184" s="8">
        <v>98.2</v>
      </c>
      <c r="AK184" s="8">
        <v>98.6</v>
      </c>
      <c r="AL184" s="8">
        <v>95.7</v>
      </c>
      <c r="AM184" s="8">
        <v>98.6</v>
      </c>
      <c r="AN184" s="8">
        <v>99.2</v>
      </c>
      <c r="AO184" s="8">
        <v>99.2</v>
      </c>
      <c r="AP184" s="8">
        <v>99.5</v>
      </c>
      <c r="AQ184" s="8">
        <v>100</v>
      </c>
      <c r="AR184" s="8">
        <v>99.6</v>
      </c>
      <c r="AS184" s="8">
        <v>100</v>
      </c>
      <c r="AT184" s="8">
        <v>100.7</v>
      </c>
      <c r="AU184" s="8">
        <v>102</v>
      </c>
      <c r="AV184" s="8">
        <v>99.1</v>
      </c>
      <c r="AW184" s="8">
        <v>97.5</v>
      </c>
      <c r="AX184" s="8">
        <v>99.7</v>
      </c>
      <c r="AY184" s="8">
        <v>101.4</v>
      </c>
      <c r="AZ184" s="8">
        <v>101.5</v>
      </c>
      <c r="BA184" s="8">
        <v>100.4</v>
      </c>
      <c r="BB184" s="8">
        <v>99.5</v>
      </c>
      <c r="BC184" s="8">
        <v>101.2</v>
      </c>
      <c r="BD184" s="8">
        <v>102.2</v>
      </c>
      <c r="BE184" s="8">
        <v>100.9</v>
      </c>
      <c r="BF184" s="8">
        <v>100.2</v>
      </c>
      <c r="BG184" s="8">
        <v>100.9</v>
      </c>
      <c r="BH184" s="8">
        <v>97.6</v>
      </c>
      <c r="BI184" s="8">
        <v>95.9</v>
      </c>
      <c r="BJ184" s="8">
        <v>99.4</v>
      </c>
      <c r="BK184" s="8">
        <v>98.6</v>
      </c>
    </row>
    <row r="185" spans="1:63" x14ac:dyDescent="0.2">
      <c r="A185" s="9">
        <v>40969</v>
      </c>
      <c r="B185" s="8">
        <v>99.7</v>
      </c>
      <c r="C185" s="8">
        <v>116.5</v>
      </c>
      <c r="D185" s="8">
        <v>95.7</v>
      </c>
      <c r="E185" s="8">
        <v>98.6</v>
      </c>
      <c r="F185" s="8">
        <v>-1.1000000000000001</v>
      </c>
      <c r="G185" s="8">
        <v>-0.8</v>
      </c>
      <c r="H185" s="8">
        <v>-1.2</v>
      </c>
      <c r="I185" s="8">
        <v>1.7</v>
      </c>
      <c r="J185" s="8">
        <v>7.5</v>
      </c>
      <c r="K185" s="8">
        <v>-0.6</v>
      </c>
      <c r="L185" s="8">
        <v>99.5</v>
      </c>
      <c r="M185" s="8">
        <v>100.5</v>
      </c>
      <c r="N185" s="8">
        <v>98</v>
      </c>
      <c r="O185" s="8">
        <v>100.1</v>
      </c>
      <c r="P185" s="8">
        <v>98.2</v>
      </c>
      <c r="Q185" s="8">
        <v>97.9</v>
      </c>
      <c r="R185" s="8">
        <v>102.7</v>
      </c>
      <c r="S185" s="8">
        <v>99.6</v>
      </c>
      <c r="T185" s="8">
        <v>99.4</v>
      </c>
      <c r="U185" s="8">
        <v>97.4</v>
      </c>
      <c r="V185" s="8">
        <v>100.4</v>
      </c>
      <c r="W185" s="8">
        <v>97.5</v>
      </c>
      <c r="X185" s="8">
        <v>99.1</v>
      </c>
      <c r="Y185" s="8">
        <v>99.2</v>
      </c>
      <c r="Z185" s="8">
        <v>99</v>
      </c>
      <c r="AA185" s="8">
        <v>99.2</v>
      </c>
      <c r="AB185" s="8">
        <v>97.6</v>
      </c>
      <c r="AC185" s="8">
        <v>107.4</v>
      </c>
      <c r="AD185" s="8">
        <v>100.4</v>
      </c>
      <c r="AE185" s="8">
        <v>98.4</v>
      </c>
      <c r="AF185" s="8">
        <v>100.3</v>
      </c>
      <c r="AG185" s="8">
        <v>100.2</v>
      </c>
      <c r="AH185" s="8">
        <v>100.4</v>
      </c>
      <c r="AI185" s="8">
        <v>99.9</v>
      </c>
      <c r="AJ185" s="8">
        <v>100.5</v>
      </c>
      <c r="AK185" s="8">
        <v>97.3</v>
      </c>
      <c r="AL185" s="8">
        <v>96.5</v>
      </c>
      <c r="AM185" s="8">
        <v>97.6</v>
      </c>
      <c r="AN185" s="8">
        <v>99.9</v>
      </c>
      <c r="AO185" s="8">
        <v>99.9</v>
      </c>
      <c r="AP185" s="8">
        <v>98.7</v>
      </c>
      <c r="AQ185" s="8">
        <v>100</v>
      </c>
      <c r="AR185" s="8">
        <v>101.1</v>
      </c>
      <c r="AS185" s="8">
        <v>98.2</v>
      </c>
      <c r="AT185" s="8">
        <v>99.2</v>
      </c>
      <c r="AU185" s="8">
        <v>101.5</v>
      </c>
      <c r="AV185" s="8">
        <v>96.4</v>
      </c>
      <c r="AW185" s="8">
        <v>97.6</v>
      </c>
      <c r="AX185" s="8">
        <v>99.3</v>
      </c>
      <c r="AY185" s="8">
        <v>98.9</v>
      </c>
      <c r="AZ185" s="8">
        <v>98.8</v>
      </c>
      <c r="BA185" s="8">
        <v>99.9</v>
      </c>
      <c r="BB185" s="8">
        <v>98.2</v>
      </c>
      <c r="BC185" s="8">
        <v>97.6</v>
      </c>
      <c r="BD185" s="8">
        <v>98.4</v>
      </c>
      <c r="BE185" s="8">
        <v>98.6</v>
      </c>
      <c r="BF185" s="8">
        <v>97.9</v>
      </c>
      <c r="BG185" s="8">
        <v>99.5</v>
      </c>
      <c r="BH185" s="8">
        <v>102.2</v>
      </c>
      <c r="BI185" s="8">
        <v>96.5</v>
      </c>
      <c r="BJ185" s="8">
        <v>101</v>
      </c>
      <c r="BK185" s="8">
        <v>98.8</v>
      </c>
    </row>
    <row r="186" spans="1:63" x14ac:dyDescent="0.2">
      <c r="A186" s="9">
        <v>41061</v>
      </c>
      <c r="B186" s="8">
        <v>100.5</v>
      </c>
      <c r="C186" s="8">
        <v>120</v>
      </c>
      <c r="D186" s="8">
        <v>95.6</v>
      </c>
      <c r="E186" s="8">
        <v>99</v>
      </c>
      <c r="F186" s="8">
        <v>0.8</v>
      </c>
      <c r="G186" s="8">
        <v>3</v>
      </c>
      <c r="H186" s="8">
        <v>-0.1</v>
      </c>
      <c r="I186" s="8">
        <v>-1.4</v>
      </c>
      <c r="J186" s="8">
        <v>4</v>
      </c>
      <c r="K186" s="8">
        <v>-3.6</v>
      </c>
      <c r="L186" s="8">
        <v>98.2</v>
      </c>
      <c r="M186" s="8">
        <v>93.8</v>
      </c>
      <c r="N186" s="8">
        <v>103.8</v>
      </c>
      <c r="O186" s="8">
        <v>94</v>
      </c>
      <c r="P186" s="8">
        <v>98.6</v>
      </c>
      <c r="Q186" s="8">
        <v>107.3</v>
      </c>
      <c r="R186" s="8">
        <v>100.5</v>
      </c>
      <c r="S186" s="8">
        <v>100.5</v>
      </c>
      <c r="T186" s="8">
        <v>101.7</v>
      </c>
      <c r="U186" s="8">
        <v>96.9</v>
      </c>
      <c r="V186" s="8">
        <v>103.7</v>
      </c>
      <c r="W186" s="8">
        <v>96.7</v>
      </c>
      <c r="X186" s="8">
        <v>104.1</v>
      </c>
      <c r="Y186" s="8">
        <v>104.3</v>
      </c>
      <c r="Z186" s="8">
        <v>103.5</v>
      </c>
      <c r="AA186" s="8">
        <v>97.8</v>
      </c>
      <c r="AB186" s="8">
        <v>97.6</v>
      </c>
      <c r="AC186" s="8">
        <v>90.4</v>
      </c>
      <c r="AD186" s="8">
        <v>100.2</v>
      </c>
      <c r="AE186" s="8">
        <v>100.2</v>
      </c>
      <c r="AF186" s="8">
        <v>99.9</v>
      </c>
      <c r="AG186" s="8">
        <v>99.5</v>
      </c>
      <c r="AH186" s="8">
        <v>100.4</v>
      </c>
      <c r="AI186" s="8">
        <v>100.1</v>
      </c>
      <c r="AJ186" s="8">
        <v>105.5</v>
      </c>
      <c r="AK186" s="8">
        <v>104</v>
      </c>
      <c r="AL186" s="8">
        <v>110.6</v>
      </c>
      <c r="AM186" s="8">
        <v>104.1</v>
      </c>
      <c r="AN186" s="8">
        <v>102.3</v>
      </c>
      <c r="AO186" s="8">
        <v>102.3</v>
      </c>
      <c r="AP186" s="8">
        <v>101.7</v>
      </c>
      <c r="AQ186" s="8">
        <v>99.6</v>
      </c>
      <c r="AR186" s="8">
        <v>100</v>
      </c>
      <c r="AS186" s="8">
        <v>97.2</v>
      </c>
      <c r="AT186" s="8">
        <v>98.2</v>
      </c>
      <c r="AU186" s="8">
        <v>98.2</v>
      </c>
      <c r="AV186" s="8">
        <v>95.5</v>
      </c>
      <c r="AW186" s="8">
        <v>99.2</v>
      </c>
      <c r="AX186" s="8">
        <v>102.5</v>
      </c>
      <c r="AY186" s="8">
        <v>100.1</v>
      </c>
      <c r="AZ186" s="8">
        <v>99.6</v>
      </c>
      <c r="BA186" s="8">
        <v>103.2</v>
      </c>
      <c r="BB186" s="8">
        <v>102.5</v>
      </c>
      <c r="BC186" s="8">
        <v>100.1</v>
      </c>
      <c r="BD186" s="8">
        <v>99.1</v>
      </c>
      <c r="BE186" s="8">
        <v>100</v>
      </c>
      <c r="BF186" s="8">
        <v>99.5</v>
      </c>
      <c r="BG186" s="8">
        <v>102.7</v>
      </c>
      <c r="BH186" s="8">
        <v>103.2</v>
      </c>
      <c r="BI186" s="8">
        <v>108.8</v>
      </c>
      <c r="BJ186" s="8">
        <v>101.2</v>
      </c>
      <c r="BK186" s="8">
        <v>106</v>
      </c>
    </row>
    <row r="187" spans="1:63" x14ac:dyDescent="0.2">
      <c r="A187" s="9">
        <v>41153</v>
      </c>
      <c r="B187" s="8">
        <v>98.8</v>
      </c>
      <c r="C187" s="8">
        <v>115.7</v>
      </c>
      <c r="D187" s="8">
        <v>94.9</v>
      </c>
      <c r="E187" s="8">
        <v>98.4</v>
      </c>
      <c r="F187" s="8">
        <v>-1.7</v>
      </c>
      <c r="G187" s="8">
        <v>-3.6</v>
      </c>
      <c r="H187" s="8">
        <v>-0.7</v>
      </c>
      <c r="I187" s="8">
        <v>-3.3</v>
      </c>
      <c r="J187" s="8">
        <v>-0.5</v>
      </c>
      <c r="K187" s="8">
        <v>-4.3</v>
      </c>
      <c r="L187" s="8">
        <v>98.3</v>
      </c>
      <c r="M187" s="8">
        <v>96.4</v>
      </c>
      <c r="N187" s="8">
        <v>101.4</v>
      </c>
      <c r="O187" s="8">
        <v>96.7</v>
      </c>
      <c r="P187" s="8">
        <v>99.3</v>
      </c>
      <c r="Q187" s="8">
        <v>98.7</v>
      </c>
      <c r="R187" s="8">
        <v>102.8</v>
      </c>
      <c r="S187" s="8">
        <v>98.7</v>
      </c>
      <c r="T187" s="8">
        <v>102.5</v>
      </c>
      <c r="U187" s="8">
        <v>100</v>
      </c>
      <c r="V187" s="8">
        <v>94.5</v>
      </c>
      <c r="W187" s="8">
        <v>94.4</v>
      </c>
      <c r="X187" s="8">
        <v>103.1</v>
      </c>
      <c r="Y187" s="8">
        <v>102.9</v>
      </c>
      <c r="Z187" s="8">
        <v>103.6</v>
      </c>
      <c r="AA187" s="8">
        <v>97.2</v>
      </c>
      <c r="AB187" s="8">
        <v>96.3</v>
      </c>
      <c r="AC187" s="8">
        <v>93.1</v>
      </c>
      <c r="AD187" s="8">
        <v>100.3</v>
      </c>
      <c r="AE187" s="8">
        <v>98.7</v>
      </c>
      <c r="AF187" s="8">
        <v>100.8</v>
      </c>
      <c r="AG187" s="8">
        <v>99.8</v>
      </c>
      <c r="AH187" s="8">
        <v>102.1</v>
      </c>
      <c r="AI187" s="8">
        <v>99.5</v>
      </c>
      <c r="AJ187" s="8">
        <v>103.2</v>
      </c>
      <c r="AK187" s="8">
        <v>104.4</v>
      </c>
      <c r="AL187" s="8">
        <v>110.5</v>
      </c>
      <c r="AM187" s="8">
        <v>105.2</v>
      </c>
      <c r="AN187" s="8">
        <v>102.8</v>
      </c>
      <c r="AO187" s="8">
        <v>102.8</v>
      </c>
      <c r="AP187" s="8">
        <v>102.2</v>
      </c>
      <c r="AQ187" s="8">
        <v>101.4</v>
      </c>
      <c r="AR187" s="8">
        <v>103.9</v>
      </c>
      <c r="AS187" s="8">
        <v>93.9</v>
      </c>
      <c r="AT187" s="8">
        <v>96.9</v>
      </c>
      <c r="AU187" s="8">
        <v>97.1</v>
      </c>
      <c r="AV187" s="8">
        <v>88.8</v>
      </c>
      <c r="AW187" s="8">
        <v>95.7</v>
      </c>
      <c r="AX187" s="8">
        <v>100.1</v>
      </c>
      <c r="AY187" s="8">
        <v>100.5</v>
      </c>
      <c r="AZ187" s="8">
        <v>101.1</v>
      </c>
      <c r="BA187" s="8">
        <v>95.7</v>
      </c>
      <c r="BB187" s="8">
        <v>104.5</v>
      </c>
      <c r="BC187" s="8">
        <v>102.1</v>
      </c>
      <c r="BD187" s="8">
        <v>99.7</v>
      </c>
      <c r="BE187" s="8">
        <v>101.1</v>
      </c>
      <c r="BF187" s="8">
        <v>99.5</v>
      </c>
      <c r="BG187" s="8">
        <v>101.7</v>
      </c>
      <c r="BH187" s="8">
        <v>105.9</v>
      </c>
      <c r="BI187" s="8">
        <v>114.7</v>
      </c>
      <c r="BJ187" s="8">
        <v>101.3</v>
      </c>
      <c r="BK187" s="8">
        <v>113.2</v>
      </c>
    </row>
    <row r="188" spans="1:63" x14ac:dyDescent="0.2">
      <c r="A188" s="9">
        <v>41244</v>
      </c>
      <c r="B188" s="8">
        <v>99.8</v>
      </c>
      <c r="C188" s="8">
        <v>118.1</v>
      </c>
      <c r="D188" s="8">
        <v>95.4</v>
      </c>
      <c r="E188" s="8">
        <v>99.4</v>
      </c>
      <c r="F188" s="8">
        <v>1</v>
      </c>
      <c r="G188" s="8">
        <v>2.1</v>
      </c>
      <c r="H188" s="8">
        <v>0.5</v>
      </c>
      <c r="I188" s="8">
        <v>-1</v>
      </c>
      <c r="J188" s="8">
        <v>0.6</v>
      </c>
      <c r="K188" s="8">
        <v>-1.5</v>
      </c>
      <c r="L188" s="8">
        <v>95.1</v>
      </c>
      <c r="M188" s="8">
        <v>97.8</v>
      </c>
      <c r="N188" s="8">
        <v>103.2</v>
      </c>
      <c r="O188" s="8">
        <v>94</v>
      </c>
      <c r="P188" s="8">
        <v>98.7</v>
      </c>
      <c r="Q188" s="8">
        <v>84</v>
      </c>
      <c r="R188" s="8">
        <v>106.1</v>
      </c>
      <c r="S188" s="8">
        <v>99.8</v>
      </c>
      <c r="T188" s="8">
        <v>101.3</v>
      </c>
      <c r="U188" s="8">
        <v>90</v>
      </c>
      <c r="V188" s="8">
        <v>97.1</v>
      </c>
      <c r="W188" s="8">
        <v>98.1</v>
      </c>
      <c r="X188" s="8">
        <v>102.9</v>
      </c>
      <c r="Y188" s="8">
        <v>102.7</v>
      </c>
      <c r="Z188" s="8">
        <v>103.3</v>
      </c>
      <c r="AA188" s="8">
        <v>95.2</v>
      </c>
      <c r="AB188" s="8">
        <v>93.2</v>
      </c>
      <c r="AC188" s="8">
        <v>88.8</v>
      </c>
      <c r="AD188" s="8">
        <v>100</v>
      </c>
      <c r="AE188" s="8">
        <v>98.5</v>
      </c>
      <c r="AF188" s="8">
        <v>99.4</v>
      </c>
      <c r="AG188" s="8">
        <v>98.3</v>
      </c>
      <c r="AH188" s="8">
        <v>100.8</v>
      </c>
      <c r="AI188" s="8">
        <v>99.8</v>
      </c>
      <c r="AJ188" s="8">
        <v>101.8</v>
      </c>
      <c r="AK188" s="8">
        <v>107.3</v>
      </c>
      <c r="AL188" s="8">
        <v>117.7</v>
      </c>
      <c r="AM188" s="8">
        <v>108.7</v>
      </c>
      <c r="AN188" s="8">
        <v>102.5</v>
      </c>
      <c r="AO188" s="8">
        <v>102.4</v>
      </c>
      <c r="AP188" s="8">
        <v>103.7</v>
      </c>
      <c r="AQ188" s="8">
        <v>101.8</v>
      </c>
      <c r="AR188" s="8">
        <v>104.6</v>
      </c>
      <c r="AS188" s="8">
        <v>94.7</v>
      </c>
      <c r="AT188" s="8">
        <v>95.3</v>
      </c>
      <c r="AU188" s="8">
        <v>97.1</v>
      </c>
      <c r="AV188" s="8">
        <v>92.6</v>
      </c>
      <c r="AW188" s="8">
        <v>97.5</v>
      </c>
      <c r="AX188" s="8">
        <v>100.6</v>
      </c>
      <c r="AY188" s="8">
        <v>104</v>
      </c>
      <c r="AZ188" s="8">
        <v>104.3</v>
      </c>
      <c r="BA188" s="8">
        <v>102.1</v>
      </c>
      <c r="BB188" s="8">
        <v>103.2</v>
      </c>
      <c r="BC188" s="8">
        <v>101.4</v>
      </c>
      <c r="BD188" s="8">
        <v>99.6</v>
      </c>
      <c r="BE188" s="8">
        <v>98.3</v>
      </c>
      <c r="BF188" s="8">
        <v>99.5</v>
      </c>
      <c r="BG188" s="8">
        <v>101.2</v>
      </c>
      <c r="BH188" s="8">
        <v>104.8</v>
      </c>
      <c r="BI188" s="8">
        <v>114.7</v>
      </c>
      <c r="BJ188" s="8">
        <v>109.5</v>
      </c>
      <c r="BK188" s="8">
        <v>124.3</v>
      </c>
    </row>
    <row r="189" spans="1:63" x14ac:dyDescent="0.2">
      <c r="A189" s="9">
        <v>41334</v>
      </c>
      <c r="B189" s="8">
        <v>99.7</v>
      </c>
      <c r="C189" s="8">
        <v>117.8</v>
      </c>
      <c r="D189" s="8">
        <v>95.4</v>
      </c>
      <c r="E189" s="8">
        <v>98.7</v>
      </c>
      <c r="F189" s="8">
        <v>-0.1</v>
      </c>
      <c r="G189" s="8">
        <v>-0.3</v>
      </c>
      <c r="H189" s="8">
        <v>0</v>
      </c>
      <c r="I189" s="8">
        <v>0</v>
      </c>
      <c r="J189" s="8">
        <v>1.1000000000000001</v>
      </c>
      <c r="K189" s="8">
        <v>-0.3</v>
      </c>
      <c r="L189" s="8">
        <v>97.8</v>
      </c>
      <c r="M189" s="8">
        <v>93.7</v>
      </c>
      <c r="N189" s="8">
        <v>105.3</v>
      </c>
      <c r="O189" s="8">
        <v>94.7</v>
      </c>
      <c r="P189" s="8">
        <v>104.6</v>
      </c>
      <c r="Q189" s="8">
        <v>90.6</v>
      </c>
      <c r="R189" s="8">
        <v>113.5</v>
      </c>
      <c r="S189" s="8">
        <v>104.5</v>
      </c>
      <c r="T189" s="8">
        <v>101.9</v>
      </c>
      <c r="U189" s="8">
        <v>75.599999999999994</v>
      </c>
      <c r="V189" s="8">
        <v>102.1</v>
      </c>
      <c r="W189" s="8">
        <v>95.6</v>
      </c>
      <c r="X189" s="8">
        <v>103.3</v>
      </c>
      <c r="Y189" s="8">
        <v>103.1</v>
      </c>
      <c r="Z189" s="8">
        <v>103.6</v>
      </c>
      <c r="AA189" s="8">
        <v>97.4</v>
      </c>
      <c r="AB189" s="8">
        <v>94.5</v>
      </c>
      <c r="AC189" s="8">
        <v>105</v>
      </c>
      <c r="AD189" s="8">
        <v>100.1</v>
      </c>
      <c r="AE189" s="8">
        <v>98.5</v>
      </c>
      <c r="AF189" s="8">
        <v>98</v>
      </c>
      <c r="AG189" s="8">
        <v>96.7</v>
      </c>
      <c r="AH189" s="8">
        <v>99.8</v>
      </c>
      <c r="AI189" s="8">
        <v>99.3</v>
      </c>
      <c r="AJ189" s="8">
        <v>98.4</v>
      </c>
      <c r="AK189" s="8">
        <v>102.8</v>
      </c>
      <c r="AL189" s="8">
        <v>109.2</v>
      </c>
      <c r="AM189" s="8">
        <v>102.1</v>
      </c>
      <c r="AN189" s="8">
        <v>103</v>
      </c>
      <c r="AO189" s="8">
        <v>103</v>
      </c>
      <c r="AP189" s="8">
        <v>105.5</v>
      </c>
      <c r="AQ189" s="8">
        <v>101.8</v>
      </c>
      <c r="AR189" s="8">
        <v>104.5</v>
      </c>
      <c r="AS189" s="8">
        <v>94.4</v>
      </c>
      <c r="AT189" s="8">
        <v>93.2</v>
      </c>
      <c r="AU189" s="8">
        <v>96.2</v>
      </c>
      <c r="AV189" s="8">
        <v>95.7</v>
      </c>
      <c r="AW189" s="8">
        <v>94.2</v>
      </c>
      <c r="AX189" s="8">
        <v>100</v>
      </c>
      <c r="AY189" s="8">
        <v>106.3</v>
      </c>
      <c r="AZ189" s="8">
        <v>107.2</v>
      </c>
      <c r="BA189" s="8">
        <v>100.3</v>
      </c>
      <c r="BB189" s="8">
        <v>105.1</v>
      </c>
      <c r="BC189" s="8">
        <v>103.1</v>
      </c>
      <c r="BD189" s="8">
        <v>98.7</v>
      </c>
      <c r="BE189" s="8">
        <v>102.7</v>
      </c>
      <c r="BF189" s="8">
        <v>99.5</v>
      </c>
      <c r="BG189" s="8">
        <v>101.1</v>
      </c>
      <c r="BH189" s="8">
        <v>110.4</v>
      </c>
      <c r="BI189" s="8">
        <v>112.3</v>
      </c>
      <c r="BJ189" s="8">
        <v>112.7</v>
      </c>
      <c r="BK189" s="8">
        <v>125.4</v>
      </c>
    </row>
    <row r="190" spans="1:63" x14ac:dyDescent="0.2">
      <c r="A190" s="9">
        <v>41426</v>
      </c>
      <c r="B190" s="8">
        <v>97.9</v>
      </c>
      <c r="C190" s="8">
        <v>114.5</v>
      </c>
      <c r="D190" s="8">
        <v>94.1</v>
      </c>
      <c r="E190" s="8">
        <v>97.6</v>
      </c>
      <c r="F190" s="8">
        <v>-1.8</v>
      </c>
      <c r="G190" s="8">
        <v>-2.8</v>
      </c>
      <c r="H190" s="8">
        <v>-1.4</v>
      </c>
      <c r="I190" s="8">
        <v>-2.6</v>
      </c>
      <c r="J190" s="8">
        <v>-4.5999999999999996</v>
      </c>
      <c r="K190" s="8">
        <v>-1.6</v>
      </c>
      <c r="L190" s="8">
        <v>97.3</v>
      </c>
      <c r="M190" s="8">
        <v>93.6</v>
      </c>
      <c r="N190" s="8">
        <v>105.7</v>
      </c>
      <c r="O190" s="8">
        <v>90</v>
      </c>
      <c r="P190" s="8">
        <v>110.3</v>
      </c>
      <c r="Q190" s="8">
        <v>98.9</v>
      </c>
      <c r="R190" s="8">
        <v>111.8</v>
      </c>
      <c r="S190" s="8">
        <v>106.3</v>
      </c>
      <c r="T190" s="8">
        <v>101.7</v>
      </c>
      <c r="U190" s="8">
        <v>78.7</v>
      </c>
      <c r="V190" s="8">
        <v>97.1</v>
      </c>
      <c r="W190" s="8">
        <v>87</v>
      </c>
      <c r="X190" s="8">
        <v>109.4</v>
      </c>
      <c r="Y190" s="8">
        <v>109.5</v>
      </c>
      <c r="Z190" s="8">
        <v>109.2</v>
      </c>
      <c r="AA190" s="8">
        <v>98</v>
      </c>
      <c r="AB190" s="8">
        <v>94.1</v>
      </c>
      <c r="AC190" s="8">
        <v>111.8</v>
      </c>
      <c r="AD190" s="8">
        <v>100.2</v>
      </c>
      <c r="AE190" s="8">
        <v>100.9</v>
      </c>
      <c r="AF190" s="8">
        <v>100</v>
      </c>
      <c r="AG190" s="8">
        <v>97.9</v>
      </c>
      <c r="AH190" s="8">
        <v>103.1</v>
      </c>
      <c r="AI190" s="8">
        <v>101.3</v>
      </c>
      <c r="AJ190" s="8">
        <v>95.6</v>
      </c>
      <c r="AK190" s="8">
        <v>104.7</v>
      </c>
      <c r="AL190" s="8">
        <v>110</v>
      </c>
      <c r="AM190" s="8">
        <v>103.1</v>
      </c>
      <c r="AN190" s="8">
        <v>103.7</v>
      </c>
      <c r="AO190" s="8">
        <v>103.5</v>
      </c>
      <c r="AP190" s="8">
        <v>107.7</v>
      </c>
      <c r="AQ190" s="8">
        <v>102.2</v>
      </c>
      <c r="AR190" s="8">
        <v>105.5</v>
      </c>
      <c r="AS190" s="8">
        <v>92.3</v>
      </c>
      <c r="AT190" s="8">
        <v>92.2</v>
      </c>
      <c r="AU190" s="8">
        <v>98.1</v>
      </c>
      <c r="AV190" s="8">
        <v>90.3</v>
      </c>
      <c r="AW190" s="8">
        <v>93</v>
      </c>
      <c r="AX190" s="8">
        <v>102.8</v>
      </c>
      <c r="AY190" s="8">
        <v>105.9</v>
      </c>
      <c r="AZ190" s="8">
        <v>106.9</v>
      </c>
      <c r="BA190" s="8">
        <v>99.5</v>
      </c>
      <c r="BB190" s="8">
        <v>105</v>
      </c>
      <c r="BC190" s="8">
        <v>103.2</v>
      </c>
      <c r="BD190" s="8">
        <v>100.2</v>
      </c>
      <c r="BE190" s="8">
        <v>101.6</v>
      </c>
      <c r="BF190" s="8">
        <v>99.5</v>
      </c>
      <c r="BG190" s="8">
        <v>103.9</v>
      </c>
      <c r="BH190" s="8">
        <v>112.1</v>
      </c>
      <c r="BI190" s="8">
        <v>109.4</v>
      </c>
      <c r="BJ190" s="8">
        <v>115.5</v>
      </c>
      <c r="BK190" s="8">
        <v>125.3</v>
      </c>
    </row>
    <row r="191" spans="1:63" x14ac:dyDescent="0.2">
      <c r="A191" s="9">
        <v>41518</v>
      </c>
      <c r="B191" s="8">
        <v>101</v>
      </c>
      <c r="C191" s="8">
        <v>118.3</v>
      </c>
      <c r="D191" s="8">
        <v>96.9</v>
      </c>
      <c r="E191" s="8">
        <v>99.8</v>
      </c>
      <c r="F191" s="8">
        <v>3.2</v>
      </c>
      <c r="G191" s="8">
        <v>3.3</v>
      </c>
      <c r="H191" s="8">
        <v>3</v>
      </c>
      <c r="I191" s="8">
        <v>2.2000000000000002</v>
      </c>
      <c r="J191" s="8">
        <v>2.2000000000000002</v>
      </c>
      <c r="K191" s="8">
        <v>2.1</v>
      </c>
      <c r="L191" s="8">
        <v>102.5</v>
      </c>
      <c r="M191" s="8">
        <v>92.4</v>
      </c>
      <c r="N191" s="8">
        <v>106.7</v>
      </c>
      <c r="O191" s="8">
        <v>93.5</v>
      </c>
      <c r="P191" s="8">
        <v>116.2</v>
      </c>
      <c r="Q191" s="8">
        <v>117.1</v>
      </c>
      <c r="R191" s="8">
        <v>113.5</v>
      </c>
      <c r="S191" s="8">
        <v>105.1</v>
      </c>
      <c r="T191" s="8">
        <v>102.7</v>
      </c>
      <c r="U191" s="8">
        <v>72.900000000000006</v>
      </c>
      <c r="V191" s="8">
        <v>105.9</v>
      </c>
      <c r="W191" s="8">
        <v>90.8</v>
      </c>
      <c r="X191" s="8">
        <v>110</v>
      </c>
      <c r="Y191" s="8">
        <v>110</v>
      </c>
      <c r="Z191" s="8">
        <v>109.8</v>
      </c>
      <c r="AA191" s="8">
        <v>100.5</v>
      </c>
      <c r="AB191" s="8">
        <v>98.9</v>
      </c>
      <c r="AC191" s="8">
        <v>103.2</v>
      </c>
      <c r="AD191" s="8">
        <v>100.2</v>
      </c>
      <c r="AE191" s="8">
        <v>111.4</v>
      </c>
      <c r="AF191" s="8">
        <v>104.5</v>
      </c>
      <c r="AG191" s="8">
        <v>104.2</v>
      </c>
      <c r="AH191" s="8">
        <v>104.7</v>
      </c>
      <c r="AI191" s="8">
        <v>102.6</v>
      </c>
      <c r="AJ191" s="8">
        <v>100.3</v>
      </c>
      <c r="AK191" s="8">
        <v>105.3</v>
      </c>
      <c r="AL191" s="8">
        <v>111.8</v>
      </c>
      <c r="AM191" s="8">
        <v>101.8</v>
      </c>
      <c r="AN191" s="8">
        <v>103.5</v>
      </c>
      <c r="AO191" s="8">
        <v>103.3</v>
      </c>
      <c r="AP191" s="8">
        <v>108.9</v>
      </c>
      <c r="AQ191" s="8">
        <v>100.1</v>
      </c>
      <c r="AR191" s="8">
        <v>101</v>
      </c>
      <c r="AS191" s="8">
        <v>96</v>
      </c>
      <c r="AT191" s="8">
        <v>95.5</v>
      </c>
      <c r="AU191" s="8">
        <v>97.7</v>
      </c>
      <c r="AV191" s="8">
        <v>96.6</v>
      </c>
      <c r="AW191" s="8">
        <v>95.3</v>
      </c>
      <c r="AX191" s="8">
        <v>102.3</v>
      </c>
      <c r="AY191" s="8">
        <v>109.3</v>
      </c>
      <c r="AZ191" s="8">
        <v>108.9</v>
      </c>
      <c r="BA191" s="8">
        <v>111.7</v>
      </c>
      <c r="BB191" s="8">
        <v>108.4</v>
      </c>
      <c r="BC191" s="8">
        <v>107.1</v>
      </c>
      <c r="BD191" s="8">
        <v>104.2</v>
      </c>
      <c r="BE191" s="8">
        <v>104.9</v>
      </c>
      <c r="BF191" s="8">
        <v>109.5</v>
      </c>
      <c r="BG191" s="8">
        <v>114.9</v>
      </c>
      <c r="BH191" s="8">
        <v>112.1</v>
      </c>
      <c r="BI191" s="8">
        <v>110.5</v>
      </c>
      <c r="BJ191" s="8">
        <v>116.5</v>
      </c>
      <c r="BK191" s="8">
        <v>126.4</v>
      </c>
    </row>
    <row r="192" spans="1:63" x14ac:dyDescent="0.2">
      <c r="A192" s="9">
        <v>41609</v>
      </c>
      <c r="B192" s="8">
        <v>100.4</v>
      </c>
      <c r="C192" s="8">
        <v>117.5</v>
      </c>
      <c r="D192" s="8">
        <v>96.5</v>
      </c>
      <c r="E192" s="8">
        <v>99.2</v>
      </c>
      <c r="F192" s="8">
        <v>-0.6</v>
      </c>
      <c r="G192" s="8">
        <v>-0.7</v>
      </c>
      <c r="H192" s="8">
        <v>-0.4</v>
      </c>
      <c r="I192" s="8">
        <v>0.6</v>
      </c>
      <c r="J192" s="8">
        <v>-0.5</v>
      </c>
      <c r="K192" s="8">
        <v>1.2</v>
      </c>
      <c r="L192" s="8">
        <v>100.9</v>
      </c>
      <c r="M192" s="8">
        <v>87.7</v>
      </c>
      <c r="N192" s="8">
        <v>107.5</v>
      </c>
      <c r="O192" s="8">
        <v>95.5</v>
      </c>
      <c r="P192" s="8">
        <v>109.4</v>
      </c>
      <c r="Q192" s="8">
        <v>103</v>
      </c>
      <c r="R192" s="8">
        <v>114.3</v>
      </c>
      <c r="S192" s="8">
        <v>109.1</v>
      </c>
      <c r="T192" s="8">
        <v>104.3</v>
      </c>
      <c r="U192" s="8">
        <v>77</v>
      </c>
      <c r="V192" s="8">
        <v>106.6</v>
      </c>
      <c r="W192" s="8">
        <v>87.2</v>
      </c>
      <c r="X192" s="8">
        <v>110</v>
      </c>
      <c r="Y192" s="8">
        <v>110</v>
      </c>
      <c r="Z192" s="8">
        <v>110</v>
      </c>
      <c r="AA192" s="8">
        <v>101.2</v>
      </c>
      <c r="AB192" s="8">
        <v>99.6</v>
      </c>
      <c r="AC192" s="8">
        <v>107.2</v>
      </c>
      <c r="AD192" s="8">
        <v>100.9</v>
      </c>
      <c r="AE192" s="8">
        <v>109.1</v>
      </c>
      <c r="AF192" s="8">
        <v>106.8</v>
      </c>
      <c r="AG192" s="8">
        <v>108.1</v>
      </c>
      <c r="AH192" s="8">
        <v>104.7</v>
      </c>
      <c r="AI192" s="8">
        <v>100.8</v>
      </c>
      <c r="AJ192" s="8">
        <v>99.3</v>
      </c>
      <c r="AK192" s="8">
        <v>103.5</v>
      </c>
      <c r="AL192" s="8">
        <v>107</v>
      </c>
      <c r="AM192" s="8">
        <v>100.2</v>
      </c>
      <c r="AN192" s="8">
        <v>104.4</v>
      </c>
      <c r="AO192" s="8">
        <v>104.2</v>
      </c>
      <c r="AP192" s="8">
        <v>110.6</v>
      </c>
      <c r="AQ192" s="8">
        <v>100.2</v>
      </c>
      <c r="AR192" s="8">
        <v>101.2</v>
      </c>
      <c r="AS192" s="8">
        <v>96.8</v>
      </c>
      <c r="AT192" s="8">
        <v>95.1</v>
      </c>
      <c r="AU192" s="8">
        <v>106.6</v>
      </c>
      <c r="AV192" s="8">
        <v>95.9</v>
      </c>
      <c r="AW192" s="8">
        <v>94.4</v>
      </c>
      <c r="AX192" s="8">
        <v>102.1</v>
      </c>
      <c r="AY192" s="8">
        <v>108.6</v>
      </c>
      <c r="AZ192" s="8">
        <v>108.4</v>
      </c>
      <c r="BA192" s="8">
        <v>109.6</v>
      </c>
      <c r="BB192" s="8">
        <v>107</v>
      </c>
      <c r="BC192" s="8">
        <v>105.6</v>
      </c>
      <c r="BD192" s="8">
        <v>102.8</v>
      </c>
      <c r="BE192" s="8">
        <v>103.9</v>
      </c>
      <c r="BF192" s="8">
        <v>109.5</v>
      </c>
      <c r="BG192" s="8">
        <v>112.2</v>
      </c>
      <c r="BH192" s="8">
        <v>112.4</v>
      </c>
      <c r="BI192" s="8">
        <v>107.3</v>
      </c>
      <c r="BJ192" s="8">
        <v>115.9</v>
      </c>
      <c r="BK192" s="8">
        <v>126.9</v>
      </c>
    </row>
    <row r="193" spans="1:63" x14ac:dyDescent="0.2">
      <c r="A193" s="9">
        <v>41699</v>
      </c>
      <c r="B193" s="8">
        <v>102.8</v>
      </c>
      <c r="C193" s="8">
        <v>120.5</v>
      </c>
      <c r="D193" s="8">
        <v>98.6</v>
      </c>
      <c r="E193" s="8">
        <v>101.4</v>
      </c>
      <c r="F193" s="8">
        <v>2.4</v>
      </c>
      <c r="G193" s="8">
        <v>2.6</v>
      </c>
      <c r="H193" s="8">
        <v>2.2000000000000002</v>
      </c>
      <c r="I193" s="8">
        <v>3.1</v>
      </c>
      <c r="J193" s="8">
        <v>2.2999999999999998</v>
      </c>
      <c r="K193" s="8">
        <v>3.4</v>
      </c>
      <c r="L193" s="8">
        <v>105</v>
      </c>
      <c r="M193" s="8">
        <v>86.6</v>
      </c>
      <c r="N193" s="8">
        <v>109.3</v>
      </c>
      <c r="O193" s="8">
        <v>98.6</v>
      </c>
      <c r="P193" s="8">
        <v>114.2</v>
      </c>
      <c r="Q193" s="8">
        <v>115.1</v>
      </c>
      <c r="R193" s="8">
        <v>113.5</v>
      </c>
      <c r="S193" s="8">
        <v>111.5</v>
      </c>
      <c r="T193" s="8">
        <v>105</v>
      </c>
      <c r="U193" s="8">
        <v>74.2</v>
      </c>
      <c r="V193" s="8">
        <v>110.4</v>
      </c>
      <c r="W193" s="8">
        <v>91.7</v>
      </c>
      <c r="X193" s="8">
        <v>110.3</v>
      </c>
      <c r="Y193" s="8">
        <v>110.1</v>
      </c>
      <c r="Z193" s="8">
        <v>110.6</v>
      </c>
      <c r="AA193" s="8">
        <v>104.3</v>
      </c>
      <c r="AB193" s="8">
        <v>102.7</v>
      </c>
      <c r="AC193" s="8">
        <v>111.7</v>
      </c>
      <c r="AD193" s="8">
        <v>103.9</v>
      </c>
      <c r="AE193" s="8">
        <v>110</v>
      </c>
      <c r="AF193" s="8">
        <v>107</v>
      </c>
      <c r="AG193" s="8">
        <v>108.1</v>
      </c>
      <c r="AH193" s="8">
        <v>105.3</v>
      </c>
      <c r="AI193" s="8">
        <v>102.5</v>
      </c>
      <c r="AJ193" s="8">
        <v>104.1</v>
      </c>
      <c r="AK193" s="8">
        <v>104.3</v>
      </c>
      <c r="AL193" s="8">
        <v>105.1</v>
      </c>
      <c r="AM193" s="8">
        <v>101.9</v>
      </c>
      <c r="AN193" s="8">
        <v>105.1</v>
      </c>
      <c r="AO193" s="8">
        <v>104.8</v>
      </c>
      <c r="AP193" s="8">
        <v>112.4</v>
      </c>
      <c r="AQ193" s="8">
        <v>101.2</v>
      </c>
      <c r="AR193" s="8">
        <v>102.2</v>
      </c>
      <c r="AS193" s="8">
        <v>98.1</v>
      </c>
      <c r="AT193" s="8">
        <v>93.2</v>
      </c>
      <c r="AU193" s="8">
        <v>108.5</v>
      </c>
      <c r="AV193" s="8">
        <v>100.2</v>
      </c>
      <c r="AW193" s="8">
        <v>97.1</v>
      </c>
      <c r="AX193" s="8">
        <v>103.4</v>
      </c>
      <c r="AY193" s="8">
        <v>110.9</v>
      </c>
      <c r="AZ193" s="8">
        <v>109.7</v>
      </c>
      <c r="BA193" s="8">
        <v>117.9</v>
      </c>
      <c r="BB193" s="8">
        <v>106.1</v>
      </c>
      <c r="BC193" s="8">
        <v>106.1</v>
      </c>
      <c r="BD193" s="8">
        <v>105.2</v>
      </c>
      <c r="BE193" s="8">
        <v>101.1</v>
      </c>
      <c r="BF193" s="8">
        <v>109.5</v>
      </c>
      <c r="BG193" s="8">
        <v>117.5</v>
      </c>
      <c r="BH193" s="8">
        <v>110.2</v>
      </c>
      <c r="BI193" s="8">
        <v>104</v>
      </c>
      <c r="BJ193" s="8">
        <v>119.5</v>
      </c>
      <c r="BK193" s="8">
        <v>129.1</v>
      </c>
    </row>
    <row r="194" spans="1:63" x14ac:dyDescent="0.2">
      <c r="A194" s="9">
        <v>41791</v>
      </c>
      <c r="B194" s="8">
        <v>101.8</v>
      </c>
      <c r="C194" s="8">
        <v>117.5</v>
      </c>
      <c r="D194" s="8">
        <v>98.2</v>
      </c>
      <c r="E194" s="8">
        <v>100.8</v>
      </c>
      <c r="F194" s="8">
        <v>-1</v>
      </c>
      <c r="G194" s="8">
        <v>-2.5</v>
      </c>
      <c r="H194" s="8">
        <v>-0.4</v>
      </c>
      <c r="I194" s="8">
        <v>4</v>
      </c>
      <c r="J194" s="8">
        <v>2.6</v>
      </c>
      <c r="K194" s="8">
        <v>4.4000000000000004</v>
      </c>
      <c r="L194" s="8">
        <v>107.6</v>
      </c>
      <c r="M194" s="8">
        <v>84.2</v>
      </c>
      <c r="N194" s="8">
        <v>105.1</v>
      </c>
      <c r="O194" s="8">
        <v>101.5</v>
      </c>
      <c r="P194" s="8">
        <v>109</v>
      </c>
      <c r="Q194" s="8">
        <v>128.69999999999999</v>
      </c>
      <c r="R194" s="8">
        <v>115.1</v>
      </c>
      <c r="S194" s="8">
        <v>109.4</v>
      </c>
      <c r="T194" s="8">
        <v>103.6</v>
      </c>
      <c r="U194" s="8">
        <v>61.9</v>
      </c>
      <c r="V194" s="8">
        <v>105.5</v>
      </c>
      <c r="W194" s="8">
        <v>87.4</v>
      </c>
      <c r="X194" s="8">
        <v>109.8</v>
      </c>
      <c r="Y194" s="8">
        <v>109.4</v>
      </c>
      <c r="Z194" s="8">
        <v>110.6</v>
      </c>
      <c r="AA194" s="8">
        <v>104.2</v>
      </c>
      <c r="AB194" s="8">
        <v>100.3</v>
      </c>
      <c r="AC194" s="8">
        <v>135.80000000000001</v>
      </c>
      <c r="AD194" s="8">
        <v>104</v>
      </c>
      <c r="AE194" s="8">
        <v>94.4</v>
      </c>
      <c r="AF194" s="8">
        <v>108.4</v>
      </c>
      <c r="AG194" s="8">
        <v>110.8</v>
      </c>
      <c r="AH194" s="8">
        <v>104.4</v>
      </c>
      <c r="AI194" s="8">
        <v>101.3</v>
      </c>
      <c r="AJ194" s="8">
        <v>100.7</v>
      </c>
      <c r="AK194" s="8">
        <v>105</v>
      </c>
      <c r="AL194" s="8">
        <v>107.6</v>
      </c>
      <c r="AM194" s="8">
        <v>102.4</v>
      </c>
      <c r="AN194" s="8">
        <v>105.7</v>
      </c>
      <c r="AO194" s="8">
        <v>105.6</v>
      </c>
      <c r="AP194" s="8">
        <v>108.6</v>
      </c>
      <c r="AQ194" s="8">
        <v>102</v>
      </c>
      <c r="AR194" s="8">
        <v>102.3</v>
      </c>
      <c r="AS194" s="8">
        <v>97.4</v>
      </c>
      <c r="AT194" s="8">
        <v>96</v>
      </c>
      <c r="AU194" s="8">
        <v>103.1</v>
      </c>
      <c r="AV194" s="8">
        <v>98.2</v>
      </c>
      <c r="AW194" s="8">
        <v>94.4</v>
      </c>
      <c r="AX194" s="8">
        <v>103</v>
      </c>
      <c r="AY194" s="8">
        <v>110.1</v>
      </c>
      <c r="AZ194" s="8">
        <v>110.3</v>
      </c>
      <c r="BA194" s="8">
        <v>107.9</v>
      </c>
      <c r="BB194" s="8">
        <v>105.6</v>
      </c>
      <c r="BC194" s="8">
        <v>106.9</v>
      </c>
      <c r="BD194" s="8">
        <v>102.9</v>
      </c>
      <c r="BE194" s="8">
        <v>101</v>
      </c>
      <c r="BF194" s="8">
        <v>109.5</v>
      </c>
      <c r="BG194" s="8">
        <v>108.9</v>
      </c>
      <c r="BH194" s="8">
        <v>111.9</v>
      </c>
      <c r="BI194" s="8">
        <v>104.8</v>
      </c>
      <c r="BJ194" s="8">
        <v>118.8</v>
      </c>
      <c r="BK194" s="8">
        <v>127.9</v>
      </c>
    </row>
    <row r="195" spans="1:63" x14ac:dyDescent="0.2">
      <c r="A195" s="9">
        <v>41883</v>
      </c>
      <c r="B195" s="8">
        <v>100.7</v>
      </c>
      <c r="C195" s="8">
        <v>115.6</v>
      </c>
      <c r="D195" s="8">
        <v>97.4</v>
      </c>
      <c r="E195" s="8">
        <v>100</v>
      </c>
      <c r="F195" s="8">
        <v>-1.1000000000000001</v>
      </c>
      <c r="G195" s="8">
        <v>-1.6</v>
      </c>
      <c r="H195" s="8">
        <v>-0.8</v>
      </c>
      <c r="I195" s="8">
        <v>-0.3</v>
      </c>
      <c r="J195" s="8">
        <v>-2.2999999999999998</v>
      </c>
      <c r="K195" s="8">
        <v>0.5</v>
      </c>
      <c r="L195" s="8">
        <v>108</v>
      </c>
      <c r="M195" s="8">
        <v>84.6</v>
      </c>
      <c r="N195" s="8">
        <v>105.3</v>
      </c>
      <c r="O195" s="8">
        <v>102.5</v>
      </c>
      <c r="P195" s="8">
        <v>109.2</v>
      </c>
      <c r="Q195" s="8">
        <v>124.7</v>
      </c>
      <c r="R195" s="8">
        <v>123.3</v>
      </c>
      <c r="S195" s="8">
        <v>108.6</v>
      </c>
      <c r="T195" s="8">
        <v>106.3</v>
      </c>
      <c r="U195" s="8">
        <v>58.9</v>
      </c>
      <c r="V195" s="8">
        <v>101.4</v>
      </c>
      <c r="W195" s="8">
        <v>84.8</v>
      </c>
      <c r="X195" s="8">
        <v>109.8</v>
      </c>
      <c r="Y195" s="8">
        <v>109.5</v>
      </c>
      <c r="Z195" s="8">
        <v>110.7</v>
      </c>
      <c r="AA195" s="8">
        <v>104.9</v>
      </c>
      <c r="AB195" s="8">
        <v>103.8</v>
      </c>
      <c r="AC195" s="8">
        <v>112.9</v>
      </c>
      <c r="AD195" s="8">
        <v>105.2</v>
      </c>
      <c r="AE195" s="8">
        <v>102.5</v>
      </c>
      <c r="AF195" s="8">
        <v>109.1</v>
      </c>
      <c r="AG195" s="8">
        <v>111.7</v>
      </c>
      <c r="AH195" s="8">
        <v>104.7</v>
      </c>
      <c r="AI195" s="8">
        <v>100.3</v>
      </c>
      <c r="AJ195" s="8">
        <v>99.5</v>
      </c>
      <c r="AK195" s="8">
        <v>104.5</v>
      </c>
      <c r="AL195" s="8">
        <v>108</v>
      </c>
      <c r="AM195" s="8">
        <v>102.4</v>
      </c>
      <c r="AN195" s="8">
        <v>106</v>
      </c>
      <c r="AO195" s="8">
        <v>105.9</v>
      </c>
      <c r="AP195" s="8">
        <v>108.5</v>
      </c>
      <c r="AQ195" s="8">
        <v>103.3</v>
      </c>
      <c r="AR195" s="8">
        <v>105.1</v>
      </c>
      <c r="AS195" s="8">
        <v>97.9</v>
      </c>
      <c r="AT195" s="8">
        <v>94.3</v>
      </c>
      <c r="AU195" s="8">
        <v>104</v>
      </c>
      <c r="AV195" s="8">
        <v>100.6</v>
      </c>
      <c r="AW195" s="8">
        <v>95.7</v>
      </c>
      <c r="AX195" s="8">
        <v>103.3</v>
      </c>
      <c r="AY195" s="8">
        <v>109.6</v>
      </c>
      <c r="AZ195" s="8">
        <v>110.4</v>
      </c>
      <c r="BA195" s="8">
        <v>104</v>
      </c>
      <c r="BB195" s="8">
        <v>103.8</v>
      </c>
      <c r="BC195" s="8">
        <v>104.2</v>
      </c>
      <c r="BD195" s="8">
        <v>103</v>
      </c>
      <c r="BE195" s="8">
        <v>99.2</v>
      </c>
      <c r="BF195" s="8">
        <v>109.5</v>
      </c>
      <c r="BG195" s="8">
        <v>108.3</v>
      </c>
      <c r="BH195" s="8">
        <v>111.9</v>
      </c>
      <c r="BI195" s="8">
        <v>99.2</v>
      </c>
      <c r="BJ195" s="8">
        <v>107.6</v>
      </c>
      <c r="BK195" s="8">
        <v>120.2</v>
      </c>
    </row>
    <row r="196" spans="1:63" x14ac:dyDescent="0.2">
      <c r="A196" s="9">
        <v>41974</v>
      </c>
      <c r="B196" s="8">
        <v>100</v>
      </c>
      <c r="C196" s="8">
        <v>112.7</v>
      </c>
      <c r="D196" s="8">
        <v>97.4</v>
      </c>
      <c r="E196" s="8">
        <v>100.9</v>
      </c>
      <c r="F196" s="8">
        <v>-0.7</v>
      </c>
      <c r="G196" s="8">
        <v>-2.5</v>
      </c>
      <c r="H196" s="8">
        <v>0</v>
      </c>
      <c r="I196" s="8">
        <v>-0.4</v>
      </c>
      <c r="J196" s="8">
        <v>-4.0999999999999996</v>
      </c>
      <c r="K196" s="8">
        <v>0.9</v>
      </c>
      <c r="L196" s="8">
        <v>107.8</v>
      </c>
      <c r="M196" s="8">
        <v>86.8</v>
      </c>
      <c r="N196" s="8">
        <v>107.3</v>
      </c>
      <c r="O196" s="8">
        <v>106.2</v>
      </c>
      <c r="P196" s="8">
        <v>109.2</v>
      </c>
      <c r="Q196" s="8">
        <v>108.2</v>
      </c>
      <c r="R196" s="8">
        <v>123.3</v>
      </c>
      <c r="S196" s="8">
        <v>110.4</v>
      </c>
      <c r="T196" s="8">
        <v>106.9</v>
      </c>
      <c r="U196" s="8">
        <v>57.6</v>
      </c>
      <c r="V196" s="8">
        <v>87.9</v>
      </c>
      <c r="W196" s="8">
        <v>82.6</v>
      </c>
      <c r="X196" s="8">
        <v>110</v>
      </c>
      <c r="Y196" s="8">
        <v>109.2</v>
      </c>
      <c r="Z196" s="8">
        <v>111.6</v>
      </c>
      <c r="AA196" s="8">
        <v>108.7</v>
      </c>
      <c r="AB196" s="8">
        <v>107.4</v>
      </c>
      <c r="AC196" s="8">
        <v>117.5</v>
      </c>
      <c r="AD196" s="8">
        <v>108.9</v>
      </c>
      <c r="AE196" s="8">
        <v>108.4</v>
      </c>
      <c r="AF196" s="8">
        <v>112.8</v>
      </c>
      <c r="AG196" s="8">
        <v>117.3</v>
      </c>
      <c r="AH196" s="8">
        <v>105.5</v>
      </c>
      <c r="AI196" s="8">
        <v>102.3</v>
      </c>
      <c r="AJ196" s="8">
        <v>98.5</v>
      </c>
      <c r="AK196" s="8">
        <v>107.6</v>
      </c>
      <c r="AL196" s="8">
        <v>111.1</v>
      </c>
      <c r="AM196" s="8">
        <v>103.9</v>
      </c>
      <c r="AN196" s="8">
        <v>105.8</v>
      </c>
      <c r="AO196" s="8">
        <v>105.6</v>
      </c>
      <c r="AP196" s="8">
        <v>109.9</v>
      </c>
      <c r="AQ196" s="8">
        <v>103.8</v>
      </c>
      <c r="AR196" s="8">
        <v>105.7</v>
      </c>
      <c r="AS196" s="8">
        <v>100.5</v>
      </c>
      <c r="AT196" s="8">
        <v>95.8</v>
      </c>
      <c r="AU196" s="8">
        <v>104.4</v>
      </c>
      <c r="AV196" s="8">
        <v>104.9</v>
      </c>
      <c r="AW196" s="8">
        <v>100.3</v>
      </c>
      <c r="AX196" s="8">
        <v>107.5</v>
      </c>
      <c r="AY196" s="8">
        <v>111.4</v>
      </c>
      <c r="AZ196" s="8">
        <v>110.5</v>
      </c>
      <c r="BA196" s="8">
        <v>116.4</v>
      </c>
      <c r="BB196" s="8">
        <v>107</v>
      </c>
      <c r="BC196" s="8">
        <v>109.1</v>
      </c>
      <c r="BD196" s="8">
        <v>107.1</v>
      </c>
      <c r="BE196" s="8">
        <v>102.5</v>
      </c>
      <c r="BF196" s="8">
        <v>119.4</v>
      </c>
      <c r="BG196" s="8">
        <v>117.4</v>
      </c>
      <c r="BH196" s="8">
        <v>111.9</v>
      </c>
      <c r="BI196" s="8">
        <v>98.7</v>
      </c>
      <c r="BJ196" s="8">
        <v>105.8</v>
      </c>
      <c r="BK196" s="8">
        <v>120.3</v>
      </c>
    </row>
    <row r="197" spans="1:63" x14ac:dyDescent="0.2">
      <c r="A197" s="9">
        <v>42064</v>
      </c>
      <c r="B197" s="8">
        <v>98.1</v>
      </c>
      <c r="C197" s="8">
        <v>106.8</v>
      </c>
      <c r="D197" s="8">
        <v>96.8</v>
      </c>
      <c r="E197" s="8">
        <v>101.3</v>
      </c>
      <c r="F197" s="8">
        <v>-1.9</v>
      </c>
      <c r="G197" s="8">
        <v>-5.2</v>
      </c>
      <c r="H197" s="8">
        <v>-0.6</v>
      </c>
      <c r="I197" s="8">
        <v>-4.5999999999999996</v>
      </c>
      <c r="J197" s="8">
        <v>-11.4</v>
      </c>
      <c r="K197" s="8">
        <v>-1.8</v>
      </c>
      <c r="L197" s="8">
        <v>113.2</v>
      </c>
      <c r="M197" s="8">
        <v>88.1</v>
      </c>
      <c r="N197" s="8">
        <v>109.4</v>
      </c>
      <c r="O197" s="8">
        <v>113</v>
      </c>
      <c r="P197" s="8">
        <v>115.9</v>
      </c>
      <c r="Q197" s="8">
        <v>114.9</v>
      </c>
      <c r="R197" s="8">
        <v>123.3</v>
      </c>
      <c r="S197" s="8">
        <v>112.1</v>
      </c>
      <c r="T197" s="8">
        <v>105.8</v>
      </c>
      <c r="U197" s="8">
        <v>67.5</v>
      </c>
      <c r="V197" s="8">
        <v>69.8</v>
      </c>
      <c r="W197" s="8">
        <v>79</v>
      </c>
      <c r="X197" s="8">
        <v>110.3</v>
      </c>
      <c r="Y197" s="8">
        <v>109.5</v>
      </c>
      <c r="Z197" s="8">
        <v>112.2</v>
      </c>
      <c r="AA197" s="8">
        <v>111.2</v>
      </c>
      <c r="AB197" s="8">
        <v>109.4</v>
      </c>
      <c r="AC197" s="8">
        <v>118.7</v>
      </c>
      <c r="AD197" s="8">
        <v>111.4</v>
      </c>
      <c r="AE197" s="8">
        <v>116</v>
      </c>
      <c r="AF197" s="8">
        <v>114.4</v>
      </c>
      <c r="AG197" s="8">
        <v>119.6</v>
      </c>
      <c r="AH197" s="8">
        <v>106</v>
      </c>
      <c r="AI197" s="8">
        <v>104.2</v>
      </c>
      <c r="AJ197" s="8">
        <v>94.4</v>
      </c>
      <c r="AK197" s="8">
        <v>107.1</v>
      </c>
      <c r="AL197" s="8">
        <v>114</v>
      </c>
      <c r="AM197" s="8">
        <v>100.5</v>
      </c>
      <c r="AN197" s="8">
        <v>105.4</v>
      </c>
      <c r="AO197" s="8">
        <v>105.2</v>
      </c>
      <c r="AP197" s="8">
        <v>111</v>
      </c>
      <c r="AQ197" s="8">
        <v>104</v>
      </c>
      <c r="AR197" s="8">
        <v>105.6</v>
      </c>
      <c r="AS197" s="8">
        <v>99.4</v>
      </c>
      <c r="AT197" s="8">
        <v>98.6</v>
      </c>
      <c r="AU197" s="8">
        <v>107.4</v>
      </c>
      <c r="AV197" s="8">
        <v>96.8</v>
      </c>
      <c r="AW197" s="8">
        <v>101.1</v>
      </c>
      <c r="AX197" s="8">
        <v>114.3</v>
      </c>
      <c r="AY197" s="8">
        <v>115.3</v>
      </c>
      <c r="AZ197" s="8">
        <v>111.1</v>
      </c>
      <c r="BA197" s="8">
        <v>142.5</v>
      </c>
      <c r="BB197" s="8">
        <v>110.4</v>
      </c>
      <c r="BC197" s="8">
        <v>112.6</v>
      </c>
      <c r="BD197" s="8">
        <v>112.6</v>
      </c>
      <c r="BE197" s="8">
        <v>105.2</v>
      </c>
      <c r="BF197" s="8">
        <v>129.4</v>
      </c>
      <c r="BG197" s="8">
        <v>128</v>
      </c>
      <c r="BH197" s="8">
        <v>111.9</v>
      </c>
      <c r="BI197" s="8">
        <v>99.8</v>
      </c>
      <c r="BJ197" s="8">
        <v>107.8</v>
      </c>
      <c r="BK197" s="8">
        <v>120</v>
      </c>
    </row>
    <row r="198" spans="1:63" x14ac:dyDescent="0.2">
      <c r="A198" s="9">
        <v>42156</v>
      </c>
      <c r="B198" s="8">
        <v>99.9</v>
      </c>
      <c r="C198" s="8">
        <v>109.2</v>
      </c>
      <c r="D198" s="8">
        <v>98.5</v>
      </c>
      <c r="E198" s="8">
        <v>102.3</v>
      </c>
      <c r="F198" s="8">
        <v>1.8</v>
      </c>
      <c r="G198" s="8">
        <v>2.2000000000000002</v>
      </c>
      <c r="H198" s="8">
        <v>1.8</v>
      </c>
      <c r="I198" s="8">
        <v>-1.9</v>
      </c>
      <c r="J198" s="8">
        <v>-7.1</v>
      </c>
      <c r="K198" s="8">
        <v>0.3</v>
      </c>
      <c r="L198" s="8">
        <v>117.5</v>
      </c>
      <c r="M198" s="8">
        <v>80.2</v>
      </c>
      <c r="N198" s="8">
        <v>115</v>
      </c>
      <c r="O198" s="8">
        <v>119.1</v>
      </c>
      <c r="P198" s="8">
        <v>108.6</v>
      </c>
      <c r="Q198" s="8">
        <v>126</v>
      </c>
      <c r="R198" s="8">
        <v>123.3</v>
      </c>
      <c r="S198" s="8">
        <v>111.9</v>
      </c>
      <c r="T198" s="8">
        <v>105.6</v>
      </c>
      <c r="U198" s="8">
        <v>53.8</v>
      </c>
      <c r="V198" s="8">
        <v>77</v>
      </c>
      <c r="W198" s="8">
        <v>79.8</v>
      </c>
      <c r="X198" s="8">
        <v>114.5</v>
      </c>
      <c r="Y198" s="8">
        <v>114</v>
      </c>
      <c r="Z198" s="8">
        <v>115.5</v>
      </c>
      <c r="AA198" s="8">
        <v>111.9</v>
      </c>
      <c r="AB198" s="8">
        <v>111.1</v>
      </c>
      <c r="AC198" s="8">
        <v>118.7</v>
      </c>
      <c r="AD198" s="8">
        <v>111.9</v>
      </c>
      <c r="AE198" s="8">
        <v>110.8</v>
      </c>
      <c r="AF198" s="8">
        <v>117.2</v>
      </c>
      <c r="AG198" s="8">
        <v>124.4</v>
      </c>
      <c r="AH198" s="8">
        <v>105.8</v>
      </c>
      <c r="AI198" s="8">
        <v>105.4</v>
      </c>
      <c r="AJ198" s="8">
        <v>90.8</v>
      </c>
      <c r="AK198" s="8">
        <v>108</v>
      </c>
      <c r="AL198" s="8">
        <v>113.2</v>
      </c>
      <c r="AM198" s="8">
        <v>101.5</v>
      </c>
      <c r="AN198" s="8">
        <v>104</v>
      </c>
      <c r="AO198" s="8">
        <v>103.7</v>
      </c>
      <c r="AP198" s="8">
        <v>110.6</v>
      </c>
      <c r="AQ198" s="8">
        <v>106.2</v>
      </c>
      <c r="AR198" s="8">
        <v>109.3</v>
      </c>
      <c r="AS198" s="8">
        <v>98.7</v>
      </c>
      <c r="AT198" s="8">
        <v>98.5</v>
      </c>
      <c r="AU198" s="8">
        <v>103.2</v>
      </c>
      <c r="AV198" s="8">
        <v>96.6</v>
      </c>
      <c r="AW198" s="8">
        <v>101.2</v>
      </c>
      <c r="AX198" s="8">
        <v>114</v>
      </c>
      <c r="AY198" s="8">
        <v>115.9</v>
      </c>
      <c r="AZ198" s="8">
        <v>111.4</v>
      </c>
      <c r="BA198" s="8">
        <v>144.6</v>
      </c>
      <c r="BB198" s="8">
        <v>112</v>
      </c>
      <c r="BC198" s="8">
        <v>115.6</v>
      </c>
      <c r="BD198" s="8">
        <v>113.6</v>
      </c>
      <c r="BE198" s="8">
        <v>110</v>
      </c>
      <c r="BF198" s="8">
        <v>129.4</v>
      </c>
      <c r="BG198" s="8">
        <v>130.30000000000001</v>
      </c>
      <c r="BH198" s="8">
        <v>111.9</v>
      </c>
      <c r="BI198" s="8">
        <v>95.5</v>
      </c>
      <c r="BJ198" s="8">
        <v>105.8</v>
      </c>
      <c r="BK198" s="8">
        <v>120.3</v>
      </c>
    </row>
    <row r="199" spans="1:63" x14ac:dyDescent="0.2">
      <c r="A199" s="9">
        <v>42248</v>
      </c>
      <c r="B199" s="8">
        <v>100.1</v>
      </c>
      <c r="C199" s="8">
        <v>107.3</v>
      </c>
      <c r="D199" s="8">
        <v>99.2</v>
      </c>
      <c r="E199" s="8">
        <v>103.3</v>
      </c>
      <c r="F199" s="8">
        <v>0.2</v>
      </c>
      <c r="G199" s="8">
        <v>-1.7</v>
      </c>
      <c r="H199" s="8">
        <v>0.7</v>
      </c>
      <c r="I199" s="8">
        <v>-0.6</v>
      </c>
      <c r="J199" s="8">
        <v>-7.2</v>
      </c>
      <c r="K199" s="8">
        <v>1.8</v>
      </c>
      <c r="L199" s="8">
        <v>124.2</v>
      </c>
      <c r="M199" s="8">
        <v>82.7</v>
      </c>
      <c r="N199" s="8">
        <v>116.9</v>
      </c>
      <c r="O199" s="8">
        <v>132.30000000000001</v>
      </c>
      <c r="P199" s="8">
        <v>103.5</v>
      </c>
      <c r="Q199" s="8">
        <v>122.8</v>
      </c>
      <c r="R199" s="8">
        <v>123.3</v>
      </c>
      <c r="S199" s="8">
        <v>112.9</v>
      </c>
      <c r="T199" s="8">
        <v>105.9</v>
      </c>
      <c r="U199" s="8">
        <v>56.8</v>
      </c>
      <c r="V199" s="8">
        <v>69.900000000000006</v>
      </c>
      <c r="W199" s="8">
        <v>76.900000000000006</v>
      </c>
      <c r="X199" s="8">
        <v>112.8</v>
      </c>
      <c r="Y199" s="8">
        <v>113.5</v>
      </c>
      <c r="Z199" s="8">
        <v>112.4</v>
      </c>
      <c r="AA199" s="8">
        <v>113.7</v>
      </c>
      <c r="AB199" s="8">
        <v>113.5</v>
      </c>
      <c r="AC199" s="8">
        <v>120.5</v>
      </c>
      <c r="AD199" s="8">
        <v>114</v>
      </c>
      <c r="AE199" s="8">
        <v>113.3</v>
      </c>
      <c r="AF199" s="8">
        <v>118.9</v>
      </c>
      <c r="AG199" s="8">
        <v>126.3</v>
      </c>
      <c r="AH199" s="8">
        <v>107</v>
      </c>
      <c r="AI199" s="8">
        <v>107.5</v>
      </c>
      <c r="AJ199" s="8">
        <v>94.5</v>
      </c>
      <c r="AK199" s="8">
        <v>110.4</v>
      </c>
      <c r="AL199" s="8">
        <v>114.4</v>
      </c>
      <c r="AM199" s="8">
        <v>105.3</v>
      </c>
      <c r="AN199" s="8">
        <v>103.5</v>
      </c>
      <c r="AO199" s="8">
        <v>103.2</v>
      </c>
      <c r="AP199" s="8">
        <v>111.3</v>
      </c>
      <c r="AQ199" s="8">
        <v>107</v>
      </c>
      <c r="AR199" s="8">
        <v>109.7</v>
      </c>
      <c r="AS199" s="8">
        <v>95.7</v>
      </c>
      <c r="AT199" s="8">
        <v>97.5</v>
      </c>
      <c r="AU199" s="8">
        <v>92.4</v>
      </c>
      <c r="AV199" s="8">
        <v>92.9</v>
      </c>
      <c r="AW199" s="8">
        <v>99.6</v>
      </c>
      <c r="AX199" s="8">
        <v>119.5</v>
      </c>
      <c r="AY199" s="8">
        <v>127.2</v>
      </c>
      <c r="AZ199" s="8">
        <v>122.6</v>
      </c>
      <c r="BA199" s="8">
        <v>155.5</v>
      </c>
      <c r="BB199" s="8">
        <v>113</v>
      </c>
      <c r="BC199" s="8">
        <v>115.7</v>
      </c>
      <c r="BD199" s="8">
        <v>113.9</v>
      </c>
      <c r="BE199" s="8">
        <v>109.5</v>
      </c>
      <c r="BF199" s="8">
        <v>130.69999999999999</v>
      </c>
      <c r="BG199" s="8">
        <v>137.4</v>
      </c>
      <c r="BH199" s="8">
        <v>112.5</v>
      </c>
      <c r="BI199" s="8">
        <v>99.9</v>
      </c>
      <c r="BJ199" s="8">
        <v>98.9</v>
      </c>
      <c r="BK199" s="8">
        <v>116.1</v>
      </c>
    </row>
    <row r="200" spans="1:63" x14ac:dyDescent="0.2">
      <c r="A200" s="9">
        <v>42339</v>
      </c>
      <c r="B200" s="8">
        <v>98.1</v>
      </c>
      <c r="C200" s="8">
        <v>104.9</v>
      </c>
      <c r="D200" s="8">
        <v>97.3</v>
      </c>
      <c r="E200" s="8">
        <v>101.6</v>
      </c>
      <c r="F200" s="8">
        <v>-2</v>
      </c>
      <c r="G200" s="8">
        <v>-2.2000000000000002</v>
      </c>
      <c r="H200" s="8">
        <v>-1.9</v>
      </c>
      <c r="I200" s="8">
        <v>-1.9</v>
      </c>
      <c r="J200" s="8">
        <v>-6.9</v>
      </c>
      <c r="K200" s="8">
        <v>-0.1</v>
      </c>
      <c r="L200" s="8">
        <v>121.6</v>
      </c>
      <c r="M200" s="8">
        <v>81.900000000000006</v>
      </c>
      <c r="N200" s="8">
        <v>107.1</v>
      </c>
      <c r="O200" s="8">
        <v>134.19999999999999</v>
      </c>
      <c r="P200" s="8">
        <v>102.9</v>
      </c>
      <c r="Q200" s="8">
        <v>105.2</v>
      </c>
      <c r="R200" s="8">
        <v>123.3</v>
      </c>
      <c r="S200" s="8">
        <v>117.1</v>
      </c>
      <c r="T200" s="8">
        <v>106.9</v>
      </c>
      <c r="U200" s="8">
        <v>51.5</v>
      </c>
      <c r="V200" s="8">
        <v>65.599999999999994</v>
      </c>
      <c r="W200" s="8">
        <v>72</v>
      </c>
      <c r="X200" s="8">
        <v>112.3</v>
      </c>
      <c r="Y200" s="8">
        <v>113.8</v>
      </c>
      <c r="Z200" s="8">
        <v>111.3</v>
      </c>
      <c r="AA200" s="8">
        <v>113.9</v>
      </c>
      <c r="AB200" s="8">
        <v>111.3</v>
      </c>
      <c r="AC200" s="8">
        <v>118.7</v>
      </c>
      <c r="AD200" s="8">
        <v>115.3</v>
      </c>
      <c r="AE200" s="8">
        <v>115</v>
      </c>
      <c r="AF200" s="8">
        <v>118</v>
      </c>
      <c r="AG200" s="8">
        <v>125.2</v>
      </c>
      <c r="AH200" s="8">
        <v>106.6</v>
      </c>
      <c r="AI200" s="8">
        <v>110</v>
      </c>
      <c r="AJ200" s="8">
        <v>93.2</v>
      </c>
      <c r="AK200" s="8">
        <v>110.2</v>
      </c>
      <c r="AL200" s="8">
        <v>116.4</v>
      </c>
      <c r="AM200" s="8">
        <v>104.4</v>
      </c>
      <c r="AN200" s="8">
        <v>104.6</v>
      </c>
      <c r="AO200" s="8">
        <v>104.3</v>
      </c>
      <c r="AP200" s="8">
        <v>111.8</v>
      </c>
      <c r="AQ200" s="8">
        <v>107.4</v>
      </c>
      <c r="AR200" s="8">
        <v>111.6</v>
      </c>
      <c r="AS200" s="8">
        <v>93.2</v>
      </c>
      <c r="AT200" s="8">
        <v>96.3</v>
      </c>
      <c r="AU200" s="8">
        <v>89.2</v>
      </c>
      <c r="AV200" s="8">
        <v>88.6</v>
      </c>
      <c r="AW200" s="8">
        <v>97.7</v>
      </c>
      <c r="AX200" s="8">
        <v>117.5</v>
      </c>
      <c r="AY200" s="8">
        <v>119.2</v>
      </c>
      <c r="AZ200" s="8">
        <v>113.8</v>
      </c>
      <c r="BA200" s="8">
        <v>156.4</v>
      </c>
      <c r="BB200" s="8">
        <v>112.6</v>
      </c>
      <c r="BC200" s="8">
        <v>114.7</v>
      </c>
      <c r="BD200" s="8">
        <v>114.1</v>
      </c>
      <c r="BE200" s="8">
        <v>108</v>
      </c>
      <c r="BF200" s="8">
        <v>131.5</v>
      </c>
      <c r="BG200" s="8">
        <v>141.19999999999999</v>
      </c>
      <c r="BH200" s="8">
        <v>114.4</v>
      </c>
      <c r="BI200" s="8">
        <v>91.4</v>
      </c>
      <c r="BJ200" s="8">
        <v>98.7</v>
      </c>
      <c r="BK200" s="8">
        <v>115.6</v>
      </c>
    </row>
    <row r="201" spans="1:63" x14ac:dyDescent="0.2">
      <c r="A201" s="9">
        <v>42430</v>
      </c>
      <c r="B201" s="8">
        <v>97.1</v>
      </c>
      <c r="C201" s="8">
        <v>100.3</v>
      </c>
      <c r="D201" s="8">
        <v>97.4</v>
      </c>
      <c r="E201" s="8">
        <v>101.8</v>
      </c>
      <c r="F201" s="8">
        <v>-1</v>
      </c>
      <c r="G201" s="8">
        <v>-4.4000000000000004</v>
      </c>
      <c r="H201" s="8">
        <v>0.1</v>
      </c>
      <c r="I201" s="8">
        <v>-1</v>
      </c>
      <c r="J201" s="8">
        <v>-6.1</v>
      </c>
      <c r="K201" s="8">
        <v>0.6</v>
      </c>
      <c r="L201" s="8">
        <v>120.7</v>
      </c>
      <c r="M201" s="8">
        <v>85.7</v>
      </c>
      <c r="N201" s="8">
        <v>102.6</v>
      </c>
      <c r="O201" s="8">
        <v>130.19999999999999</v>
      </c>
      <c r="P201" s="8">
        <v>109.5</v>
      </c>
      <c r="Q201" s="8">
        <v>110</v>
      </c>
      <c r="R201" s="8">
        <v>123.3</v>
      </c>
      <c r="S201" s="8">
        <v>129.30000000000001</v>
      </c>
      <c r="T201" s="8">
        <v>106.3</v>
      </c>
      <c r="U201" s="8">
        <v>51.6</v>
      </c>
      <c r="V201" s="8">
        <v>53.4</v>
      </c>
      <c r="W201" s="8">
        <v>77.8</v>
      </c>
      <c r="X201" s="8">
        <v>113</v>
      </c>
      <c r="Y201" s="8">
        <v>115.4</v>
      </c>
      <c r="Z201" s="8">
        <v>110.9</v>
      </c>
      <c r="AA201" s="8">
        <v>113.9</v>
      </c>
      <c r="AB201" s="8">
        <v>111.9</v>
      </c>
      <c r="AC201" s="8">
        <v>118.7</v>
      </c>
      <c r="AD201" s="8">
        <v>115.5</v>
      </c>
      <c r="AE201" s="8">
        <v>115</v>
      </c>
      <c r="AF201" s="8">
        <v>116.8</v>
      </c>
      <c r="AG201" s="8">
        <v>123.8</v>
      </c>
      <c r="AH201" s="8">
        <v>106.2</v>
      </c>
      <c r="AI201" s="8">
        <v>110</v>
      </c>
      <c r="AJ201" s="8">
        <v>86.3</v>
      </c>
      <c r="AK201" s="8">
        <v>104.6</v>
      </c>
      <c r="AL201" s="8">
        <v>109.6</v>
      </c>
      <c r="AM201" s="8">
        <v>98.8</v>
      </c>
      <c r="AN201" s="8">
        <v>103.2</v>
      </c>
      <c r="AO201" s="8">
        <v>103</v>
      </c>
      <c r="AP201" s="8">
        <v>112.2</v>
      </c>
      <c r="AQ201" s="8">
        <v>107.1</v>
      </c>
      <c r="AR201" s="8">
        <v>111.4</v>
      </c>
      <c r="AS201" s="8">
        <v>92.4</v>
      </c>
      <c r="AT201" s="8">
        <v>95.6</v>
      </c>
      <c r="AU201" s="8">
        <v>86.7</v>
      </c>
      <c r="AV201" s="8">
        <v>88</v>
      </c>
      <c r="AW201" s="8">
        <v>97.8</v>
      </c>
      <c r="AX201" s="8">
        <v>118.5</v>
      </c>
      <c r="AY201" s="8">
        <v>119.6</v>
      </c>
      <c r="AZ201" s="8">
        <v>114.3</v>
      </c>
      <c r="BA201" s="8">
        <v>156.69999999999999</v>
      </c>
      <c r="BB201" s="8">
        <v>111.9</v>
      </c>
      <c r="BC201" s="8">
        <v>112.4</v>
      </c>
      <c r="BD201" s="8">
        <v>114</v>
      </c>
      <c r="BE201" s="8">
        <v>112</v>
      </c>
      <c r="BF201" s="8">
        <v>131.5</v>
      </c>
      <c r="BG201" s="8">
        <v>128.6</v>
      </c>
      <c r="BH201" s="8">
        <v>112.9</v>
      </c>
      <c r="BI201" s="8">
        <v>90.3</v>
      </c>
      <c r="BJ201" s="8">
        <v>100.3</v>
      </c>
      <c r="BK201" s="8">
        <v>114.9</v>
      </c>
    </row>
    <row r="202" spans="1:63" x14ac:dyDescent="0.2">
      <c r="A202" s="9">
        <v>42522</v>
      </c>
      <c r="B202" s="8">
        <v>98</v>
      </c>
      <c r="C202" s="8">
        <v>101.2</v>
      </c>
      <c r="D202" s="8">
        <v>98.3</v>
      </c>
      <c r="E202" s="8">
        <v>102.1</v>
      </c>
      <c r="F202" s="8">
        <v>0.9</v>
      </c>
      <c r="G202" s="8">
        <v>0.9</v>
      </c>
      <c r="H202" s="8">
        <v>0.9</v>
      </c>
      <c r="I202" s="8">
        <v>-1.9</v>
      </c>
      <c r="J202" s="8">
        <v>-7.3</v>
      </c>
      <c r="K202" s="8">
        <v>-0.2</v>
      </c>
      <c r="L202" s="8">
        <v>120.6</v>
      </c>
      <c r="M202" s="8">
        <v>82.1</v>
      </c>
      <c r="N202" s="8">
        <v>105.4</v>
      </c>
      <c r="O202" s="8">
        <v>127.7</v>
      </c>
      <c r="P202" s="8">
        <v>108.2</v>
      </c>
      <c r="Q202" s="8">
        <v>119.3</v>
      </c>
      <c r="R202" s="8">
        <v>123.3</v>
      </c>
      <c r="S202" s="8">
        <v>124.4</v>
      </c>
      <c r="T202" s="8">
        <v>107.8</v>
      </c>
      <c r="U202" s="8">
        <v>57</v>
      </c>
      <c r="V202" s="8">
        <v>58.9</v>
      </c>
      <c r="W202" s="8">
        <v>80.8</v>
      </c>
      <c r="X202" s="8">
        <v>114.5</v>
      </c>
      <c r="Y202" s="8">
        <v>118.2</v>
      </c>
      <c r="Z202" s="8">
        <v>110.9</v>
      </c>
      <c r="AA202" s="8">
        <v>111</v>
      </c>
      <c r="AB202" s="8">
        <v>106.7</v>
      </c>
      <c r="AC202" s="8">
        <v>118.9</v>
      </c>
      <c r="AD202" s="8">
        <v>112</v>
      </c>
      <c r="AE202" s="8">
        <v>110.9</v>
      </c>
      <c r="AF202" s="8">
        <v>117.3</v>
      </c>
      <c r="AG202" s="8">
        <v>124.7</v>
      </c>
      <c r="AH202" s="8">
        <v>106.2</v>
      </c>
      <c r="AI202" s="8">
        <v>108.9</v>
      </c>
      <c r="AJ202" s="8">
        <v>87.1</v>
      </c>
      <c r="AK202" s="8">
        <v>99</v>
      </c>
      <c r="AL202" s="8">
        <v>98.7</v>
      </c>
      <c r="AM202" s="8">
        <v>92.6</v>
      </c>
      <c r="AN202" s="8">
        <v>103</v>
      </c>
      <c r="AO202" s="8">
        <v>102.8</v>
      </c>
      <c r="AP202" s="8">
        <v>112</v>
      </c>
      <c r="AQ202" s="8">
        <v>109</v>
      </c>
      <c r="AR202" s="8">
        <v>110.8</v>
      </c>
      <c r="AS202" s="8">
        <v>93.2</v>
      </c>
      <c r="AT202" s="8">
        <v>95.9</v>
      </c>
      <c r="AU202" s="8">
        <v>86.6</v>
      </c>
      <c r="AV202" s="8">
        <v>90.2</v>
      </c>
      <c r="AW202" s="8">
        <v>97.7</v>
      </c>
      <c r="AX202" s="8">
        <v>118.9</v>
      </c>
      <c r="AY202" s="8">
        <v>118.4</v>
      </c>
      <c r="AZ202" s="8">
        <v>112.8</v>
      </c>
      <c r="BA202" s="8">
        <v>158.9</v>
      </c>
      <c r="BB202" s="8">
        <v>111.1</v>
      </c>
      <c r="BC202" s="8">
        <v>113.4</v>
      </c>
      <c r="BD202" s="8">
        <v>113.9</v>
      </c>
      <c r="BE202" s="8">
        <v>111.6</v>
      </c>
      <c r="BF202" s="8">
        <v>131.4</v>
      </c>
      <c r="BG202" s="8">
        <v>122.7</v>
      </c>
      <c r="BH202" s="8">
        <v>112.4</v>
      </c>
      <c r="BI202" s="8">
        <v>91</v>
      </c>
      <c r="BJ202" s="8">
        <v>98.2</v>
      </c>
      <c r="BK202" s="8">
        <v>118.4</v>
      </c>
    </row>
    <row r="203" spans="1:63" x14ac:dyDescent="0.2">
      <c r="A203" s="9">
        <v>42614</v>
      </c>
      <c r="B203" s="8">
        <v>100</v>
      </c>
      <c r="C203" s="8">
        <v>102.8</v>
      </c>
      <c r="D203" s="8">
        <v>100.5</v>
      </c>
      <c r="E203" s="8">
        <v>104</v>
      </c>
      <c r="F203" s="8">
        <v>2</v>
      </c>
      <c r="G203" s="8">
        <v>1.6</v>
      </c>
      <c r="H203" s="8">
        <v>2.2000000000000002</v>
      </c>
      <c r="I203" s="8">
        <v>-0.1</v>
      </c>
      <c r="J203" s="8">
        <v>-4.2</v>
      </c>
      <c r="K203" s="8">
        <v>1.3</v>
      </c>
      <c r="L203" s="8">
        <v>126.8</v>
      </c>
      <c r="M203" s="8">
        <v>82.1</v>
      </c>
      <c r="N203" s="8">
        <v>108.4</v>
      </c>
      <c r="O203" s="8">
        <v>140.69999999999999</v>
      </c>
      <c r="P203" s="8">
        <v>126</v>
      </c>
      <c r="Q203" s="8">
        <v>104.8</v>
      </c>
      <c r="R203" s="8">
        <v>123.3</v>
      </c>
      <c r="S203" s="8">
        <v>123.2</v>
      </c>
      <c r="T203" s="8">
        <v>105.8</v>
      </c>
      <c r="U203" s="8">
        <v>69.2</v>
      </c>
      <c r="V203" s="8">
        <v>61.5</v>
      </c>
      <c r="W203" s="8">
        <v>85.1</v>
      </c>
      <c r="X203" s="8">
        <v>114.8</v>
      </c>
      <c r="Y203" s="8">
        <v>119.4</v>
      </c>
      <c r="Z203" s="8">
        <v>110.2</v>
      </c>
      <c r="AA203" s="8">
        <v>111.5</v>
      </c>
      <c r="AB203" s="8">
        <v>107.5</v>
      </c>
      <c r="AC203" s="8">
        <v>119.6</v>
      </c>
      <c r="AD203" s="8">
        <v>112.5</v>
      </c>
      <c r="AE203" s="8">
        <v>109.7</v>
      </c>
      <c r="AF203" s="8">
        <v>119.4</v>
      </c>
      <c r="AG203" s="8">
        <v>127.2</v>
      </c>
      <c r="AH203" s="8">
        <v>106.9</v>
      </c>
      <c r="AI203" s="8">
        <v>108.4</v>
      </c>
      <c r="AJ203" s="8">
        <v>89.6</v>
      </c>
      <c r="AK203" s="8">
        <v>97.8</v>
      </c>
      <c r="AL203" s="8">
        <v>95.1</v>
      </c>
      <c r="AM203" s="8">
        <v>92.2</v>
      </c>
      <c r="AN203" s="8">
        <v>102.9</v>
      </c>
      <c r="AO203" s="8">
        <v>102.5</v>
      </c>
      <c r="AP203" s="8">
        <v>113.3</v>
      </c>
      <c r="AQ203" s="8">
        <v>108.9</v>
      </c>
      <c r="AR203" s="8">
        <v>110.7</v>
      </c>
      <c r="AS203" s="8">
        <v>94.3</v>
      </c>
      <c r="AT203" s="8">
        <v>94.4</v>
      </c>
      <c r="AU203" s="8">
        <v>88</v>
      </c>
      <c r="AV203" s="8">
        <v>95.2</v>
      </c>
      <c r="AW203" s="8">
        <v>97.4</v>
      </c>
      <c r="AX203" s="8">
        <v>122.3</v>
      </c>
      <c r="AY203" s="8">
        <v>118.8</v>
      </c>
      <c r="AZ203" s="8">
        <v>113.3</v>
      </c>
      <c r="BA203" s="8">
        <v>157.69999999999999</v>
      </c>
      <c r="BB203" s="8">
        <v>111.1</v>
      </c>
      <c r="BC203" s="8">
        <v>111.2</v>
      </c>
      <c r="BD203" s="8">
        <v>113.8</v>
      </c>
      <c r="BE203" s="8">
        <v>110.8</v>
      </c>
      <c r="BF203" s="8">
        <v>131.30000000000001</v>
      </c>
      <c r="BG203" s="8">
        <v>122.3</v>
      </c>
      <c r="BH203" s="8">
        <v>114.5</v>
      </c>
      <c r="BI203" s="8">
        <v>92.7</v>
      </c>
      <c r="BJ203" s="8">
        <v>97</v>
      </c>
      <c r="BK203" s="8">
        <v>120.4</v>
      </c>
    </row>
    <row r="204" spans="1:63" x14ac:dyDescent="0.2">
      <c r="A204" s="9">
        <v>42705</v>
      </c>
      <c r="B204" s="8">
        <v>100.3</v>
      </c>
      <c r="C204" s="8">
        <v>103</v>
      </c>
      <c r="D204" s="8">
        <v>100.8</v>
      </c>
      <c r="E204" s="8">
        <v>104</v>
      </c>
      <c r="F204" s="8">
        <v>0.3</v>
      </c>
      <c r="G204" s="8">
        <v>0.2</v>
      </c>
      <c r="H204" s="8">
        <v>0.3</v>
      </c>
      <c r="I204" s="8">
        <v>2.2000000000000002</v>
      </c>
      <c r="J204" s="8">
        <v>-1.8</v>
      </c>
      <c r="K204" s="8">
        <v>3.6</v>
      </c>
      <c r="L204" s="8">
        <v>124.3</v>
      </c>
      <c r="M204" s="8">
        <v>85.3</v>
      </c>
      <c r="N204" s="8">
        <v>111.4</v>
      </c>
      <c r="O204" s="8">
        <v>137.1</v>
      </c>
      <c r="P204" s="8">
        <v>143</v>
      </c>
      <c r="Q204" s="8">
        <v>91.6</v>
      </c>
      <c r="R204" s="8">
        <v>123.3</v>
      </c>
      <c r="S204" s="8">
        <v>121.7</v>
      </c>
      <c r="T204" s="8">
        <v>105.6</v>
      </c>
      <c r="U204" s="8">
        <v>124.4</v>
      </c>
      <c r="V204" s="8">
        <v>64.599999999999994</v>
      </c>
      <c r="W204" s="8">
        <v>84.8</v>
      </c>
      <c r="X204" s="8">
        <v>115.6</v>
      </c>
      <c r="Y204" s="8">
        <v>119.2</v>
      </c>
      <c r="Z204" s="8">
        <v>112.1</v>
      </c>
      <c r="AA204" s="8">
        <v>110.4</v>
      </c>
      <c r="AB204" s="8">
        <v>105</v>
      </c>
      <c r="AC204" s="8">
        <v>120.1</v>
      </c>
      <c r="AD204" s="8">
        <v>111.1</v>
      </c>
      <c r="AE204" s="8">
        <v>109.7</v>
      </c>
      <c r="AF204" s="8">
        <v>117.2</v>
      </c>
      <c r="AG204" s="8">
        <v>124.1</v>
      </c>
      <c r="AH204" s="8">
        <v>106.9</v>
      </c>
      <c r="AI204" s="8">
        <v>107.7</v>
      </c>
      <c r="AJ204" s="8">
        <v>94</v>
      </c>
      <c r="AK204" s="8">
        <v>96.6</v>
      </c>
      <c r="AL204" s="8">
        <v>97.1</v>
      </c>
      <c r="AM204" s="8">
        <v>91.7</v>
      </c>
      <c r="AN204" s="8">
        <v>103.1</v>
      </c>
      <c r="AO204" s="8">
        <v>102.7</v>
      </c>
      <c r="AP204" s="8">
        <v>113.4</v>
      </c>
      <c r="AQ204" s="8">
        <v>109.5</v>
      </c>
      <c r="AR204" s="8">
        <v>110.9</v>
      </c>
      <c r="AS204" s="8">
        <v>94.4</v>
      </c>
      <c r="AT204" s="8">
        <v>92.6</v>
      </c>
      <c r="AU204" s="8">
        <v>88.3</v>
      </c>
      <c r="AV204" s="8">
        <v>97.8</v>
      </c>
      <c r="AW204" s="8">
        <v>97.6</v>
      </c>
      <c r="AX204" s="8">
        <v>123</v>
      </c>
      <c r="AY204" s="8">
        <v>118.6</v>
      </c>
      <c r="AZ204" s="8">
        <v>113.7</v>
      </c>
      <c r="BA204" s="8">
        <v>147.80000000000001</v>
      </c>
      <c r="BB204" s="8">
        <v>110.9</v>
      </c>
      <c r="BC204" s="8">
        <v>109</v>
      </c>
      <c r="BD204" s="8">
        <v>113.8</v>
      </c>
      <c r="BE204" s="8">
        <v>110.6</v>
      </c>
      <c r="BF204" s="8">
        <v>131.30000000000001</v>
      </c>
      <c r="BG204" s="8">
        <v>121.3</v>
      </c>
      <c r="BH204" s="8">
        <v>114.9</v>
      </c>
      <c r="BI204" s="8">
        <v>94.4</v>
      </c>
      <c r="BJ204" s="8">
        <v>99.8</v>
      </c>
      <c r="BK204" s="8">
        <v>120.1</v>
      </c>
    </row>
    <row r="205" spans="1:63" x14ac:dyDescent="0.2">
      <c r="A205" s="9">
        <v>42795</v>
      </c>
      <c r="B205" s="8">
        <v>102</v>
      </c>
      <c r="C205" s="8">
        <v>106</v>
      </c>
      <c r="D205" s="8">
        <v>102.2</v>
      </c>
      <c r="E205" s="8">
        <v>105.3</v>
      </c>
      <c r="F205" s="8">
        <v>1.7</v>
      </c>
      <c r="G205" s="8">
        <v>2.9</v>
      </c>
      <c r="H205" s="8">
        <v>1.4</v>
      </c>
      <c r="I205" s="8">
        <v>5</v>
      </c>
      <c r="J205" s="8">
        <v>5.7</v>
      </c>
      <c r="K205" s="8">
        <v>4.9000000000000004</v>
      </c>
      <c r="L205" s="8">
        <v>124.7</v>
      </c>
      <c r="M205" s="8">
        <v>88.1</v>
      </c>
      <c r="N205" s="8">
        <v>114.2</v>
      </c>
      <c r="O205" s="8">
        <v>135.19999999999999</v>
      </c>
      <c r="P205" s="8">
        <v>153.19999999999999</v>
      </c>
      <c r="Q205" s="8">
        <v>95.3</v>
      </c>
      <c r="R205" s="8">
        <v>123.3</v>
      </c>
      <c r="S205" s="8">
        <v>119.3</v>
      </c>
      <c r="T205" s="8">
        <v>106.6</v>
      </c>
      <c r="U205" s="8">
        <v>93.3</v>
      </c>
      <c r="V205" s="8">
        <v>71.099999999999994</v>
      </c>
      <c r="W205" s="8">
        <v>87.7</v>
      </c>
      <c r="X205" s="8">
        <v>117.7</v>
      </c>
      <c r="Y205" s="8">
        <v>119.3</v>
      </c>
      <c r="Z205" s="8">
        <v>116.3</v>
      </c>
      <c r="AA205" s="8">
        <v>109.6</v>
      </c>
      <c r="AB205" s="8">
        <v>102.3</v>
      </c>
      <c r="AC205" s="8">
        <v>120</v>
      </c>
      <c r="AD205" s="8">
        <v>109.6</v>
      </c>
      <c r="AE205" s="8">
        <v>109.6</v>
      </c>
      <c r="AF205" s="8">
        <v>118.6</v>
      </c>
      <c r="AG205" s="8">
        <v>125.6</v>
      </c>
      <c r="AH205" s="8">
        <v>107.6</v>
      </c>
      <c r="AI205" s="8">
        <v>108.1</v>
      </c>
      <c r="AJ205" s="8">
        <v>96.4</v>
      </c>
      <c r="AK205" s="8">
        <v>100.9</v>
      </c>
      <c r="AL205" s="8">
        <v>103.3</v>
      </c>
      <c r="AM205" s="8">
        <v>96</v>
      </c>
      <c r="AN205" s="8">
        <v>102.9</v>
      </c>
      <c r="AO205" s="8">
        <v>102.4</v>
      </c>
      <c r="AP205" s="8">
        <v>113.2</v>
      </c>
      <c r="AQ205" s="8">
        <v>109.3</v>
      </c>
      <c r="AR205" s="8">
        <v>111.1</v>
      </c>
      <c r="AS205" s="8">
        <v>96.9</v>
      </c>
      <c r="AT205" s="8">
        <v>93.6</v>
      </c>
      <c r="AU205" s="8">
        <v>89.7</v>
      </c>
      <c r="AV205" s="8">
        <v>103</v>
      </c>
      <c r="AW205" s="8">
        <v>99.7</v>
      </c>
      <c r="AX205" s="8">
        <v>123.8</v>
      </c>
      <c r="AY205" s="8">
        <v>117.7</v>
      </c>
      <c r="AZ205" s="8">
        <v>112.8</v>
      </c>
      <c r="BA205" s="8">
        <v>148.30000000000001</v>
      </c>
      <c r="BB205" s="8">
        <v>110.5</v>
      </c>
      <c r="BC205" s="8">
        <v>108.4</v>
      </c>
      <c r="BD205" s="8">
        <v>113.8</v>
      </c>
      <c r="BE205" s="8">
        <v>108.6</v>
      </c>
      <c r="BF205" s="8">
        <v>131.30000000000001</v>
      </c>
      <c r="BG205" s="8">
        <v>122.2</v>
      </c>
      <c r="BH205" s="8">
        <v>113.5</v>
      </c>
      <c r="BI205" s="8">
        <v>95.4</v>
      </c>
      <c r="BJ205" s="8">
        <v>104.7</v>
      </c>
      <c r="BK205" s="8">
        <v>128.4</v>
      </c>
    </row>
    <row r="206" spans="1:63" x14ac:dyDescent="0.2">
      <c r="A206" s="9">
        <v>42887</v>
      </c>
      <c r="B206" s="8">
        <v>102.1</v>
      </c>
      <c r="C206" s="8">
        <v>105.6</v>
      </c>
      <c r="D206" s="8">
        <v>102.4</v>
      </c>
      <c r="E206" s="8">
        <v>105.8</v>
      </c>
      <c r="F206" s="8">
        <v>0.1</v>
      </c>
      <c r="G206" s="8">
        <v>-0.4</v>
      </c>
      <c r="H206" s="8">
        <v>0.2</v>
      </c>
      <c r="I206" s="8">
        <v>4.2</v>
      </c>
      <c r="J206" s="8">
        <v>4.3</v>
      </c>
      <c r="K206" s="8">
        <v>4.2</v>
      </c>
      <c r="L206" s="8">
        <v>128.4</v>
      </c>
      <c r="M206" s="8">
        <v>83.3</v>
      </c>
      <c r="N206" s="8">
        <v>135.4</v>
      </c>
      <c r="O206" s="8">
        <v>136.80000000000001</v>
      </c>
      <c r="P206" s="8">
        <v>143</v>
      </c>
      <c r="Q206" s="8">
        <v>107.2</v>
      </c>
      <c r="R206" s="8">
        <v>123.3</v>
      </c>
      <c r="S206" s="8">
        <v>105.2</v>
      </c>
      <c r="T206" s="8">
        <v>105.1</v>
      </c>
      <c r="U206" s="8">
        <v>109.6</v>
      </c>
      <c r="V206" s="8">
        <v>67.5</v>
      </c>
      <c r="W206" s="8">
        <v>82.3</v>
      </c>
      <c r="X206" s="8">
        <v>117.7</v>
      </c>
      <c r="Y206" s="8">
        <v>118.7</v>
      </c>
      <c r="Z206" s="8">
        <v>117.1</v>
      </c>
      <c r="AA206" s="8">
        <v>111.5</v>
      </c>
      <c r="AB206" s="8">
        <v>104.5</v>
      </c>
      <c r="AC206" s="8">
        <v>121</v>
      </c>
      <c r="AD206" s="8">
        <v>111.4</v>
      </c>
      <c r="AE206" s="8">
        <v>110.7</v>
      </c>
      <c r="AF206" s="8">
        <v>119.3</v>
      </c>
      <c r="AG206" s="8">
        <v>125.9</v>
      </c>
      <c r="AH206" s="8">
        <v>108.5</v>
      </c>
      <c r="AI206" s="8">
        <v>108.7</v>
      </c>
      <c r="AJ206" s="8">
        <v>96.5</v>
      </c>
      <c r="AK206" s="8">
        <v>104.8</v>
      </c>
      <c r="AL206" s="8">
        <v>109.1</v>
      </c>
      <c r="AM206" s="8">
        <v>101</v>
      </c>
      <c r="AN206" s="8">
        <v>103.6</v>
      </c>
      <c r="AO206" s="8">
        <v>103.1</v>
      </c>
      <c r="AP206" s="8">
        <v>113.5</v>
      </c>
      <c r="AQ206" s="8">
        <v>111.2</v>
      </c>
      <c r="AR206" s="8">
        <v>112.4</v>
      </c>
      <c r="AS206" s="8">
        <v>99.9</v>
      </c>
      <c r="AT206" s="8">
        <v>97.2</v>
      </c>
      <c r="AU206" s="8">
        <v>97.4</v>
      </c>
      <c r="AV206" s="8">
        <v>104</v>
      </c>
      <c r="AW206" s="8">
        <v>101.2</v>
      </c>
      <c r="AX206" s="8">
        <v>128.30000000000001</v>
      </c>
      <c r="AY206" s="8">
        <v>114</v>
      </c>
      <c r="AZ206" s="8">
        <v>108.6</v>
      </c>
      <c r="BA206" s="8">
        <v>150.19999999999999</v>
      </c>
      <c r="BB206" s="8">
        <v>110.6</v>
      </c>
      <c r="BC206" s="8">
        <v>108.7</v>
      </c>
      <c r="BD206" s="8">
        <v>113.8</v>
      </c>
      <c r="BE206" s="8">
        <v>106.5</v>
      </c>
      <c r="BF206" s="8">
        <v>131.4</v>
      </c>
      <c r="BG206" s="8">
        <v>122.9</v>
      </c>
      <c r="BH206" s="8">
        <v>113.4</v>
      </c>
      <c r="BI206" s="8">
        <v>98.2</v>
      </c>
      <c r="BJ206" s="8">
        <v>107</v>
      </c>
      <c r="BK206" s="8">
        <v>128.80000000000001</v>
      </c>
    </row>
    <row r="207" spans="1:63" x14ac:dyDescent="0.2">
      <c r="A207" s="9">
        <v>42979</v>
      </c>
      <c r="B207" s="8">
        <v>101.5</v>
      </c>
      <c r="C207" s="8">
        <v>104.3</v>
      </c>
      <c r="D207" s="8">
        <v>102</v>
      </c>
      <c r="E207" s="8">
        <v>105.3</v>
      </c>
      <c r="F207" s="8">
        <v>-0.6</v>
      </c>
      <c r="G207" s="8">
        <v>-1.2</v>
      </c>
      <c r="H207" s="8">
        <v>-0.4</v>
      </c>
      <c r="I207" s="8">
        <v>1.5</v>
      </c>
      <c r="J207" s="8">
        <v>1.5</v>
      </c>
      <c r="K207" s="8">
        <v>1.5</v>
      </c>
      <c r="L207" s="8">
        <v>125.9</v>
      </c>
      <c r="M207" s="8">
        <v>85.1</v>
      </c>
      <c r="N207" s="8">
        <v>135.80000000000001</v>
      </c>
      <c r="O207" s="8">
        <v>133.30000000000001</v>
      </c>
      <c r="P207" s="8">
        <v>131.30000000000001</v>
      </c>
      <c r="Q207" s="8">
        <v>109.7</v>
      </c>
      <c r="R207" s="8">
        <v>122.5</v>
      </c>
      <c r="S207" s="8">
        <v>95.9</v>
      </c>
      <c r="T207" s="8">
        <v>106</v>
      </c>
      <c r="U207" s="8">
        <v>99.1</v>
      </c>
      <c r="V207" s="8">
        <v>66.900000000000006</v>
      </c>
      <c r="W207" s="8">
        <v>83.1</v>
      </c>
      <c r="X207" s="8">
        <v>119.9</v>
      </c>
      <c r="Y207" s="8">
        <v>118.1</v>
      </c>
      <c r="Z207" s="8">
        <v>122.4</v>
      </c>
      <c r="AA207" s="8">
        <v>108.9</v>
      </c>
      <c r="AB207" s="8">
        <v>99.9</v>
      </c>
      <c r="AC207" s="8">
        <v>122.4</v>
      </c>
      <c r="AD207" s="8">
        <v>108.8</v>
      </c>
      <c r="AE207" s="8">
        <v>106.5</v>
      </c>
      <c r="AF207" s="8">
        <v>119.8</v>
      </c>
      <c r="AG207" s="8">
        <v>126.5</v>
      </c>
      <c r="AH207" s="8">
        <v>108.9</v>
      </c>
      <c r="AI207" s="8">
        <v>109.3</v>
      </c>
      <c r="AJ207" s="8">
        <v>97</v>
      </c>
      <c r="AK207" s="8">
        <v>102.4</v>
      </c>
      <c r="AL207" s="8">
        <v>109.1</v>
      </c>
      <c r="AM207" s="8">
        <v>100.4</v>
      </c>
      <c r="AN207" s="8">
        <v>104.1</v>
      </c>
      <c r="AO207" s="8">
        <v>103.6</v>
      </c>
      <c r="AP207" s="8">
        <v>113.5</v>
      </c>
      <c r="AQ207" s="8">
        <v>111.4</v>
      </c>
      <c r="AR207" s="8">
        <v>111.5</v>
      </c>
      <c r="AS207" s="8">
        <v>101.1</v>
      </c>
      <c r="AT207" s="8">
        <v>98.8</v>
      </c>
      <c r="AU207" s="8">
        <v>98</v>
      </c>
      <c r="AV207" s="8">
        <v>104.7</v>
      </c>
      <c r="AW207" s="8">
        <v>102.1</v>
      </c>
      <c r="AX207" s="8">
        <v>129.4</v>
      </c>
      <c r="AY207" s="8">
        <v>113.2</v>
      </c>
      <c r="AZ207" s="8">
        <v>108</v>
      </c>
      <c r="BA207" s="8">
        <v>145.9</v>
      </c>
      <c r="BB207" s="8">
        <v>109.6</v>
      </c>
      <c r="BC207" s="8">
        <v>108.7</v>
      </c>
      <c r="BD207" s="8">
        <v>113.7</v>
      </c>
      <c r="BE207" s="8">
        <v>105.9</v>
      </c>
      <c r="BF207" s="8">
        <v>131.19999999999999</v>
      </c>
      <c r="BG207" s="8">
        <v>117.8</v>
      </c>
      <c r="BH207" s="8">
        <v>113</v>
      </c>
      <c r="BI207" s="8">
        <v>96.9</v>
      </c>
      <c r="BJ207" s="8">
        <v>114.5</v>
      </c>
      <c r="BK207" s="8">
        <v>133.1</v>
      </c>
    </row>
    <row r="208" spans="1:63" x14ac:dyDescent="0.2">
      <c r="A208" s="9">
        <v>43070</v>
      </c>
      <c r="B208" s="8">
        <v>103.3</v>
      </c>
      <c r="C208" s="8">
        <v>108.7</v>
      </c>
      <c r="D208" s="8">
        <v>103.1</v>
      </c>
      <c r="E208" s="8">
        <v>106.4</v>
      </c>
      <c r="F208" s="8">
        <v>1.8</v>
      </c>
      <c r="G208" s="8">
        <v>4.2</v>
      </c>
      <c r="H208" s="8">
        <v>1.1000000000000001</v>
      </c>
      <c r="I208" s="8">
        <v>3</v>
      </c>
      <c r="J208" s="8">
        <v>5.5</v>
      </c>
      <c r="K208" s="8">
        <v>2.2999999999999998</v>
      </c>
      <c r="L208" s="8">
        <v>120.4</v>
      </c>
      <c r="M208" s="8">
        <v>87</v>
      </c>
      <c r="N208" s="8">
        <v>125</v>
      </c>
      <c r="O208" s="8">
        <v>130.1</v>
      </c>
      <c r="P208" s="8">
        <v>112.5</v>
      </c>
      <c r="Q208" s="8">
        <v>98.6</v>
      </c>
      <c r="R208" s="8">
        <v>123.3</v>
      </c>
      <c r="S208" s="8">
        <v>97.7</v>
      </c>
      <c r="T208" s="8">
        <v>108.3</v>
      </c>
      <c r="U208" s="8">
        <v>108</v>
      </c>
      <c r="V208" s="8">
        <v>77.5</v>
      </c>
      <c r="W208" s="8">
        <v>85.3</v>
      </c>
      <c r="X208" s="8">
        <v>124.1</v>
      </c>
      <c r="Y208" s="8">
        <v>125.5</v>
      </c>
      <c r="Z208" s="8">
        <v>123</v>
      </c>
      <c r="AA208" s="8">
        <v>110.4</v>
      </c>
      <c r="AB208" s="8">
        <v>102.6</v>
      </c>
      <c r="AC208" s="8">
        <v>121.4</v>
      </c>
      <c r="AD208" s="8">
        <v>110.7</v>
      </c>
      <c r="AE208" s="8">
        <v>106.7</v>
      </c>
      <c r="AF208" s="8">
        <v>135.4</v>
      </c>
      <c r="AG208" s="8">
        <v>148.30000000000001</v>
      </c>
      <c r="AH208" s="8">
        <v>108.9</v>
      </c>
      <c r="AI208" s="8">
        <v>111.7</v>
      </c>
      <c r="AJ208" s="8">
        <v>99.4</v>
      </c>
      <c r="AK208" s="8">
        <v>108.1</v>
      </c>
      <c r="AL208" s="8">
        <v>115.6</v>
      </c>
      <c r="AM208" s="8">
        <v>107.3</v>
      </c>
      <c r="AN208" s="8">
        <v>103.5</v>
      </c>
      <c r="AO208" s="8">
        <v>102.9</v>
      </c>
      <c r="AP208" s="8">
        <v>109.9</v>
      </c>
      <c r="AQ208" s="8">
        <v>111.7</v>
      </c>
      <c r="AR208" s="8">
        <v>112</v>
      </c>
      <c r="AS208" s="8">
        <v>106</v>
      </c>
      <c r="AT208" s="8">
        <v>102.8</v>
      </c>
      <c r="AU208" s="8">
        <v>100.4</v>
      </c>
      <c r="AV208" s="8">
        <v>112.3</v>
      </c>
      <c r="AW208" s="8">
        <v>104.6</v>
      </c>
      <c r="AX208" s="8">
        <v>129.4</v>
      </c>
      <c r="AY208" s="8">
        <v>112.3</v>
      </c>
      <c r="AZ208" s="8">
        <v>106.9</v>
      </c>
      <c r="BA208" s="8">
        <v>147.5</v>
      </c>
      <c r="BB208" s="8">
        <v>109.8</v>
      </c>
      <c r="BC208" s="8">
        <v>108.6</v>
      </c>
      <c r="BD208" s="8">
        <v>113.7</v>
      </c>
      <c r="BE208" s="8">
        <v>105.7</v>
      </c>
      <c r="BF208" s="8">
        <v>131.19999999999999</v>
      </c>
      <c r="BG208" s="8">
        <v>117.8</v>
      </c>
      <c r="BH208" s="8">
        <v>112.9</v>
      </c>
      <c r="BI208" s="8">
        <v>95.7</v>
      </c>
      <c r="BJ208" s="8">
        <v>121.6</v>
      </c>
      <c r="BK208" s="8">
        <v>137.5</v>
      </c>
    </row>
    <row r="209" spans="1:63" x14ac:dyDescent="0.2">
      <c r="A209" s="9">
        <v>43160</v>
      </c>
      <c r="B209" s="8">
        <v>106.2</v>
      </c>
      <c r="C209" s="8">
        <v>113.2</v>
      </c>
      <c r="D209" s="8">
        <v>105.4</v>
      </c>
      <c r="E209" s="8">
        <v>109</v>
      </c>
      <c r="F209" s="8">
        <v>2.8</v>
      </c>
      <c r="G209" s="8">
        <v>4.0999999999999996</v>
      </c>
      <c r="H209" s="8">
        <v>2.2000000000000002</v>
      </c>
      <c r="I209" s="8">
        <v>4.0999999999999996</v>
      </c>
      <c r="J209" s="8">
        <v>6.8</v>
      </c>
      <c r="K209" s="8">
        <v>3.1</v>
      </c>
      <c r="L209" s="8">
        <v>121</v>
      </c>
      <c r="M209" s="8">
        <v>83.5</v>
      </c>
      <c r="N209" s="8">
        <v>130.1</v>
      </c>
      <c r="O209" s="8">
        <v>129.30000000000001</v>
      </c>
      <c r="P209" s="8">
        <v>103.6</v>
      </c>
      <c r="Q209" s="8">
        <v>106</v>
      </c>
      <c r="R209" s="8">
        <v>124.1</v>
      </c>
      <c r="S209" s="8">
        <v>97.6</v>
      </c>
      <c r="T209" s="8">
        <v>106.2</v>
      </c>
      <c r="U209" s="8">
        <v>124.6</v>
      </c>
      <c r="V209" s="8">
        <v>83.9</v>
      </c>
      <c r="W209" s="8">
        <v>87</v>
      </c>
      <c r="X209" s="8">
        <v>127.6</v>
      </c>
      <c r="Y209" s="8">
        <v>126</v>
      </c>
      <c r="Z209" s="8">
        <v>129.9</v>
      </c>
      <c r="AA209" s="8">
        <v>110.9</v>
      </c>
      <c r="AB209" s="8">
        <v>100.7</v>
      </c>
      <c r="AC209" s="8">
        <v>121.2</v>
      </c>
      <c r="AD209" s="8">
        <v>109.8</v>
      </c>
      <c r="AE209" s="8">
        <v>106.4</v>
      </c>
      <c r="AF209" s="8">
        <v>137</v>
      </c>
      <c r="AG209" s="8">
        <v>150.30000000000001</v>
      </c>
      <c r="AH209" s="8">
        <v>109.1</v>
      </c>
      <c r="AI209" s="8">
        <v>113.3</v>
      </c>
      <c r="AJ209" s="8">
        <v>103.4</v>
      </c>
      <c r="AK209" s="8">
        <v>112.1</v>
      </c>
      <c r="AL209" s="8">
        <v>121.3</v>
      </c>
      <c r="AM209" s="8">
        <v>106.2</v>
      </c>
      <c r="AN209" s="8">
        <v>109</v>
      </c>
      <c r="AO209" s="8">
        <v>108.7</v>
      </c>
      <c r="AP209" s="8">
        <v>108.9</v>
      </c>
      <c r="AQ209" s="8">
        <v>112.5</v>
      </c>
      <c r="AR209" s="8">
        <v>113.4</v>
      </c>
      <c r="AS209" s="8">
        <v>109.9</v>
      </c>
      <c r="AT209" s="8">
        <v>108.1</v>
      </c>
      <c r="AU209" s="8">
        <v>109.8</v>
      </c>
      <c r="AV209" s="8">
        <v>113.1</v>
      </c>
      <c r="AW209" s="8">
        <v>105.7</v>
      </c>
      <c r="AX209" s="8">
        <v>131.6</v>
      </c>
      <c r="AY209" s="8">
        <v>114.1</v>
      </c>
      <c r="AZ209" s="8">
        <v>108.5</v>
      </c>
      <c r="BA209" s="8">
        <v>151.4</v>
      </c>
      <c r="BB209" s="8">
        <v>111.7</v>
      </c>
      <c r="BC209" s="8">
        <v>108.1</v>
      </c>
      <c r="BD209" s="8">
        <v>113.7</v>
      </c>
      <c r="BE209" s="8">
        <v>112.7</v>
      </c>
      <c r="BF209" s="8">
        <v>131.19999999999999</v>
      </c>
      <c r="BG209" s="8">
        <v>109.4</v>
      </c>
      <c r="BH209" s="8">
        <v>112.5</v>
      </c>
      <c r="BI209" s="8">
        <v>99.8</v>
      </c>
      <c r="BJ209" s="8">
        <v>131</v>
      </c>
      <c r="BK209" s="8">
        <v>148.9</v>
      </c>
    </row>
    <row r="210" spans="1:63" x14ac:dyDescent="0.2">
      <c r="A210" s="9">
        <v>43252</v>
      </c>
      <c r="B210" s="8">
        <v>108.6</v>
      </c>
      <c r="C210" s="8">
        <v>117.2</v>
      </c>
      <c r="D210" s="8">
        <v>107.3</v>
      </c>
      <c r="E210" s="8">
        <v>110.7</v>
      </c>
      <c r="F210" s="8">
        <v>2.2999999999999998</v>
      </c>
      <c r="G210" s="8">
        <v>3.5</v>
      </c>
      <c r="H210" s="8">
        <v>1.8</v>
      </c>
      <c r="I210" s="8">
        <v>6.4</v>
      </c>
      <c r="J210" s="8">
        <v>11</v>
      </c>
      <c r="K210" s="8">
        <v>4.8</v>
      </c>
      <c r="L210" s="8">
        <v>124</v>
      </c>
      <c r="M210" s="8">
        <v>80.400000000000006</v>
      </c>
      <c r="N210" s="8">
        <v>137.69999999999999</v>
      </c>
      <c r="O210" s="8">
        <v>130.80000000000001</v>
      </c>
      <c r="P210" s="8">
        <v>100.8</v>
      </c>
      <c r="Q210" s="8">
        <v>118.3</v>
      </c>
      <c r="R210" s="8">
        <v>123.3</v>
      </c>
      <c r="S210" s="8">
        <v>93.4</v>
      </c>
      <c r="T210" s="8">
        <v>105.3</v>
      </c>
      <c r="U210" s="8">
        <v>113.7</v>
      </c>
      <c r="V210" s="8">
        <v>92.5</v>
      </c>
      <c r="W210" s="8">
        <v>87.4</v>
      </c>
      <c r="X210" s="8">
        <v>124.8</v>
      </c>
      <c r="Y210" s="8">
        <v>121.8</v>
      </c>
      <c r="Z210" s="8">
        <v>128.80000000000001</v>
      </c>
      <c r="AA210" s="8">
        <v>111.5</v>
      </c>
      <c r="AB210" s="8">
        <v>99.7</v>
      </c>
      <c r="AC210" s="8">
        <v>121</v>
      </c>
      <c r="AD210" s="8">
        <v>109.7</v>
      </c>
      <c r="AE210" s="8">
        <v>110</v>
      </c>
      <c r="AF210" s="8">
        <v>138</v>
      </c>
      <c r="AG210" s="8">
        <v>151.30000000000001</v>
      </c>
      <c r="AH210" s="8">
        <v>109.4</v>
      </c>
      <c r="AI210" s="8">
        <v>115.5</v>
      </c>
      <c r="AJ210" s="8">
        <v>106.8</v>
      </c>
      <c r="AK210" s="8">
        <v>118.1</v>
      </c>
      <c r="AL210" s="8">
        <v>129.4</v>
      </c>
      <c r="AM210" s="8">
        <v>111.6</v>
      </c>
      <c r="AN210" s="8">
        <v>104.8</v>
      </c>
      <c r="AO210" s="8">
        <v>104.2</v>
      </c>
      <c r="AP210" s="8">
        <v>109.1</v>
      </c>
      <c r="AQ210" s="8">
        <v>114.2</v>
      </c>
      <c r="AR210" s="8">
        <v>115.4</v>
      </c>
      <c r="AS210" s="8">
        <v>114</v>
      </c>
      <c r="AT210" s="8">
        <v>110.5</v>
      </c>
      <c r="AU210" s="8">
        <v>118.1</v>
      </c>
      <c r="AV210" s="8">
        <v>118.8</v>
      </c>
      <c r="AW210" s="8">
        <v>107.5</v>
      </c>
      <c r="AX210" s="8">
        <v>130.19999999999999</v>
      </c>
      <c r="AY210" s="8">
        <v>115.4</v>
      </c>
      <c r="AZ210" s="8">
        <v>109.4</v>
      </c>
      <c r="BA210" s="8">
        <v>158.80000000000001</v>
      </c>
      <c r="BB210" s="8">
        <v>113.4</v>
      </c>
      <c r="BC210" s="8">
        <v>110.1</v>
      </c>
      <c r="BD210" s="8">
        <v>113.8</v>
      </c>
      <c r="BE210" s="8">
        <v>113.5</v>
      </c>
      <c r="BF210" s="8">
        <v>131.4</v>
      </c>
      <c r="BG210" s="8">
        <v>121.4</v>
      </c>
      <c r="BH210" s="8">
        <v>112.7</v>
      </c>
      <c r="BI210" s="8">
        <v>94.6</v>
      </c>
      <c r="BJ210" s="8">
        <v>131.69999999999999</v>
      </c>
      <c r="BK210" s="8">
        <v>149.9</v>
      </c>
    </row>
    <row r="211" spans="1:63" x14ac:dyDescent="0.2">
      <c r="A211" s="9">
        <v>43344</v>
      </c>
      <c r="B211" s="8">
        <v>109.5</v>
      </c>
      <c r="C211" s="8">
        <v>118.9</v>
      </c>
      <c r="D211" s="8">
        <v>108</v>
      </c>
      <c r="E211" s="8">
        <v>111.4</v>
      </c>
      <c r="F211" s="8">
        <v>0.8</v>
      </c>
      <c r="G211" s="8">
        <v>1.5</v>
      </c>
      <c r="H211" s="8">
        <v>0.7</v>
      </c>
      <c r="I211" s="8">
        <v>7.9</v>
      </c>
      <c r="J211" s="8">
        <v>14</v>
      </c>
      <c r="K211" s="8">
        <v>5.9</v>
      </c>
      <c r="L211" s="8">
        <v>130.19999999999999</v>
      </c>
      <c r="M211" s="8">
        <v>82.4</v>
      </c>
      <c r="N211" s="8">
        <v>134.9</v>
      </c>
      <c r="O211" s="8">
        <v>142.69999999999999</v>
      </c>
      <c r="P211" s="8">
        <v>102</v>
      </c>
      <c r="Q211" s="8">
        <v>115.8</v>
      </c>
      <c r="R211" s="8">
        <v>128.30000000000001</v>
      </c>
      <c r="S211" s="8">
        <v>90.5</v>
      </c>
      <c r="T211" s="8">
        <v>106.9</v>
      </c>
      <c r="U211" s="8">
        <v>114.8</v>
      </c>
      <c r="V211" s="8">
        <v>95.2</v>
      </c>
      <c r="W211" s="8">
        <v>83.9</v>
      </c>
      <c r="X211" s="8">
        <v>128.69999999999999</v>
      </c>
      <c r="Y211" s="8">
        <v>128.69999999999999</v>
      </c>
      <c r="Z211" s="8">
        <v>129.19999999999999</v>
      </c>
      <c r="AA211" s="8">
        <v>113.6</v>
      </c>
      <c r="AB211" s="8">
        <v>104.3</v>
      </c>
      <c r="AC211" s="8">
        <v>120.2</v>
      </c>
      <c r="AD211" s="8">
        <v>112.5</v>
      </c>
      <c r="AE211" s="8">
        <v>113.1</v>
      </c>
      <c r="AF211" s="8">
        <v>140.4</v>
      </c>
      <c r="AG211" s="8">
        <v>154.4</v>
      </c>
      <c r="AH211" s="8">
        <v>109.8</v>
      </c>
      <c r="AI211" s="8">
        <v>117.1</v>
      </c>
      <c r="AJ211" s="8">
        <v>111</v>
      </c>
      <c r="AK211" s="8">
        <v>122.5</v>
      </c>
      <c r="AL211" s="8">
        <v>133.9</v>
      </c>
      <c r="AM211" s="8">
        <v>113.4</v>
      </c>
      <c r="AN211" s="8">
        <v>106.5</v>
      </c>
      <c r="AO211" s="8">
        <v>105.9</v>
      </c>
      <c r="AP211" s="8">
        <v>109.6</v>
      </c>
      <c r="AQ211" s="8">
        <v>115.7</v>
      </c>
      <c r="AR211" s="8">
        <v>118</v>
      </c>
      <c r="AS211" s="8">
        <v>114.3</v>
      </c>
      <c r="AT211" s="8">
        <v>114</v>
      </c>
      <c r="AU211" s="8">
        <v>124.2</v>
      </c>
      <c r="AV211" s="8">
        <v>112.2</v>
      </c>
      <c r="AW211" s="8">
        <v>108</v>
      </c>
      <c r="AX211" s="8">
        <v>130.1</v>
      </c>
      <c r="AY211" s="8">
        <v>116.4</v>
      </c>
      <c r="AZ211" s="8">
        <v>110.1</v>
      </c>
      <c r="BA211" s="8">
        <v>164</v>
      </c>
      <c r="BB211" s="8">
        <v>113.7</v>
      </c>
      <c r="BC211" s="8">
        <v>111.3</v>
      </c>
      <c r="BD211" s="8">
        <v>113.9</v>
      </c>
      <c r="BE211" s="8">
        <v>115.8</v>
      </c>
      <c r="BF211" s="8">
        <v>131.5</v>
      </c>
      <c r="BG211" s="8">
        <v>117.3</v>
      </c>
      <c r="BH211" s="8">
        <v>112.9</v>
      </c>
      <c r="BI211" s="8">
        <v>92</v>
      </c>
      <c r="BJ211" s="8">
        <v>130</v>
      </c>
      <c r="BK211" s="8">
        <v>153.4</v>
      </c>
    </row>
    <row r="212" spans="1:63" x14ac:dyDescent="0.2">
      <c r="A212" s="9">
        <v>43435</v>
      </c>
      <c r="B212" s="8">
        <v>109.7</v>
      </c>
      <c r="C212" s="8">
        <v>119.2</v>
      </c>
      <c r="D212" s="8">
        <v>108.2</v>
      </c>
      <c r="E212" s="8">
        <v>111.7</v>
      </c>
      <c r="F212" s="8">
        <v>0.2</v>
      </c>
      <c r="G212" s="8">
        <v>0.3</v>
      </c>
      <c r="H212" s="8">
        <v>0.2</v>
      </c>
      <c r="I212" s="8">
        <v>6.2</v>
      </c>
      <c r="J212" s="8">
        <v>9.6999999999999993</v>
      </c>
      <c r="K212" s="8">
        <v>4.9000000000000004</v>
      </c>
      <c r="L212" s="8">
        <v>130.5</v>
      </c>
      <c r="M212" s="8">
        <v>82.7</v>
      </c>
      <c r="N212" s="8">
        <v>127.3</v>
      </c>
      <c r="O212" s="8">
        <v>147.4</v>
      </c>
      <c r="P212" s="8">
        <v>102.4</v>
      </c>
      <c r="Q212" s="8">
        <v>103.4</v>
      </c>
      <c r="R212" s="8">
        <v>128.30000000000001</v>
      </c>
      <c r="S212" s="8">
        <v>102.2</v>
      </c>
      <c r="T212" s="8">
        <v>114.6</v>
      </c>
      <c r="U212" s="8">
        <v>121.5</v>
      </c>
      <c r="V212" s="8">
        <v>94.3</v>
      </c>
      <c r="W212" s="8">
        <v>84.8</v>
      </c>
      <c r="X212" s="8">
        <v>129.80000000000001</v>
      </c>
      <c r="Y212" s="8">
        <v>130.4</v>
      </c>
      <c r="Z212" s="8">
        <v>129.80000000000001</v>
      </c>
      <c r="AA212" s="8">
        <v>114</v>
      </c>
      <c r="AB212" s="8">
        <v>104.5</v>
      </c>
      <c r="AC212" s="8">
        <v>122</v>
      </c>
      <c r="AD212" s="8">
        <v>113.4</v>
      </c>
      <c r="AE212" s="8">
        <v>115.2</v>
      </c>
      <c r="AF212" s="8">
        <v>147.5</v>
      </c>
      <c r="AG212" s="8">
        <v>164.5</v>
      </c>
      <c r="AH212" s="8">
        <v>109.9</v>
      </c>
      <c r="AI212" s="8">
        <v>119.2</v>
      </c>
      <c r="AJ212" s="8">
        <v>111.6</v>
      </c>
      <c r="AK212" s="8">
        <v>117.9</v>
      </c>
      <c r="AL212" s="8">
        <v>126.2</v>
      </c>
      <c r="AM212" s="8">
        <v>110.9</v>
      </c>
      <c r="AN212" s="8">
        <v>106.1</v>
      </c>
      <c r="AO212" s="8">
        <v>105.5</v>
      </c>
      <c r="AP212" s="8">
        <v>109.6</v>
      </c>
      <c r="AQ212" s="8">
        <v>115.3</v>
      </c>
      <c r="AR212" s="8">
        <v>118.4</v>
      </c>
      <c r="AS212" s="8">
        <v>116</v>
      </c>
      <c r="AT212" s="8">
        <v>118</v>
      </c>
      <c r="AU212" s="8">
        <v>125.4</v>
      </c>
      <c r="AV212" s="8">
        <v>111.5</v>
      </c>
      <c r="AW212" s="8">
        <v>107.1</v>
      </c>
      <c r="AX212" s="8">
        <v>132.69999999999999</v>
      </c>
      <c r="AY212" s="8">
        <v>117.8</v>
      </c>
      <c r="AZ212" s="8">
        <v>111.6</v>
      </c>
      <c r="BA212" s="8">
        <v>162.80000000000001</v>
      </c>
      <c r="BB212" s="8">
        <v>113.4</v>
      </c>
      <c r="BC212" s="8">
        <v>110.6</v>
      </c>
      <c r="BD212" s="8">
        <v>114</v>
      </c>
      <c r="BE212" s="8">
        <v>113.8</v>
      </c>
      <c r="BF212" s="8">
        <v>131.6</v>
      </c>
      <c r="BG212" s="8">
        <v>119.5</v>
      </c>
      <c r="BH212" s="8">
        <v>114.4</v>
      </c>
      <c r="BI212" s="8">
        <v>90.7</v>
      </c>
      <c r="BJ212" s="8">
        <v>128.19999999999999</v>
      </c>
      <c r="BK212" s="8">
        <v>153</v>
      </c>
    </row>
    <row r="213" spans="1:63" x14ac:dyDescent="0.2">
      <c r="A213" s="9">
        <v>43525</v>
      </c>
      <c r="B213" s="8">
        <v>110.4</v>
      </c>
      <c r="C213" s="8">
        <v>117.9</v>
      </c>
      <c r="D213" s="8">
        <v>109.5</v>
      </c>
      <c r="E213" s="8">
        <v>113.2</v>
      </c>
      <c r="F213" s="8">
        <v>0.6</v>
      </c>
      <c r="G213" s="8">
        <v>-1.1000000000000001</v>
      </c>
      <c r="H213" s="8">
        <v>1.2</v>
      </c>
      <c r="I213" s="8">
        <v>4</v>
      </c>
      <c r="J213" s="8">
        <v>4.2</v>
      </c>
      <c r="K213" s="8">
        <v>3.9</v>
      </c>
      <c r="L213" s="8">
        <v>130.5</v>
      </c>
      <c r="M213" s="8">
        <v>84.9</v>
      </c>
      <c r="N213" s="8">
        <v>132.6</v>
      </c>
      <c r="O213" s="8">
        <v>142.4</v>
      </c>
      <c r="P213" s="8">
        <v>110.3</v>
      </c>
      <c r="Q213" s="8">
        <v>112.4</v>
      </c>
      <c r="R213" s="8">
        <v>128.30000000000001</v>
      </c>
      <c r="S213" s="8">
        <v>109.1</v>
      </c>
      <c r="T213" s="8">
        <v>111.2</v>
      </c>
      <c r="U213" s="8">
        <v>120.1</v>
      </c>
      <c r="V213" s="8">
        <v>87.3</v>
      </c>
      <c r="W213" s="8">
        <v>90.8</v>
      </c>
      <c r="X213" s="8">
        <v>130.30000000000001</v>
      </c>
      <c r="Y213" s="8">
        <v>130.1</v>
      </c>
      <c r="Z213" s="8">
        <v>131.1</v>
      </c>
      <c r="AA213" s="8">
        <v>117</v>
      </c>
      <c r="AB213" s="8">
        <v>110</v>
      </c>
      <c r="AC213" s="8">
        <v>121</v>
      </c>
      <c r="AD213" s="8">
        <v>116.7</v>
      </c>
      <c r="AE213" s="8">
        <v>116.5</v>
      </c>
      <c r="AF213" s="8">
        <v>147.4</v>
      </c>
      <c r="AG213" s="8">
        <v>163.80000000000001</v>
      </c>
      <c r="AH213" s="8">
        <v>111.2</v>
      </c>
      <c r="AI213" s="8">
        <v>119.3</v>
      </c>
      <c r="AJ213" s="8">
        <v>107.9</v>
      </c>
      <c r="AK213" s="8">
        <v>114.5</v>
      </c>
      <c r="AL213" s="8">
        <v>123.2</v>
      </c>
      <c r="AM213" s="8">
        <v>106.9</v>
      </c>
      <c r="AN213" s="8">
        <v>107.4</v>
      </c>
      <c r="AO213" s="8">
        <v>106.9</v>
      </c>
      <c r="AP213" s="8">
        <v>109.8</v>
      </c>
      <c r="AQ213" s="8">
        <v>114.4</v>
      </c>
      <c r="AR213" s="8">
        <v>116.6</v>
      </c>
      <c r="AS213" s="8">
        <v>116.4</v>
      </c>
      <c r="AT213" s="8">
        <v>117.7</v>
      </c>
      <c r="AU213" s="8">
        <v>130</v>
      </c>
      <c r="AV213" s="8">
        <v>112.1</v>
      </c>
      <c r="AW213" s="8">
        <v>105.1</v>
      </c>
      <c r="AX213" s="8">
        <v>138.1</v>
      </c>
      <c r="AY213" s="8">
        <v>116.5</v>
      </c>
      <c r="AZ213" s="8">
        <v>110</v>
      </c>
      <c r="BA213" s="8">
        <v>166.2</v>
      </c>
      <c r="BB213" s="8">
        <v>115</v>
      </c>
      <c r="BC213" s="8">
        <v>111.8</v>
      </c>
      <c r="BD213" s="8">
        <v>114</v>
      </c>
      <c r="BE213" s="8">
        <v>115</v>
      </c>
      <c r="BF213" s="8">
        <v>131.69999999999999</v>
      </c>
      <c r="BG213" s="8">
        <v>125.8</v>
      </c>
      <c r="BH213" s="8">
        <v>117.8</v>
      </c>
      <c r="BI213" s="8">
        <v>94</v>
      </c>
      <c r="BJ213" s="8">
        <v>128.1</v>
      </c>
      <c r="BK213" s="8">
        <v>159.1</v>
      </c>
    </row>
    <row r="214" spans="1:63" x14ac:dyDescent="0.2">
      <c r="A214" s="9">
        <v>43617</v>
      </c>
      <c r="B214" s="8">
        <v>112.8</v>
      </c>
      <c r="C214" s="8">
        <v>120.3</v>
      </c>
      <c r="D214" s="8">
        <v>111.9</v>
      </c>
      <c r="E214" s="8">
        <v>115.2</v>
      </c>
      <c r="F214" s="8">
        <v>2.2000000000000002</v>
      </c>
      <c r="G214" s="8">
        <v>2</v>
      </c>
      <c r="H214" s="8">
        <v>2.2000000000000002</v>
      </c>
      <c r="I214" s="8">
        <v>3.9</v>
      </c>
      <c r="J214" s="8">
        <v>2.6</v>
      </c>
      <c r="K214" s="8">
        <v>4.3</v>
      </c>
      <c r="L214" s="8">
        <v>134.6</v>
      </c>
      <c r="M214" s="8">
        <v>86.6</v>
      </c>
      <c r="N214" s="8">
        <v>132.30000000000001</v>
      </c>
      <c r="O214" s="8">
        <v>145.69999999999999</v>
      </c>
      <c r="P214" s="8">
        <v>111</v>
      </c>
      <c r="Q214" s="8">
        <v>126.4</v>
      </c>
      <c r="R214" s="8">
        <v>128.30000000000001</v>
      </c>
      <c r="S214" s="8">
        <v>113.9</v>
      </c>
      <c r="T214" s="8">
        <v>111.9</v>
      </c>
      <c r="U214" s="8">
        <v>122.7</v>
      </c>
      <c r="V214" s="8">
        <v>93.5</v>
      </c>
      <c r="W214" s="8">
        <v>96.2</v>
      </c>
      <c r="X214" s="8">
        <v>135.30000000000001</v>
      </c>
      <c r="Y214" s="8">
        <v>138.69999999999999</v>
      </c>
      <c r="Z214" s="8">
        <v>132</v>
      </c>
      <c r="AA214" s="8">
        <v>118.5</v>
      </c>
      <c r="AB214" s="8">
        <v>111.9</v>
      </c>
      <c r="AC214" s="8">
        <v>121.5</v>
      </c>
      <c r="AD214" s="8">
        <v>118</v>
      </c>
      <c r="AE214" s="8">
        <v>118.2</v>
      </c>
      <c r="AF214" s="8">
        <v>139.4</v>
      </c>
      <c r="AG214" s="8">
        <v>152.5</v>
      </c>
      <c r="AH214" s="8">
        <v>110.7</v>
      </c>
      <c r="AI214" s="8">
        <v>120.2</v>
      </c>
      <c r="AJ214" s="8">
        <v>109.9</v>
      </c>
      <c r="AK214" s="8">
        <v>114.1</v>
      </c>
      <c r="AL214" s="8">
        <v>119.7</v>
      </c>
      <c r="AM214" s="8">
        <v>103.3</v>
      </c>
      <c r="AN214" s="8">
        <v>109.7</v>
      </c>
      <c r="AO214" s="8">
        <v>109.2</v>
      </c>
      <c r="AP214" s="8">
        <v>111.3</v>
      </c>
      <c r="AQ214" s="8">
        <v>115.2</v>
      </c>
      <c r="AR214" s="8">
        <v>117.1</v>
      </c>
      <c r="AS214" s="8">
        <v>116.7</v>
      </c>
      <c r="AT214" s="8">
        <v>118.5</v>
      </c>
      <c r="AU214" s="8">
        <v>128.30000000000001</v>
      </c>
      <c r="AV214" s="8">
        <v>111.9</v>
      </c>
      <c r="AW214" s="8">
        <v>106.9</v>
      </c>
      <c r="AX214" s="8">
        <v>139.4</v>
      </c>
      <c r="AY214" s="8">
        <v>115.8</v>
      </c>
      <c r="AZ214" s="8">
        <v>107.6</v>
      </c>
      <c r="BA214" s="8">
        <v>192.2</v>
      </c>
      <c r="BB214" s="8">
        <v>115.7</v>
      </c>
      <c r="BC214" s="8">
        <v>111.7</v>
      </c>
      <c r="BD214" s="8">
        <v>114</v>
      </c>
      <c r="BE214" s="8">
        <v>115.2</v>
      </c>
      <c r="BF214" s="8">
        <v>131.80000000000001</v>
      </c>
      <c r="BG214" s="8">
        <v>128.1</v>
      </c>
      <c r="BH214" s="8">
        <v>120</v>
      </c>
      <c r="BI214" s="8">
        <v>94.1</v>
      </c>
      <c r="BJ214" s="8">
        <v>129.19999999999999</v>
      </c>
      <c r="BK214" s="8">
        <v>151.80000000000001</v>
      </c>
    </row>
    <row r="215" spans="1:63" x14ac:dyDescent="0.2">
      <c r="A215" s="9">
        <v>43709</v>
      </c>
      <c r="B215" s="8">
        <v>115</v>
      </c>
      <c r="C215" s="8">
        <v>120.9</v>
      </c>
      <c r="D215" s="8">
        <v>114.7</v>
      </c>
      <c r="E215" s="8">
        <v>118.2</v>
      </c>
      <c r="F215" s="8">
        <v>2</v>
      </c>
      <c r="G215" s="8">
        <v>0.5</v>
      </c>
      <c r="H215" s="8">
        <v>2.5</v>
      </c>
      <c r="I215" s="8">
        <v>5</v>
      </c>
      <c r="J215" s="8">
        <v>1.7</v>
      </c>
      <c r="K215" s="8">
        <v>6.2</v>
      </c>
      <c r="L215" s="8">
        <v>138.9</v>
      </c>
      <c r="M215" s="8">
        <v>92</v>
      </c>
      <c r="N215" s="8">
        <v>132.19999999999999</v>
      </c>
      <c r="O215" s="8">
        <v>151.19999999999999</v>
      </c>
      <c r="P215" s="8">
        <v>114</v>
      </c>
      <c r="Q215" s="8">
        <v>129</v>
      </c>
      <c r="R215" s="8">
        <v>131.9</v>
      </c>
      <c r="S215" s="8">
        <v>121.7</v>
      </c>
      <c r="T215" s="8">
        <v>112.4</v>
      </c>
      <c r="U215" s="8">
        <v>109.2</v>
      </c>
      <c r="V215" s="8">
        <v>87.7</v>
      </c>
      <c r="W215" s="8">
        <v>109.5</v>
      </c>
      <c r="X215" s="8">
        <v>135</v>
      </c>
      <c r="Y215" s="8">
        <v>139.5</v>
      </c>
      <c r="Z215" s="8">
        <v>130.6</v>
      </c>
      <c r="AA215" s="8">
        <v>117.8</v>
      </c>
      <c r="AB215" s="8">
        <v>110.1</v>
      </c>
      <c r="AC215" s="8">
        <v>121.5</v>
      </c>
      <c r="AD215" s="8">
        <v>116.9</v>
      </c>
      <c r="AE215" s="8">
        <v>116.4</v>
      </c>
      <c r="AF215" s="8">
        <v>139.4</v>
      </c>
      <c r="AG215" s="8">
        <v>153</v>
      </c>
      <c r="AH215" s="8">
        <v>108.5</v>
      </c>
      <c r="AI215" s="8">
        <v>120.2</v>
      </c>
      <c r="AJ215" s="8">
        <v>108.1</v>
      </c>
      <c r="AK215" s="8">
        <v>112</v>
      </c>
      <c r="AL215" s="8">
        <v>116</v>
      </c>
      <c r="AM215" s="8">
        <v>99.8</v>
      </c>
      <c r="AN215" s="8">
        <v>109.6</v>
      </c>
      <c r="AO215" s="8">
        <v>109.2</v>
      </c>
      <c r="AP215" s="8">
        <v>111</v>
      </c>
      <c r="AQ215" s="8">
        <v>115.7</v>
      </c>
      <c r="AR215" s="8">
        <v>117</v>
      </c>
      <c r="AS215" s="8">
        <v>117.8</v>
      </c>
      <c r="AT215" s="8">
        <v>118.6</v>
      </c>
      <c r="AU215" s="8">
        <v>127.4</v>
      </c>
      <c r="AV215" s="8">
        <v>115.6</v>
      </c>
      <c r="AW215" s="8">
        <v>106.5</v>
      </c>
      <c r="AX215" s="8">
        <v>138.30000000000001</v>
      </c>
      <c r="AY215" s="8">
        <v>114.6</v>
      </c>
      <c r="AZ215" s="8">
        <v>107.9</v>
      </c>
      <c r="BA215" s="8">
        <v>167</v>
      </c>
      <c r="BB215" s="8">
        <v>117.4</v>
      </c>
      <c r="BC215" s="8">
        <v>113</v>
      </c>
      <c r="BD215" s="8">
        <v>114.1</v>
      </c>
      <c r="BE215" s="8">
        <v>117.5</v>
      </c>
      <c r="BF215" s="8">
        <v>132</v>
      </c>
      <c r="BG215" s="8">
        <v>129.1</v>
      </c>
      <c r="BH215" s="8">
        <v>125.4</v>
      </c>
      <c r="BI215" s="8">
        <v>99.5</v>
      </c>
      <c r="BJ215" s="8">
        <v>128.30000000000001</v>
      </c>
      <c r="BK215" s="8">
        <v>147.1</v>
      </c>
    </row>
    <row r="216" spans="1:63" x14ac:dyDescent="0.2">
      <c r="A216" s="9">
        <v>43800</v>
      </c>
      <c r="B216" s="8">
        <v>113.8</v>
      </c>
      <c r="C216" s="8">
        <v>121.2</v>
      </c>
      <c r="D216" s="8">
        <v>113</v>
      </c>
      <c r="E216" s="8">
        <v>116.7</v>
      </c>
      <c r="F216" s="8">
        <v>-1</v>
      </c>
      <c r="G216" s="8">
        <v>0.2</v>
      </c>
      <c r="H216" s="8">
        <v>-1.5</v>
      </c>
      <c r="I216" s="8">
        <v>3.7</v>
      </c>
      <c r="J216" s="8">
        <v>1.7</v>
      </c>
      <c r="K216" s="8">
        <v>4.4000000000000004</v>
      </c>
      <c r="L216" s="8">
        <v>137</v>
      </c>
      <c r="M216" s="8">
        <v>93</v>
      </c>
      <c r="N216" s="8">
        <v>126.7</v>
      </c>
      <c r="O216" s="8">
        <v>151.4</v>
      </c>
      <c r="P216" s="8">
        <v>109.7</v>
      </c>
      <c r="Q216" s="8">
        <v>118.1</v>
      </c>
      <c r="R216" s="8">
        <v>134.69999999999999</v>
      </c>
      <c r="S216" s="8">
        <v>129.4</v>
      </c>
      <c r="T216" s="8">
        <v>113.2</v>
      </c>
      <c r="U216" s="8">
        <v>92.4</v>
      </c>
      <c r="V216" s="8">
        <v>89.7</v>
      </c>
      <c r="W216" s="8">
        <v>103.9</v>
      </c>
      <c r="X216" s="8">
        <v>135.30000000000001</v>
      </c>
      <c r="Y216" s="8">
        <v>140.5</v>
      </c>
      <c r="Z216" s="8">
        <v>130.30000000000001</v>
      </c>
      <c r="AA216" s="8">
        <v>120.5</v>
      </c>
      <c r="AB216" s="8">
        <v>116.6</v>
      </c>
      <c r="AC216" s="8">
        <v>121.1</v>
      </c>
      <c r="AD216" s="8"/>
      <c r="AE216" s="8"/>
      <c r="AF216" s="8">
        <v>138.80000000000001</v>
      </c>
      <c r="AG216" s="8">
        <v>151.80000000000001</v>
      </c>
      <c r="AH216" s="8">
        <v>109.6</v>
      </c>
      <c r="AI216" s="8">
        <v>123.6</v>
      </c>
      <c r="AJ216" s="8">
        <v>108.2</v>
      </c>
      <c r="AK216" s="8">
        <v>110.1</v>
      </c>
      <c r="AL216" s="8">
        <v>114.7</v>
      </c>
      <c r="AM216" s="8">
        <v>97.4</v>
      </c>
      <c r="AN216" s="8">
        <v>108.7</v>
      </c>
      <c r="AO216" s="8">
        <v>108.4</v>
      </c>
      <c r="AP216" s="8">
        <v>109.4</v>
      </c>
      <c r="AQ216" s="8">
        <v>114.7</v>
      </c>
      <c r="AR216" s="8">
        <v>115.2</v>
      </c>
      <c r="AS216" s="8">
        <v>116.4</v>
      </c>
      <c r="AT216" s="8">
        <v>116.6</v>
      </c>
      <c r="AU216" s="8">
        <v>122.2</v>
      </c>
      <c r="AV216" s="8">
        <v>116.3</v>
      </c>
      <c r="AW216" s="8">
        <v>106</v>
      </c>
      <c r="AX216" s="8">
        <v>137.1</v>
      </c>
      <c r="AY216" s="8">
        <v>113.6</v>
      </c>
      <c r="AZ216" s="8">
        <v>106.7</v>
      </c>
      <c r="BA216" s="8">
        <v>168.8</v>
      </c>
      <c r="BB216" s="8">
        <v>117.1</v>
      </c>
      <c r="BC216" s="8">
        <v>113.6</v>
      </c>
      <c r="BD216" s="8">
        <v>114.1</v>
      </c>
      <c r="BE216" s="8">
        <v>120.1</v>
      </c>
      <c r="BF216" s="8">
        <v>132.1</v>
      </c>
      <c r="BG216" s="8">
        <v>130.30000000000001</v>
      </c>
      <c r="BH216" s="8"/>
      <c r="BI216" s="8">
        <v>99.6</v>
      </c>
      <c r="BJ216" s="8">
        <v>126.9</v>
      </c>
      <c r="BK216" s="8">
        <v>152.30000000000001</v>
      </c>
    </row>
    <row r="217" spans="1:63" x14ac:dyDescent="0.2">
      <c r="A217" s="9">
        <v>43891</v>
      </c>
      <c r="B217" s="8">
        <v>115.5</v>
      </c>
      <c r="C217" s="8">
        <v>119.9</v>
      </c>
      <c r="D217" s="8">
        <v>115.7</v>
      </c>
      <c r="E217" s="8">
        <v>119.3</v>
      </c>
      <c r="F217" s="8">
        <v>1.5</v>
      </c>
      <c r="G217" s="8">
        <v>-1.1000000000000001</v>
      </c>
      <c r="H217" s="8">
        <v>2.4</v>
      </c>
      <c r="I217" s="8">
        <v>4.5999999999999996</v>
      </c>
      <c r="J217" s="8">
        <v>1.7</v>
      </c>
      <c r="K217" s="8">
        <v>5.7</v>
      </c>
      <c r="L217" s="8">
        <v>144.1</v>
      </c>
      <c r="M217" s="8">
        <v>93.4</v>
      </c>
      <c r="N217" s="8">
        <v>139.30000000000001</v>
      </c>
      <c r="O217" s="8">
        <v>157</v>
      </c>
      <c r="P217" s="8">
        <v>125.1</v>
      </c>
      <c r="Q217" s="8">
        <v>129.30000000000001</v>
      </c>
      <c r="R217" s="8">
        <v>132.1</v>
      </c>
      <c r="S217" s="8">
        <v>135.5</v>
      </c>
      <c r="T217" s="8">
        <v>111.3</v>
      </c>
      <c r="U217" s="8">
        <v>99.4</v>
      </c>
      <c r="V217" s="8">
        <v>81.599999999999994</v>
      </c>
      <c r="W217" s="8">
        <v>110.3</v>
      </c>
      <c r="X217" s="8">
        <v>135.30000000000001</v>
      </c>
      <c r="Y217" s="8">
        <v>140.19999999999999</v>
      </c>
      <c r="Z217" s="8">
        <v>130.5</v>
      </c>
      <c r="AA217" s="8">
        <v>118.6</v>
      </c>
      <c r="AB217" s="8">
        <v>117.1</v>
      </c>
      <c r="AC217" s="8">
        <v>98.4</v>
      </c>
      <c r="AD217" s="8"/>
      <c r="AE217" s="8"/>
      <c r="AF217" s="8">
        <v>137.5</v>
      </c>
      <c r="AG217" s="8">
        <v>150.1</v>
      </c>
      <c r="AH217" s="8">
        <v>110.1</v>
      </c>
      <c r="AI217" s="8">
        <v>119.7</v>
      </c>
      <c r="AJ217" s="8">
        <v>107.6</v>
      </c>
      <c r="AK217" s="8">
        <v>107.6</v>
      </c>
      <c r="AL217" s="8">
        <v>109.8</v>
      </c>
      <c r="AM217" s="8">
        <v>95.7</v>
      </c>
      <c r="AN217" s="8">
        <v>108.2</v>
      </c>
      <c r="AO217" s="8">
        <v>107.5</v>
      </c>
      <c r="AP217" s="8">
        <v>118.2</v>
      </c>
      <c r="AQ217" s="8">
        <v>114.2</v>
      </c>
      <c r="AR217" s="8">
        <v>113.4</v>
      </c>
      <c r="AS217" s="8">
        <v>116.5</v>
      </c>
      <c r="AT217" s="8">
        <v>116.7</v>
      </c>
      <c r="AU217" s="8">
        <v>120.8</v>
      </c>
      <c r="AV217" s="8">
        <v>116.9</v>
      </c>
      <c r="AW217" s="8">
        <v>106.3</v>
      </c>
      <c r="AX217" s="8">
        <v>137.4</v>
      </c>
      <c r="AY217" s="8">
        <v>114.7</v>
      </c>
      <c r="AZ217" s="8">
        <v>107.7</v>
      </c>
      <c r="BA217" s="8">
        <v>171.8</v>
      </c>
      <c r="BB217" s="8">
        <v>117.6</v>
      </c>
      <c r="BC217" s="8">
        <v>113.5</v>
      </c>
      <c r="BD217" s="8">
        <v>114.1</v>
      </c>
      <c r="BE217" s="8">
        <v>121.3</v>
      </c>
      <c r="BF217" s="8">
        <v>132.19999999999999</v>
      </c>
      <c r="BG217" s="8">
        <v>133.5</v>
      </c>
      <c r="BH217" s="8"/>
      <c r="BI217" s="8">
        <v>96.3</v>
      </c>
      <c r="BJ217" s="8">
        <v>128.1</v>
      </c>
      <c r="BK217" s="8">
        <v>162.1</v>
      </c>
    </row>
    <row r="218" spans="1:63" x14ac:dyDescent="0.2">
      <c r="A218" s="9">
        <v>43983</v>
      </c>
      <c r="B218" s="8">
        <v>114.5</v>
      </c>
      <c r="C218" s="8">
        <v>114.8</v>
      </c>
      <c r="D218" s="8">
        <v>116.1</v>
      </c>
      <c r="E218" s="8">
        <v>120.5</v>
      </c>
      <c r="F218" s="8">
        <v>-0.9</v>
      </c>
      <c r="G218" s="8">
        <v>-4.3</v>
      </c>
      <c r="H218" s="8">
        <v>0.3</v>
      </c>
      <c r="I218" s="8">
        <v>1.5</v>
      </c>
      <c r="J218" s="8">
        <v>-4.5999999999999996</v>
      </c>
      <c r="K218" s="8">
        <v>3.8</v>
      </c>
      <c r="L218" s="8">
        <v>148.4</v>
      </c>
      <c r="M218" s="8">
        <v>88.8</v>
      </c>
      <c r="N218" s="8">
        <v>154.9</v>
      </c>
      <c r="O218" s="8">
        <v>160.80000000000001</v>
      </c>
      <c r="P218" s="8">
        <v>117.2</v>
      </c>
      <c r="Q218" s="8">
        <v>144.5</v>
      </c>
      <c r="R218" s="8">
        <v>126.1</v>
      </c>
      <c r="S218" s="8">
        <v>119.1</v>
      </c>
      <c r="T218" s="8">
        <v>111.8</v>
      </c>
      <c r="U218" s="8">
        <v>89.4</v>
      </c>
      <c r="V218" s="8">
        <v>60.1</v>
      </c>
      <c r="W218" s="8">
        <v>114.5</v>
      </c>
      <c r="X218" s="8">
        <v>135.80000000000001</v>
      </c>
      <c r="Y218" s="8">
        <v>141.9</v>
      </c>
      <c r="Z218" s="8">
        <v>129.69999999999999</v>
      </c>
      <c r="AA218" s="8">
        <v>120.3</v>
      </c>
      <c r="AB218" s="8">
        <v>119.6</v>
      </c>
      <c r="AC218" s="8">
        <v>96.1</v>
      </c>
      <c r="AD218" s="8"/>
      <c r="AE218" s="8"/>
      <c r="AF218" s="8">
        <v>140.4</v>
      </c>
      <c r="AG218" s="8">
        <v>154.1</v>
      </c>
      <c r="AH218" s="8">
        <v>110.9</v>
      </c>
      <c r="AI218" s="8">
        <v>120.9</v>
      </c>
      <c r="AJ218" s="8">
        <v>101.6</v>
      </c>
      <c r="AK218" s="8">
        <v>108.5</v>
      </c>
      <c r="AL218" s="8">
        <v>109.7</v>
      </c>
      <c r="AM218" s="8">
        <v>95.7</v>
      </c>
      <c r="AN218" s="8">
        <v>108.1</v>
      </c>
      <c r="AO218" s="8">
        <v>107.6</v>
      </c>
      <c r="AP218" s="8">
        <v>118.1</v>
      </c>
      <c r="AQ218" s="8">
        <v>114</v>
      </c>
      <c r="AR218" s="8">
        <v>113.6</v>
      </c>
      <c r="AS218" s="8">
        <v>113.4</v>
      </c>
      <c r="AT218" s="8">
        <v>114.2</v>
      </c>
      <c r="AU218" s="8">
        <v>121.5</v>
      </c>
      <c r="AV218" s="8">
        <v>111.4</v>
      </c>
      <c r="AW218" s="8">
        <v>104.2</v>
      </c>
      <c r="AX218" s="8">
        <v>141.80000000000001</v>
      </c>
      <c r="AY218" s="8">
        <v>119.6</v>
      </c>
      <c r="AZ218" s="8">
        <v>112.5</v>
      </c>
      <c r="BA218" s="8">
        <v>178.3</v>
      </c>
      <c r="BB218" s="8">
        <v>118.9</v>
      </c>
      <c r="BC218" s="8">
        <v>114.2</v>
      </c>
      <c r="BD218" s="8">
        <v>115.5</v>
      </c>
      <c r="BE218" s="8">
        <v>123</v>
      </c>
      <c r="BF218" s="8">
        <v>132.4</v>
      </c>
      <c r="BG218" s="8">
        <v>140.19999999999999</v>
      </c>
      <c r="BH218" s="8"/>
      <c r="BI218" s="8">
        <v>97.6</v>
      </c>
      <c r="BJ218" s="8">
        <v>128.1</v>
      </c>
      <c r="BK218" s="8">
        <v>141.4</v>
      </c>
    </row>
    <row r="219" spans="1:63" x14ac:dyDescent="0.2">
      <c r="A219" s="9">
        <v>44075</v>
      </c>
      <c r="B219" s="8">
        <v>114.7</v>
      </c>
      <c r="C219" s="8">
        <v>116</v>
      </c>
      <c r="D219" s="8">
        <v>115.8</v>
      </c>
      <c r="E219" s="8">
        <v>119.8</v>
      </c>
      <c r="F219" s="8">
        <v>0.2</v>
      </c>
      <c r="G219" s="8">
        <v>1</v>
      </c>
      <c r="H219" s="8">
        <v>-0.3</v>
      </c>
      <c r="I219" s="8">
        <v>-0.3</v>
      </c>
      <c r="J219" s="8">
        <v>-4.0999999999999996</v>
      </c>
      <c r="K219" s="8">
        <v>1</v>
      </c>
      <c r="L219" s="8">
        <v>144.4</v>
      </c>
      <c r="M219" s="8">
        <v>89.2</v>
      </c>
      <c r="N219" s="8">
        <v>151.1</v>
      </c>
      <c r="O219" s="8">
        <v>159.5</v>
      </c>
      <c r="P219" s="8">
        <v>110.4</v>
      </c>
      <c r="Q219" s="8">
        <v>124</v>
      </c>
      <c r="R219" s="8">
        <v>137.19999999999999</v>
      </c>
      <c r="S219" s="8">
        <v>114.5</v>
      </c>
      <c r="T219" s="8">
        <v>111.5</v>
      </c>
      <c r="U219" s="8">
        <v>72.400000000000006</v>
      </c>
      <c r="V219" s="8">
        <v>69.2</v>
      </c>
      <c r="W219" s="8">
        <v>122.1</v>
      </c>
      <c r="X219" s="8">
        <v>135.6</v>
      </c>
      <c r="Y219" s="8">
        <v>142</v>
      </c>
      <c r="Z219" s="8">
        <v>129.19999999999999</v>
      </c>
      <c r="AA219" s="8">
        <v>116.5</v>
      </c>
      <c r="AB219" s="8">
        <v>111.2</v>
      </c>
      <c r="AC219" s="8">
        <v>108</v>
      </c>
      <c r="AD219" s="8"/>
      <c r="AE219" s="8"/>
      <c r="AF219" s="8">
        <v>137.9</v>
      </c>
      <c r="AG219" s="8">
        <v>150.9</v>
      </c>
      <c r="AH219" s="8">
        <v>110.5</v>
      </c>
      <c r="AI219" s="8">
        <v>118.1</v>
      </c>
      <c r="AJ219" s="8">
        <v>96</v>
      </c>
      <c r="AK219" s="8">
        <v>102.5</v>
      </c>
      <c r="AL219" s="8">
        <v>106.3</v>
      </c>
      <c r="AM219" s="8">
        <v>95.6</v>
      </c>
      <c r="AN219" s="8">
        <v>108.5</v>
      </c>
      <c r="AO219" s="8">
        <v>107.8</v>
      </c>
      <c r="AP219" s="8">
        <v>127.4</v>
      </c>
      <c r="AQ219" s="8">
        <v>114.2</v>
      </c>
      <c r="AR219" s="8">
        <v>113.8</v>
      </c>
      <c r="AS219" s="8">
        <v>115.2</v>
      </c>
      <c r="AT219" s="8">
        <v>112.4</v>
      </c>
      <c r="AU219" s="8">
        <v>113.1</v>
      </c>
      <c r="AV219" s="8">
        <v>122.7</v>
      </c>
      <c r="AW219" s="8">
        <v>104.3</v>
      </c>
      <c r="AX219" s="8">
        <v>138.30000000000001</v>
      </c>
      <c r="AY219" s="8">
        <v>120.6</v>
      </c>
      <c r="AZ219" s="8">
        <v>114.2</v>
      </c>
      <c r="BA219" s="8">
        <v>167.7</v>
      </c>
      <c r="BB219" s="8">
        <v>114.4</v>
      </c>
      <c r="BC219" s="8">
        <v>108.6</v>
      </c>
      <c r="BD219" s="8">
        <v>115.2</v>
      </c>
      <c r="BE219" s="8">
        <v>115.4</v>
      </c>
      <c r="BF219" s="8">
        <v>131.80000000000001</v>
      </c>
      <c r="BG219" s="8">
        <v>127.2</v>
      </c>
      <c r="BH219" s="8"/>
      <c r="BI219" s="8">
        <v>96.5</v>
      </c>
      <c r="BJ219" s="8">
        <v>127.5</v>
      </c>
      <c r="BK219" s="8">
        <v>139.19999999999999</v>
      </c>
    </row>
    <row r="220" spans="1:63" x14ac:dyDescent="0.2">
      <c r="A220" s="9">
        <v>44166</v>
      </c>
      <c r="B220" s="8">
        <v>115.1</v>
      </c>
      <c r="C220" s="8">
        <v>115.3</v>
      </c>
      <c r="D220" s="8">
        <v>116.7</v>
      </c>
      <c r="E220" s="8">
        <v>120.3</v>
      </c>
      <c r="F220" s="8">
        <v>0.3</v>
      </c>
      <c r="G220" s="8">
        <v>-0.6</v>
      </c>
      <c r="H220" s="8">
        <v>0.8</v>
      </c>
      <c r="I220" s="8">
        <v>1.1000000000000001</v>
      </c>
      <c r="J220" s="8">
        <v>-4.9000000000000004</v>
      </c>
      <c r="K220" s="8">
        <v>3.3</v>
      </c>
      <c r="L220" s="8">
        <v>145.1</v>
      </c>
      <c r="M220" s="8">
        <v>94.2</v>
      </c>
      <c r="N220" s="8">
        <v>152.1</v>
      </c>
      <c r="O220" s="8">
        <v>162.30000000000001</v>
      </c>
      <c r="P220" s="8">
        <v>113.2</v>
      </c>
      <c r="Q220" s="8">
        <v>116.5</v>
      </c>
      <c r="R220" s="8">
        <v>132.80000000000001</v>
      </c>
      <c r="S220" s="8">
        <v>118.7</v>
      </c>
      <c r="T220" s="8">
        <v>111.9</v>
      </c>
      <c r="U220" s="8">
        <v>73.8</v>
      </c>
      <c r="V220" s="8">
        <v>69.8</v>
      </c>
      <c r="W220" s="8">
        <v>124.3</v>
      </c>
      <c r="X220" s="8">
        <v>136.6</v>
      </c>
      <c r="Y220" s="8">
        <v>144.1</v>
      </c>
      <c r="Z220" s="8">
        <v>128.9</v>
      </c>
      <c r="AA220" s="8">
        <v>115.3</v>
      </c>
      <c r="AB220" s="8">
        <v>109.6</v>
      </c>
      <c r="AC220" s="8">
        <v>104</v>
      </c>
      <c r="AD220" s="8"/>
      <c r="AE220" s="8"/>
      <c r="AF220" s="8">
        <v>136.9</v>
      </c>
      <c r="AG220" s="8">
        <v>149.5</v>
      </c>
      <c r="AH220" s="8">
        <v>110.1</v>
      </c>
      <c r="AI220" s="8">
        <v>117.7</v>
      </c>
      <c r="AJ220" s="8">
        <v>96.3</v>
      </c>
      <c r="AK220" s="8">
        <v>100</v>
      </c>
      <c r="AL220" s="8">
        <v>96.6</v>
      </c>
      <c r="AM220" s="8">
        <v>91.3</v>
      </c>
      <c r="AN220" s="8">
        <v>107.8</v>
      </c>
      <c r="AO220" s="8">
        <v>107.3</v>
      </c>
      <c r="AP220" s="8">
        <v>118.1</v>
      </c>
      <c r="AQ220" s="8">
        <v>113.1</v>
      </c>
      <c r="AR220" s="8">
        <v>114.1</v>
      </c>
      <c r="AS220" s="8">
        <v>117.4</v>
      </c>
      <c r="AT220" s="8">
        <v>113.1</v>
      </c>
      <c r="AU220" s="8">
        <v>108.8</v>
      </c>
      <c r="AV220" s="8">
        <v>128.69999999999999</v>
      </c>
      <c r="AW220" s="8">
        <v>108.1</v>
      </c>
      <c r="AX220" s="8">
        <v>138.6</v>
      </c>
      <c r="AY220" s="8">
        <v>121.7</v>
      </c>
      <c r="AZ220" s="8">
        <v>115.5</v>
      </c>
      <c r="BA220" s="8">
        <v>166.3</v>
      </c>
      <c r="BB220" s="8">
        <v>113.9</v>
      </c>
      <c r="BC220" s="8">
        <v>108.2</v>
      </c>
      <c r="BD220" s="8">
        <v>115.1</v>
      </c>
      <c r="BE220" s="8">
        <v>113.7</v>
      </c>
      <c r="BF220" s="8">
        <v>131.80000000000001</v>
      </c>
      <c r="BG220" s="8">
        <v>127.5</v>
      </c>
      <c r="BH220" s="8"/>
      <c r="BI220" s="8">
        <v>95.1</v>
      </c>
      <c r="BJ220" s="8">
        <v>126.4</v>
      </c>
      <c r="BK220" s="8">
        <v>140</v>
      </c>
    </row>
    <row r="221" spans="1:63" x14ac:dyDescent="0.2">
      <c r="A221" s="9">
        <v>44256</v>
      </c>
      <c r="B221" s="8">
        <v>117.6</v>
      </c>
      <c r="C221" s="8">
        <v>118.5</v>
      </c>
      <c r="D221" s="8">
        <v>119</v>
      </c>
      <c r="E221" s="8">
        <v>121.8</v>
      </c>
      <c r="F221" s="8">
        <v>2.2000000000000002</v>
      </c>
      <c r="G221" s="8">
        <v>2.8</v>
      </c>
      <c r="H221" s="8">
        <v>2</v>
      </c>
      <c r="I221" s="8">
        <v>1.8</v>
      </c>
      <c r="J221" s="8">
        <v>-1.2</v>
      </c>
      <c r="K221" s="8">
        <v>2.9</v>
      </c>
      <c r="L221" s="8">
        <v>149.4</v>
      </c>
      <c r="M221" s="8">
        <v>91.6</v>
      </c>
      <c r="N221" s="8">
        <v>152</v>
      </c>
      <c r="O221" s="8">
        <v>167.4</v>
      </c>
      <c r="P221" s="8">
        <v>130.80000000000001</v>
      </c>
      <c r="Q221" s="8">
        <v>119.5</v>
      </c>
      <c r="R221" s="8">
        <v>132.19999999999999</v>
      </c>
      <c r="S221" s="8">
        <v>124.5</v>
      </c>
      <c r="T221" s="8">
        <v>111.6</v>
      </c>
      <c r="U221" s="8">
        <v>81.599999999999994</v>
      </c>
      <c r="V221" s="8">
        <v>80.8</v>
      </c>
      <c r="W221" s="8">
        <v>125.7</v>
      </c>
      <c r="X221" s="8">
        <v>132.5</v>
      </c>
      <c r="Y221" s="8">
        <v>143.69999999999999</v>
      </c>
      <c r="Z221" s="8">
        <v>120.8</v>
      </c>
      <c r="AA221" s="8">
        <v>117.7</v>
      </c>
      <c r="AB221" s="8">
        <v>113.5</v>
      </c>
      <c r="AC221" s="8">
        <v>106.3</v>
      </c>
      <c r="AD221" s="8"/>
      <c r="AE221" s="8"/>
      <c r="AF221" s="8">
        <v>139</v>
      </c>
      <c r="AG221" s="8">
        <v>152</v>
      </c>
      <c r="AH221" s="8">
        <v>110.9</v>
      </c>
      <c r="AI221" s="8">
        <v>117.7</v>
      </c>
      <c r="AJ221" s="8">
        <v>101.8</v>
      </c>
      <c r="AK221" s="8">
        <v>103.8</v>
      </c>
      <c r="AL221" s="8">
        <v>98.3</v>
      </c>
      <c r="AM221" s="8">
        <v>93</v>
      </c>
      <c r="AN221" s="8">
        <v>108.1</v>
      </c>
      <c r="AO221" s="8">
        <v>107.5</v>
      </c>
      <c r="AP221" s="8">
        <v>118.1</v>
      </c>
      <c r="AQ221" s="8">
        <v>113.3</v>
      </c>
      <c r="AR221" s="8">
        <v>113.5</v>
      </c>
      <c r="AS221" s="8">
        <v>121</v>
      </c>
      <c r="AT221" s="8">
        <v>116.3</v>
      </c>
      <c r="AU221" s="8">
        <v>111.7</v>
      </c>
      <c r="AV221" s="8">
        <v>133.1</v>
      </c>
      <c r="AW221" s="8">
        <v>110.6</v>
      </c>
      <c r="AX221" s="8">
        <v>138.1</v>
      </c>
      <c r="AY221" s="8">
        <v>119.8</v>
      </c>
      <c r="AZ221" s="8">
        <v>114.4</v>
      </c>
      <c r="BA221" s="8">
        <v>153.30000000000001</v>
      </c>
      <c r="BB221" s="8">
        <v>113</v>
      </c>
      <c r="BC221" s="8">
        <v>105.5</v>
      </c>
      <c r="BD221" s="8">
        <v>114.9</v>
      </c>
      <c r="BE221" s="8">
        <v>112.2</v>
      </c>
      <c r="BF221" s="8">
        <v>131.5</v>
      </c>
      <c r="BG221" s="8">
        <v>121.6</v>
      </c>
      <c r="BH221" s="8"/>
      <c r="BI221" s="8">
        <v>94.1</v>
      </c>
      <c r="BJ221" s="8">
        <v>123.1</v>
      </c>
      <c r="BK221" s="8">
        <v>135.19999999999999</v>
      </c>
    </row>
    <row r="222" spans="1:63" x14ac:dyDescent="0.2">
      <c r="A222" s="9">
        <v>44348</v>
      </c>
      <c r="B222" s="8">
        <v>122</v>
      </c>
      <c r="C222" s="8">
        <v>122.8</v>
      </c>
      <c r="D222" s="8">
        <v>123.5</v>
      </c>
      <c r="E222" s="8">
        <v>126.1</v>
      </c>
      <c r="F222" s="8">
        <v>3.7</v>
      </c>
      <c r="G222" s="8">
        <v>3.6</v>
      </c>
      <c r="H222" s="8">
        <v>3.8</v>
      </c>
      <c r="I222" s="8">
        <v>6.6</v>
      </c>
      <c r="J222" s="8">
        <v>7</v>
      </c>
      <c r="K222" s="8">
        <v>6.4</v>
      </c>
      <c r="L222" s="8">
        <v>152.4</v>
      </c>
      <c r="M222" s="8">
        <v>92.1</v>
      </c>
      <c r="N222" s="8">
        <v>156.1</v>
      </c>
      <c r="O222" s="8">
        <v>168.3</v>
      </c>
      <c r="P222" s="8">
        <v>130.9</v>
      </c>
      <c r="Q222" s="8">
        <v>134.4</v>
      </c>
      <c r="R222" s="8">
        <v>131.69999999999999</v>
      </c>
      <c r="S222" s="8">
        <v>117.7</v>
      </c>
      <c r="T222" s="8">
        <v>113.5</v>
      </c>
      <c r="U222" s="8">
        <v>77.5</v>
      </c>
      <c r="V222" s="8">
        <v>85.5</v>
      </c>
      <c r="W222" s="8">
        <v>135.9</v>
      </c>
      <c r="X222" s="8">
        <v>131.30000000000001</v>
      </c>
      <c r="Y222" s="8">
        <v>141.80000000000001</v>
      </c>
      <c r="Z222" s="8">
        <v>120.2</v>
      </c>
      <c r="AA222" s="8">
        <v>119.4</v>
      </c>
      <c r="AB222" s="8">
        <v>112.3</v>
      </c>
      <c r="AC222" s="8">
        <v>111.9</v>
      </c>
      <c r="AD222" s="8"/>
      <c r="AE222" s="8"/>
      <c r="AF222" s="8">
        <v>140.80000000000001</v>
      </c>
      <c r="AG222" s="8">
        <v>153.6</v>
      </c>
      <c r="AH222" s="8">
        <v>111.1</v>
      </c>
      <c r="AI222" s="8">
        <v>119.5</v>
      </c>
      <c r="AJ222" s="8">
        <v>100.7</v>
      </c>
      <c r="AK222" s="8">
        <v>109.6</v>
      </c>
      <c r="AL222" s="8">
        <v>101.8</v>
      </c>
      <c r="AM222" s="8">
        <v>95.7</v>
      </c>
      <c r="AN222" s="8">
        <v>112.7</v>
      </c>
      <c r="AO222" s="8">
        <v>112.4</v>
      </c>
      <c r="AP222" s="8">
        <v>119</v>
      </c>
      <c r="AQ222" s="8">
        <v>113.7</v>
      </c>
      <c r="AR222" s="8">
        <v>113.3</v>
      </c>
      <c r="AS222" s="8">
        <v>130.19999999999999</v>
      </c>
      <c r="AT222" s="8">
        <v>125</v>
      </c>
      <c r="AU222" s="8">
        <v>119.9</v>
      </c>
      <c r="AV222" s="8">
        <v>145.4</v>
      </c>
      <c r="AW222" s="8">
        <v>113.3</v>
      </c>
      <c r="AX222" s="8">
        <v>142.6</v>
      </c>
      <c r="AY222" s="8">
        <v>121</v>
      </c>
      <c r="AZ222" s="8">
        <v>115.4</v>
      </c>
      <c r="BA222" s="8">
        <v>154</v>
      </c>
      <c r="BB222" s="8">
        <v>114.8</v>
      </c>
      <c r="BC222" s="8">
        <v>107.6</v>
      </c>
      <c r="BD222" s="8">
        <v>114.9</v>
      </c>
      <c r="BE222" s="8">
        <v>115.2</v>
      </c>
      <c r="BF222" s="8">
        <v>131.69999999999999</v>
      </c>
      <c r="BG222" s="8">
        <v>121.6</v>
      </c>
      <c r="BH222" s="8"/>
      <c r="BI222" s="8">
        <v>95</v>
      </c>
      <c r="BJ222" s="8">
        <v>119</v>
      </c>
      <c r="BK222" s="8">
        <v>131.19999999999999</v>
      </c>
    </row>
    <row r="223" spans="1:63" x14ac:dyDescent="0.2">
      <c r="A223" s="9">
        <v>44440</v>
      </c>
      <c r="B223" s="8">
        <v>127.6</v>
      </c>
      <c r="C223" s="8">
        <v>132.1</v>
      </c>
      <c r="D223" s="8">
        <v>127.9</v>
      </c>
      <c r="E223" s="8">
        <v>131.30000000000001</v>
      </c>
      <c r="F223" s="8">
        <v>4.5999999999999996</v>
      </c>
      <c r="G223" s="8">
        <v>7.6</v>
      </c>
      <c r="H223" s="8">
        <v>3.6</v>
      </c>
      <c r="I223" s="8">
        <v>11.2</v>
      </c>
      <c r="J223" s="8">
        <v>13.9</v>
      </c>
      <c r="K223" s="8">
        <v>10.4</v>
      </c>
      <c r="L223" s="8">
        <v>156.69999999999999</v>
      </c>
      <c r="M223" s="8">
        <v>94.7</v>
      </c>
      <c r="N223" s="8">
        <v>151</v>
      </c>
      <c r="O223" s="8">
        <v>176.3</v>
      </c>
      <c r="P223" s="8">
        <v>140.6</v>
      </c>
      <c r="Q223" s="8">
        <v>132.5</v>
      </c>
      <c r="R223" s="8">
        <v>136.80000000000001</v>
      </c>
      <c r="S223" s="8">
        <v>113.9</v>
      </c>
      <c r="T223" s="8">
        <v>114.8</v>
      </c>
      <c r="U223" s="8">
        <v>125.3</v>
      </c>
      <c r="V223" s="8">
        <v>95</v>
      </c>
      <c r="W223" s="8">
        <v>134.1</v>
      </c>
      <c r="X223" s="8">
        <v>133.4</v>
      </c>
      <c r="Y223" s="8">
        <v>144.9</v>
      </c>
      <c r="Z223" s="8">
        <v>121.2</v>
      </c>
      <c r="AA223" s="8">
        <v>126.4</v>
      </c>
      <c r="AB223" s="8">
        <v>119.5</v>
      </c>
      <c r="AC223" s="8">
        <v>117.1</v>
      </c>
      <c r="AD223" s="8"/>
      <c r="AE223" s="8"/>
      <c r="AF223" s="8">
        <v>150.1</v>
      </c>
      <c r="AG223" s="8">
        <v>164.7</v>
      </c>
      <c r="AH223" s="8">
        <v>113.6</v>
      </c>
      <c r="AI223" s="8">
        <v>124</v>
      </c>
      <c r="AJ223" s="8">
        <v>105.7</v>
      </c>
      <c r="AK223" s="8">
        <v>119.8</v>
      </c>
      <c r="AL223" s="8">
        <v>119.8</v>
      </c>
      <c r="AM223" s="8">
        <v>102.7</v>
      </c>
      <c r="AN223" s="8">
        <v>114</v>
      </c>
      <c r="AO223" s="8">
        <v>113.3</v>
      </c>
      <c r="AP223" s="8">
        <v>122</v>
      </c>
      <c r="AQ223" s="8">
        <v>115.8</v>
      </c>
      <c r="AR223" s="8">
        <v>116.9</v>
      </c>
      <c r="AS223" s="8">
        <v>148.4</v>
      </c>
      <c r="AT223" s="8">
        <v>148.4</v>
      </c>
      <c r="AU223" s="8">
        <v>144.69999999999999</v>
      </c>
      <c r="AV223" s="8">
        <v>155.80000000000001</v>
      </c>
      <c r="AW223" s="8">
        <v>124.9</v>
      </c>
      <c r="AX223" s="8">
        <v>151.6</v>
      </c>
      <c r="AY223" s="8">
        <v>131.5</v>
      </c>
      <c r="AZ223" s="8">
        <v>125.2</v>
      </c>
      <c r="BA223" s="8">
        <v>172.1</v>
      </c>
      <c r="BB223" s="8">
        <v>120.4</v>
      </c>
      <c r="BC223" s="8">
        <v>112</v>
      </c>
      <c r="BD223" s="8">
        <v>115.1</v>
      </c>
      <c r="BE223" s="8">
        <v>126.5</v>
      </c>
      <c r="BF223" s="8">
        <v>132.19999999999999</v>
      </c>
      <c r="BG223" s="8">
        <v>127.4</v>
      </c>
      <c r="BH223" s="8"/>
      <c r="BI223" s="8">
        <v>100.5</v>
      </c>
      <c r="BJ223" s="8">
        <v>124.9</v>
      </c>
      <c r="BK223" s="8">
        <v>136.1</v>
      </c>
    </row>
    <row r="224" spans="1:63" x14ac:dyDescent="0.2">
      <c r="A224" s="9">
        <v>44531</v>
      </c>
      <c r="B224" s="8">
        <v>131.19999999999999</v>
      </c>
      <c r="C224" s="8">
        <v>139.30000000000001</v>
      </c>
      <c r="D224" s="8">
        <v>130.4</v>
      </c>
      <c r="E224" s="8">
        <v>134.6</v>
      </c>
      <c r="F224" s="8">
        <v>2.8</v>
      </c>
      <c r="G224" s="8">
        <v>5.5</v>
      </c>
      <c r="H224" s="8">
        <v>2</v>
      </c>
      <c r="I224" s="8">
        <v>14</v>
      </c>
      <c r="J224" s="8">
        <v>20.8</v>
      </c>
      <c r="K224" s="8">
        <v>11.7</v>
      </c>
      <c r="L224" s="8">
        <v>161.5</v>
      </c>
      <c r="M224" s="8">
        <v>92.4</v>
      </c>
      <c r="N224" s="8">
        <v>143.4</v>
      </c>
      <c r="O224" s="8">
        <v>188</v>
      </c>
      <c r="P224" s="8">
        <v>150.19999999999999</v>
      </c>
      <c r="Q224" s="8">
        <v>122.1</v>
      </c>
      <c r="R224" s="8">
        <v>140.6</v>
      </c>
      <c r="S224" s="8">
        <v>117.7</v>
      </c>
      <c r="T224" s="8">
        <v>117.1</v>
      </c>
      <c r="U224" s="8">
        <v>170.8</v>
      </c>
      <c r="V224" s="8">
        <v>99.9</v>
      </c>
      <c r="W224" s="8">
        <v>122.6</v>
      </c>
      <c r="X224" s="8">
        <v>136.4</v>
      </c>
      <c r="Y224" s="8">
        <v>150.80000000000001</v>
      </c>
      <c r="Z224" s="8">
        <v>121</v>
      </c>
      <c r="AA224" s="8">
        <v>129.4</v>
      </c>
      <c r="AB224" s="8">
        <v>117.9</v>
      </c>
      <c r="AC224" s="8">
        <v>116.4</v>
      </c>
      <c r="AD224" s="8"/>
      <c r="AE224" s="8"/>
      <c r="AF224" s="8">
        <v>157</v>
      </c>
      <c r="AG224" s="8">
        <v>171.1</v>
      </c>
      <c r="AH224" s="8">
        <v>120.5</v>
      </c>
      <c r="AI224" s="8">
        <v>127.5</v>
      </c>
      <c r="AJ224" s="8">
        <v>110.2</v>
      </c>
      <c r="AK224" s="8">
        <v>139.4</v>
      </c>
      <c r="AL224" s="8">
        <v>144.69999999999999</v>
      </c>
      <c r="AM224" s="8">
        <v>117.8</v>
      </c>
      <c r="AN224" s="8">
        <v>115.2</v>
      </c>
      <c r="AO224" s="8">
        <v>114.5</v>
      </c>
      <c r="AP224" s="8">
        <v>122.5</v>
      </c>
      <c r="AQ224" s="8">
        <v>118.7</v>
      </c>
      <c r="AR224" s="8">
        <v>121.2</v>
      </c>
      <c r="AS224" s="8">
        <v>164.8</v>
      </c>
      <c r="AT224" s="8">
        <v>172.2</v>
      </c>
      <c r="AU224" s="8">
        <v>162.1</v>
      </c>
      <c r="AV224" s="8">
        <v>162.5</v>
      </c>
      <c r="AW224" s="8">
        <v>136.69999999999999</v>
      </c>
      <c r="AX224" s="8">
        <v>160.9</v>
      </c>
      <c r="AY224" s="8">
        <v>130.19999999999999</v>
      </c>
      <c r="AZ224" s="8">
        <v>123.5</v>
      </c>
      <c r="BA224" s="8">
        <v>173.8</v>
      </c>
      <c r="BB224" s="8">
        <v>123.3</v>
      </c>
      <c r="BC224" s="8">
        <v>112.6</v>
      </c>
      <c r="BD224" s="8">
        <v>115.2</v>
      </c>
      <c r="BE224" s="8">
        <v>129.6</v>
      </c>
      <c r="BF224" s="8">
        <v>132.19999999999999</v>
      </c>
      <c r="BG224" s="8">
        <v>129.30000000000001</v>
      </c>
      <c r="BH224" s="8"/>
      <c r="BI224" s="8">
        <v>101.9</v>
      </c>
      <c r="BJ224" s="8">
        <v>122.8</v>
      </c>
      <c r="BK224" s="8">
        <v>135</v>
      </c>
    </row>
    <row r="225" spans="1:63" x14ac:dyDescent="0.2">
      <c r="A225" s="9">
        <v>44621</v>
      </c>
      <c r="B225" s="8">
        <v>139.30000000000001</v>
      </c>
      <c r="C225" s="8">
        <v>154.1</v>
      </c>
      <c r="D225" s="8">
        <v>136.69999999999999</v>
      </c>
      <c r="E225" s="8">
        <v>141.6</v>
      </c>
      <c r="F225" s="8">
        <v>6.2</v>
      </c>
      <c r="G225" s="8">
        <v>10.6</v>
      </c>
      <c r="H225" s="8">
        <v>4.8</v>
      </c>
      <c r="I225" s="8">
        <v>18.5</v>
      </c>
      <c r="J225" s="8">
        <v>30</v>
      </c>
      <c r="K225" s="8">
        <v>14.9</v>
      </c>
      <c r="L225" s="8">
        <v>165.4</v>
      </c>
      <c r="M225" s="8">
        <v>94.2</v>
      </c>
      <c r="N225" s="8">
        <v>142.30000000000001</v>
      </c>
      <c r="O225" s="8">
        <v>192.9</v>
      </c>
      <c r="P225" s="8">
        <v>149.30000000000001</v>
      </c>
      <c r="Q225" s="8">
        <v>130.6</v>
      </c>
      <c r="R225" s="8">
        <v>141.19999999999999</v>
      </c>
      <c r="S225" s="8">
        <v>120.8</v>
      </c>
      <c r="T225" s="8">
        <v>122.5</v>
      </c>
      <c r="U225" s="8">
        <v>209.4</v>
      </c>
      <c r="V225" s="8">
        <v>125.5</v>
      </c>
      <c r="W225" s="8">
        <v>131.19999999999999</v>
      </c>
      <c r="X225" s="8">
        <v>137.1</v>
      </c>
      <c r="Y225" s="8">
        <v>152.80000000000001</v>
      </c>
      <c r="Z225" s="8">
        <v>120</v>
      </c>
      <c r="AA225" s="8">
        <v>136.1</v>
      </c>
      <c r="AB225" s="8">
        <v>124.9</v>
      </c>
      <c r="AC225" s="8">
        <v>117.5</v>
      </c>
      <c r="AD225" s="8"/>
      <c r="AE225" s="8"/>
      <c r="AF225" s="8">
        <v>158</v>
      </c>
      <c r="AG225" s="8">
        <v>171</v>
      </c>
      <c r="AH225" s="8">
        <v>121.4</v>
      </c>
      <c r="AI225" s="8">
        <v>130.30000000000001</v>
      </c>
      <c r="AJ225" s="8">
        <v>116.5</v>
      </c>
      <c r="AK225" s="8">
        <v>158.80000000000001</v>
      </c>
      <c r="AL225" s="8">
        <v>179.8</v>
      </c>
      <c r="AM225" s="8">
        <v>125</v>
      </c>
      <c r="AN225" s="8">
        <v>117</v>
      </c>
      <c r="AO225" s="8">
        <v>116.1</v>
      </c>
      <c r="AP225" s="8">
        <v>122.8</v>
      </c>
      <c r="AQ225" s="8">
        <v>123.6</v>
      </c>
      <c r="AR225" s="8">
        <v>128.9</v>
      </c>
      <c r="AS225" s="8">
        <v>175.3</v>
      </c>
      <c r="AT225" s="8">
        <v>176.2</v>
      </c>
      <c r="AU225" s="8">
        <v>188.3</v>
      </c>
      <c r="AV225" s="8">
        <v>183.3</v>
      </c>
      <c r="AW225" s="8">
        <v>145.69999999999999</v>
      </c>
      <c r="AX225" s="8">
        <v>172.2</v>
      </c>
      <c r="AY225" s="8">
        <v>133.1</v>
      </c>
      <c r="AZ225" s="8">
        <v>123.2</v>
      </c>
      <c r="BA225" s="8">
        <v>184</v>
      </c>
      <c r="BB225" s="8">
        <v>125.3</v>
      </c>
      <c r="BC225" s="8">
        <v>112.7</v>
      </c>
      <c r="BD225" s="8">
        <v>116</v>
      </c>
      <c r="BE225" s="8">
        <v>129</v>
      </c>
      <c r="BF225" s="8">
        <v>132.80000000000001</v>
      </c>
      <c r="BG225" s="8">
        <v>130.19999999999999</v>
      </c>
      <c r="BH225" s="8"/>
      <c r="BI225" s="8">
        <v>101.4</v>
      </c>
      <c r="BJ225" s="8">
        <v>130.5</v>
      </c>
      <c r="BK225" s="8">
        <v>141.19999999999999</v>
      </c>
    </row>
    <row r="226" spans="1:63" x14ac:dyDescent="0.2">
      <c r="A226" s="9">
        <v>44713</v>
      </c>
      <c r="B226" s="8">
        <v>143.6</v>
      </c>
      <c r="C226" s="8">
        <v>159</v>
      </c>
      <c r="D226" s="8">
        <v>140.80000000000001</v>
      </c>
      <c r="E226" s="8">
        <v>145.80000000000001</v>
      </c>
      <c r="F226" s="8">
        <v>3.1</v>
      </c>
      <c r="G226" s="8">
        <v>3.2</v>
      </c>
      <c r="H226" s="8">
        <v>3</v>
      </c>
      <c r="I226" s="8">
        <v>17.7</v>
      </c>
      <c r="J226" s="8">
        <v>29.5</v>
      </c>
      <c r="K226" s="8">
        <v>14</v>
      </c>
      <c r="L226" s="8">
        <v>168.5</v>
      </c>
      <c r="M226" s="8">
        <v>91.7</v>
      </c>
      <c r="N226" s="8">
        <v>132.5</v>
      </c>
      <c r="O226" s="8">
        <v>194.6</v>
      </c>
      <c r="P226" s="8">
        <v>159.5</v>
      </c>
      <c r="Q226" s="8">
        <v>147.4</v>
      </c>
      <c r="R226" s="8">
        <v>143.80000000000001</v>
      </c>
      <c r="S226" s="8">
        <v>122.4</v>
      </c>
      <c r="T226" s="8">
        <v>123.5</v>
      </c>
      <c r="U226" s="8">
        <v>247.3</v>
      </c>
      <c r="V226" s="8">
        <v>130.5</v>
      </c>
      <c r="W226" s="8">
        <v>134.4</v>
      </c>
      <c r="X226" s="8">
        <v>140.19999999999999</v>
      </c>
      <c r="Y226" s="8">
        <v>158</v>
      </c>
      <c r="Z226" s="8">
        <v>120.3</v>
      </c>
      <c r="AA226" s="8">
        <v>141.5</v>
      </c>
      <c r="AB226" s="8">
        <v>132.19999999999999</v>
      </c>
      <c r="AC226" s="8">
        <v>122.7</v>
      </c>
      <c r="AD226" s="8"/>
      <c r="AE226" s="8"/>
      <c r="AF226" s="8">
        <v>161.6</v>
      </c>
      <c r="AG226" s="8">
        <v>173.9</v>
      </c>
      <c r="AH226" s="8">
        <v>126.4</v>
      </c>
      <c r="AI226" s="8">
        <v>132.5</v>
      </c>
      <c r="AJ226" s="8">
        <v>118.9</v>
      </c>
      <c r="AK226" s="8">
        <v>167</v>
      </c>
      <c r="AL226" s="8">
        <v>188.1</v>
      </c>
      <c r="AM226" s="8">
        <v>141.19999999999999</v>
      </c>
      <c r="AN226" s="8">
        <v>121.2</v>
      </c>
      <c r="AO226" s="8">
        <v>119.9</v>
      </c>
      <c r="AP226" s="8">
        <v>132.30000000000001</v>
      </c>
      <c r="AQ226" s="8">
        <v>125.9</v>
      </c>
      <c r="AR226" s="8">
        <v>130.30000000000001</v>
      </c>
      <c r="AS226" s="8">
        <v>181</v>
      </c>
      <c r="AT226" s="8">
        <v>186.5</v>
      </c>
      <c r="AU226" s="8">
        <v>186.4</v>
      </c>
      <c r="AV226" s="8">
        <v>185.1</v>
      </c>
      <c r="AW226" s="8">
        <v>146.19999999999999</v>
      </c>
      <c r="AX226" s="8">
        <v>182.9</v>
      </c>
      <c r="AY226" s="8">
        <v>137.1</v>
      </c>
      <c r="AZ226" s="8">
        <v>123.7</v>
      </c>
      <c r="BA226" s="8">
        <v>196.1</v>
      </c>
      <c r="BB226" s="8">
        <v>127.3</v>
      </c>
      <c r="BC226" s="8">
        <v>113.1</v>
      </c>
      <c r="BD226" s="8">
        <v>116.4</v>
      </c>
      <c r="BE226" s="8">
        <v>131.80000000000001</v>
      </c>
      <c r="BF226" s="8">
        <v>133.69999999999999</v>
      </c>
      <c r="BG226" s="8">
        <v>131.30000000000001</v>
      </c>
      <c r="BH226" s="8"/>
      <c r="BI226" s="8">
        <v>100.9</v>
      </c>
      <c r="BJ226" s="8">
        <v>131.69999999999999</v>
      </c>
      <c r="BK226" s="8">
        <v>147.5</v>
      </c>
    </row>
    <row r="227" spans="1:63" x14ac:dyDescent="0.2">
      <c r="A227" s="9">
        <v>44805</v>
      </c>
      <c r="B227" s="8">
        <v>145.80000000000001</v>
      </c>
      <c r="C227" s="8">
        <v>164.2</v>
      </c>
      <c r="D227" s="8">
        <v>142.1</v>
      </c>
      <c r="E227" s="8">
        <v>147.80000000000001</v>
      </c>
      <c r="F227" s="8">
        <v>1.5</v>
      </c>
      <c r="G227" s="8">
        <v>3.3</v>
      </c>
      <c r="H227" s="8">
        <v>0.9</v>
      </c>
      <c r="I227" s="8">
        <v>14.3</v>
      </c>
      <c r="J227" s="8">
        <v>24.3</v>
      </c>
      <c r="K227" s="8">
        <v>11.1</v>
      </c>
      <c r="L227" s="8">
        <v>169.7</v>
      </c>
      <c r="M227" s="8">
        <v>91.7</v>
      </c>
      <c r="N227" s="8">
        <v>129.4</v>
      </c>
      <c r="O227" s="8">
        <v>188.8</v>
      </c>
      <c r="P227" s="8">
        <v>161.69999999999999</v>
      </c>
      <c r="Q227" s="8">
        <v>175.4</v>
      </c>
      <c r="R227" s="8">
        <v>149.9</v>
      </c>
      <c r="S227" s="8">
        <v>123.4</v>
      </c>
      <c r="T227" s="8">
        <v>128.1</v>
      </c>
      <c r="U227" s="8">
        <v>143.69999999999999</v>
      </c>
      <c r="V227" s="8">
        <v>150.4</v>
      </c>
      <c r="W227" s="8">
        <v>122.8</v>
      </c>
      <c r="X227" s="8">
        <v>144.19999999999999</v>
      </c>
      <c r="Y227" s="8">
        <v>156.4</v>
      </c>
      <c r="Z227" s="8">
        <v>132.30000000000001</v>
      </c>
      <c r="AA227" s="8">
        <v>147.19999999999999</v>
      </c>
      <c r="AB227" s="8">
        <v>140.5</v>
      </c>
      <c r="AC227" s="8">
        <v>125.4</v>
      </c>
      <c r="AD227" s="8"/>
      <c r="AE227" s="8"/>
      <c r="AF227" s="8">
        <v>173.5</v>
      </c>
      <c r="AG227" s="8">
        <v>189.3</v>
      </c>
      <c r="AH227" s="8">
        <v>129.80000000000001</v>
      </c>
      <c r="AI227" s="8">
        <v>147.6</v>
      </c>
      <c r="AJ227" s="8">
        <v>123.5</v>
      </c>
      <c r="AK227" s="8">
        <v>177</v>
      </c>
      <c r="AL227" s="8">
        <v>211.2</v>
      </c>
      <c r="AM227" s="8">
        <v>155.4</v>
      </c>
      <c r="AN227" s="8">
        <v>123.3</v>
      </c>
      <c r="AO227" s="8">
        <v>121.9</v>
      </c>
      <c r="AP227" s="8">
        <v>134.6</v>
      </c>
      <c r="AQ227" s="8">
        <v>133.80000000000001</v>
      </c>
      <c r="AR227" s="8">
        <v>141.5</v>
      </c>
      <c r="AS227" s="8">
        <v>175.7</v>
      </c>
      <c r="AT227" s="8">
        <v>177</v>
      </c>
      <c r="AU227" s="8">
        <v>206.1</v>
      </c>
      <c r="AV227" s="8">
        <v>159.6</v>
      </c>
      <c r="AW227" s="8">
        <v>147.4</v>
      </c>
      <c r="AX227" s="8">
        <v>190.5</v>
      </c>
      <c r="AY227" s="8">
        <v>138</v>
      </c>
      <c r="AZ227" s="8">
        <v>126.5</v>
      </c>
      <c r="BA227" s="8">
        <v>193</v>
      </c>
      <c r="BB227" s="8">
        <v>132.19999999999999</v>
      </c>
      <c r="BC227" s="8">
        <v>113.8</v>
      </c>
      <c r="BD227" s="8">
        <v>119.1</v>
      </c>
      <c r="BE227" s="8">
        <v>138.5</v>
      </c>
      <c r="BF227" s="8">
        <v>139.5</v>
      </c>
      <c r="BG227" s="8">
        <v>137.69999999999999</v>
      </c>
      <c r="BH227" s="8"/>
      <c r="BI227" s="8">
        <v>101.8</v>
      </c>
      <c r="BJ227" s="8">
        <v>182.6</v>
      </c>
      <c r="BK227" s="8">
        <v>167.7</v>
      </c>
    </row>
    <row r="228" spans="1:63" x14ac:dyDescent="0.2">
      <c r="A228" s="9">
        <v>44896</v>
      </c>
      <c r="B228" s="8">
        <v>145.4</v>
      </c>
      <c r="C228" s="8">
        <v>164.9</v>
      </c>
      <c r="D228" s="8">
        <v>141.30000000000001</v>
      </c>
      <c r="E228" s="8">
        <v>147.6</v>
      </c>
      <c r="F228" s="8">
        <v>-0.3</v>
      </c>
      <c r="G228" s="8">
        <v>0.4</v>
      </c>
      <c r="H228" s="8">
        <v>-0.6</v>
      </c>
      <c r="I228" s="8">
        <v>10.8</v>
      </c>
      <c r="J228" s="8">
        <v>18.399999999999999</v>
      </c>
      <c r="K228" s="8">
        <v>8.4</v>
      </c>
      <c r="L228" s="8">
        <v>167.6</v>
      </c>
      <c r="M228" s="8">
        <v>89.3</v>
      </c>
      <c r="N228" s="8">
        <v>121.8</v>
      </c>
      <c r="O228" s="8">
        <v>187.3</v>
      </c>
      <c r="P228" s="8">
        <v>165.4</v>
      </c>
      <c r="Q228" s="8">
        <v>165.1</v>
      </c>
      <c r="R228" s="8">
        <v>154.5</v>
      </c>
      <c r="S228" s="8">
        <v>129.4</v>
      </c>
      <c r="T228" s="8">
        <v>140.1</v>
      </c>
      <c r="U228" s="8">
        <v>152.4</v>
      </c>
      <c r="V228" s="8">
        <v>132.9</v>
      </c>
      <c r="W228" s="8">
        <v>126.6</v>
      </c>
      <c r="X228" s="8">
        <v>151.30000000000001</v>
      </c>
      <c r="Y228" s="8">
        <v>161.80000000000001</v>
      </c>
      <c r="Z228" s="8">
        <v>142</v>
      </c>
      <c r="AA228" s="8">
        <v>149.69999999999999</v>
      </c>
      <c r="AB228" s="8">
        <v>143.9</v>
      </c>
      <c r="AC228" s="8">
        <v>135.80000000000001</v>
      </c>
      <c r="AD228" s="8"/>
      <c r="AE228" s="8"/>
      <c r="AF228" s="8">
        <v>173.7</v>
      </c>
      <c r="AG228" s="8">
        <v>188.6</v>
      </c>
      <c r="AH228" s="8">
        <v>134.5</v>
      </c>
      <c r="AI228" s="8">
        <v>157.1</v>
      </c>
      <c r="AJ228" s="8">
        <v>134.30000000000001</v>
      </c>
      <c r="AK228" s="8">
        <v>173.1</v>
      </c>
      <c r="AL228" s="8">
        <v>211.4</v>
      </c>
      <c r="AM228" s="8">
        <v>167.5</v>
      </c>
      <c r="AN228" s="8">
        <v>124.4</v>
      </c>
      <c r="AO228" s="8">
        <v>122.8</v>
      </c>
      <c r="AP228" s="8">
        <v>134.9</v>
      </c>
      <c r="AQ228" s="8">
        <v>136.19999999999999</v>
      </c>
      <c r="AR228" s="8">
        <v>141.19999999999999</v>
      </c>
      <c r="AS228" s="8">
        <v>175.3</v>
      </c>
      <c r="AT228" s="8">
        <v>170.6</v>
      </c>
      <c r="AU228" s="8">
        <v>204.8</v>
      </c>
      <c r="AV228" s="8">
        <v>184.6</v>
      </c>
      <c r="AW228" s="8">
        <v>146.9</v>
      </c>
      <c r="AX228" s="8">
        <v>197</v>
      </c>
      <c r="AY228" s="8">
        <v>138</v>
      </c>
      <c r="AZ228" s="8">
        <v>127.4</v>
      </c>
      <c r="BA228" s="8">
        <v>190.4</v>
      </c>
      <c r="BB228" s="8">
        <v>136.69999999999999</v>
      </c>
      <c r="BC228" s="8">
        <v>120.7</v>
      </c>
      <c r="BD228" s="8">
        <v>121.5</v>
      </c>
      <c r="BE228" s="8">
        <v>148.1</v>
      </c>
      <c r="BF228" s="8">
        <v>148.69999999999999</v>
      </c>
      <c r="BG228" s="8">
        <v>145.69999999999999</v>
      </c>
      <c r="BH228" s="8"/>
      <c r="BI228" s="8">
        <v>102.7</v>
      </c>
      <c r="BJ228" s="8">
        <v>148.19999999999999</v>
      </c>
      <c r="BK228" s="8">
        <v>152.4</v>
      </c>
    </row>
    <row r="229" spans="1:63" x14ac:dyDescent="0.2">
      <c r="A229" s="9">
        <v>44986</v>
      </c>
      <c r="B229" s="8">
        <v>144.9</v>
      </c>
      <c r="C229" s="8">
        <v>159.30000000000001</v>
      </c>
      <c r="D229" s="8">
        <v>142.4</v>
      </c>
      <c r="E229" s="8">
        <v>148.19999999999999</v>
      </c>
      <c r="F229" s="8">
        <v>-0.3</v>
      </c>
      <c r="G229" s="8">
        <v>-3.4</v>
      </c>
      <c r="H229" s="8">
        <v>0.8</v>
      </c>
      <c r="I229" s="8">
        <v>4</v>
      </c>
      <c r="J229" s="8">
        <v>3.4</v>
      </c>
      <c r="K229" s="8">
        <v>4.2</v>
      </c>
      <c r="L229" s="8">
        <v>161</v>
      </c>
      <c r="M229" s="8">
        <v>106.7</v>
      </c>
      <c r="N229" s="8">
        <v>125.6</v>
      </c>
      <c r="O229" s="8">
        <v>169</v>
      </c>
      <c r="P229" s="8">
        <v>165.9</v>
      </c>
      <c r="Q229" s="8">
        <v>175.8</v>
      </c>
      <c r="R229" s="8">
        <v>161.69999999999999</v>
      </c>
      <c r="S229" s="8">
        <v>130.4</v>
      </c>
      <c r="T229" s="8">
        <v>133.30000000000001</v>
      </c>
      <c r="U229" s="8">
        <v>174.8</v>
      </c>
      <c r="V229" s="8">
        <v>131.9</v>
      </c>
      <c r="W229" s="8">
        <v>134.69999999999999</v>
      </c>
      <c r="X229" s="8">
        <v>157.5</v>
      </c>
      <c r="Y229" s="8">
        <v>166.6</v>
      </c>
      <c r="Z229" s="8">
        <v>150.4</v>
      </c>
      <c r="AA229" s="8">
        <v>148.19999999999999</v>
      </c>
      <c r="AB229" s="8">
        <v>146.1</v>
      </c>
      <c r="AC229" s="8">
        <v>134.80000000000001</v>
      </c>
      <c r="AD229" s="8"/>
      <c r="AE229" s="8"/>
      <c r="AF229" s="8">
        <v>169.4</v>
      </c>
      <c r="AG229" s="8">
        <v>183.6</v>
      </c>
      <c r="AH229" s="8">
        <v>131.9</v>
      </c>
      <c r="AI229" s="8">
        <v>152.80000000000001</v>
      </c>
      <c r="AJ229" s="8">
        <v>125.8</v>
      </c>
      <c r="AK229" s="8">
        <v>158.19999999999999</v>
      </c>
      <c r="AL229" s="8">
        <v>186.9</v>
      </c>
      <c r="AM229" s="8">
        <v>144.19999999999999</v>
      </c>
      <c r="AN229" s="8">
        <v>127.7</v>
      </c>
      <c r="AO229" s="8">
        <v>126.7</v>
      </c>
      <c r="AP229" s="8">
        <v>134</v>
      </c>
      <c r="AQ229" s="8">
        <v>136.19999999999999</v>
      </c>
      <c r="AR229" s="8">
        <v>140.4</v>
      </c>
      <c r="AS229" s="8">
        <v>169.6</v>
      </c>
      <c r="AT229" s="8">
        <v>162.9</v>
      </c>
      <c r="AU229" s="8">
        <v>180.1</v>
      </c>
      <c r="AV229" s="8">
        <v>172.1</v>
      </c>
      <c r="AW229" s="8">
        <v>164.3</v>
      </c>
      <c r="AX229" s="8">
        <v>198.5</v>
      </c>
      <c r="AY229" s="8">
        <v>139</v>
      </c>
      <c r="AZ229" s="8">
        <v>125</v>
      </c>
      <c r="BA229" s="8">
        <v>199.6</v>
      </c>
      <c r="BB229" s="8">
        <v>136.6</v>
      </c>
      <c r="BC229" s="8">
        <v>121.1</v>
      </c>
      <c r="BD229" s="8">
        <v>117.2</v>
      </c>
      <c r="BE229" s="8">
        <v>151.4</v>
      </c>
      <c r="BF229" s="8">
        <v>151.1</v>
      </c>
      <c r="BG229" s="8">
        <v>154.4</v>
      </c>
      <c r="BH229" s="8"/>
      <c r="BI229" s="8">
        <v>102.8</v>
      </c>
      <c r="BJ229" s="8">
        <v>189.8</v>
      </c>
      <c r="BK229" s="8">
        <v>150.1</v>
      </c>
    </row>
    <row r="230" spans="1:63" x14ac:dyDescent="0.2">
      <c r="A230" s="9">
        <v>45078</v>
      </c>
      <c r="B230" s="8">
        <v>144.6</v>
      </c>
      <c r="C230" s="8">
        <v>157.19999999999999</v>
      </c>
      <c r="D230" s="8">
        <v>142.6</v>
      </c>
      <c r="E230" s="8">
        <v>148.30000000000001</v>
      </c>
      <c r="F230" s="8">
        <v>-0.2</v>
      </c>
      <c r="G230" s="8">
        <v>-1.3</v>
      </c>
      <c r="H230" s="8">
        <v>0.1</v>
      </c>
      <c r="I230" s="8">
        <v>0.7</v>
      </c>
      <c r="J230" s="8">
        <v>-1.1000000000000001</v>
      </c>
      <c r="K230" s="8">
        <v>1.3</v>
      </c>
      <c r="L230" s="8">
        <v>157.80000000000001</v>
      </c>
      <c r="M230" s="8">
        <v>114</v>
      </c>
      <c r="N230" s="8">
        <v>130</v>
      </c>
      <c r="O230" s="8">
        <v>154.1</v>
      </c>
      <c r="P230" s="8">
        <v>193.8</v>
      </c>
      <c r="Q230" s="8">
        <v>191.8</v>
      </c>
      <c r="R230" s="8">
        <v>162.80000000000001</v>
      </c>
      <c r="S230" s="8">
        <v>129.1</v>
      </c>
      <c r="T230" s="8">
        <v>140.80000000000001</v>
      </c>
      <c r="U230" s="8">
        <v>142.30000000000001</v>
      </c>
      <c r="V230" s="8">
        <v>129.1</v>
      </c>
      <c r="W230" s="8">
        <v>138.4</v>
      </c>
      <c r="X230" s="8">
        <v>157.5</v>
      </c>
      <c r="Y230" s="8">
        <v>165.1</v>
      </c>
      <c r="Z230" s="8">
        <v>152.5</v>
      </c>
      <c r="AA230" s="8">
        <v>146.9</v>
      </c>
      <c r="AB230" s="8">
        <v>140.30000000000001</v>
      </c>
      <c r="AC230" s="8">
        <v>136.5</v>
      </c>
      <c r="AD230" s="8"/>
      <c r="AE230" s="8"/>
      <c r="AF230" s="8">
        <v>165.9</v>
      </c>
      <c r="AG230" s="8">
        <v>179.1</v>
      </c>
      <c r="AH230" s="8">
        <v>133.1</v>
      </c>
      <c r="AI230" s="8">
        <v>152.9</v>
      </c>
      <c r="AJ230" s="8">
        <v>124.7</v>
      </c>
      <c r="AK230" s="8">
        <v>147.6</v>
      </c>
      <c r="AL230" s="8">
        <v>161.80000000000001</v>
      </c>
      <c r="AM230" s="8">
        <v>138.1</v>
      </c>
      <c r="AN230" s="8">
        <v>127.2</v>
      </c>
      <c r="AO230" s="8">
        <v>125.9</v>
      </c>
      <c r="AP230" s="8">
        <v>141.6</v>
      </c>
      <c r="AQ230" s="8">
        <v>138.9</v>
      </c>
      <c r="AR230" s="8">
        <v>143.69999999999999</v>
      </c>
      <c r="AS230" s="8">
        <v>164.7</v>
      </c>
      <c r="AT230" s="8">
        <v>155.6</v>
      </c>
      <c r="AU230" s="8">
        <v>178.1</v>
      </c>
      <c r="AV230" s="8">
        <v>167.2</v>
      </c>
      <c r="AW230" s="8">
        <v>164.4</v>
      </c>
      <c r="AX230" s="8">
        <v>195.8</v>
      </c>
      <c r="AY230" s="8">
        <v>155.4</v>
      </c>
      <c r="AZ230" s="8">
        <v>136.4</v>
      </c>
      <c r="BA230" s="8">
        <v>232.8</v>
      </c>
      <c r="BB230" s="8">
        <v>138.69999999999999</v>
      </c>
      <c r="BC230" s="8">
        <v>126.9</v>
      </c>
      <c r="BD230" s="8">
        <v>121.2</v>
      </c>
      <c r="BE230" s="8">
        <v>154.19999999999999</v>
      </c>
      <c r="BF230" s="8">
        <v>157</v>
      </c>
      <c r="BG230" s="8">
        <v>153.5</v>
      </c>
      <c r="BH230" s="8"/>
      <c r="BI230" s="8">
        <v>102.9</v>
      </c>
      <c r="BJ230" s="8">
        <v>195.3</v>
      </c>
      <c r="BK230" s="8">
        <v>154.69999999999999</v>
      </c>
    </row>
    <row r="231" spans="1:63" x14ac:dyDescent="0.2">
      <c r="A231" s="9">
        <v>45170</v>
      </c>
      <c r="B231" s="8">
        <v>142.1</v>
      </c>
      <c r="C231" s="8">
        <v>157.6</v>
      </c>
      <c r="D231" s="8">
        <v>139.19999999999999</v>
      </c>
      <c r="E231" s="8">
        <v>145.19999999999999</v>
      </c>
      <c r="F231" s="8">
        <v>-1.7</v>
      </c>
      <c r="G231" s="8">
        <v>0.3</v>
      </c>
      <c r="H231" s="8">
        <v>-2.4</v>
      </c>
      <c r="I231" s="8">
        <v>-2.5</v>
      </c>
      <c r="J231" s="8">
        <v>-4</v>
      </c>
      <c r="K231" s="8">
        <v>-2</v>
      </c>
      <c r="L231" s="8">
        <v>148.6</v>
      </c>
      <c r="M231" s="8">
        <v>111.8</v>
      </c>
      <c r="N231" s="8">
        <v>124.6</v>
      </c>
      <c r="O231" s="8">
        <v>139.80000000000001</v>
      </c>
      <c r="P231" s="8">
        <v>211.3</v>
      </c>
      <c r="Q231" s="8">
        <v>174.8</v>
      </c>
      <c r="R231" s="8">
        <v>165.6</v>
      </c>
      <c r="S231" s="8">
        <v>126.4</v>
      </c>
      <c r="T231" s="8">
        <v>141.69999999999999</v>
      </c>
      <c r="U231" s="8">
        <v>129.80000000000001</v>
      </c>
      <c r="V231" s="8">
        <v>135.4</v>
      </c>
      <c r="W231" s="8">
        <v>135.1</v>
      </c>
      <c r="X231" s="8">
        <v>168.5</v>
      </c>
      <c r="Y231" s="8">
        <v>176</v>
      </c>
      <c r="Z231" s="8">
        <v>164</v>
      </c>
      <c r="AA231" s="8">
        <v>145.1</v>
      </c>
      <c r="AB231" s="8">
        <v>141</v>
      </c>
      <c r="AC231" s="8">
        <v>136.1</v>
      </c>
      <c r="AD231" s="8"/>
      <c r="AE231" s="8"/>
      <c r="AF231" s="8">
        <v>161.4</v>
      </c>
      <c r="AG231" s="8">
        <v>173.3</v>
      </c>
      <c r="AH231" s="8">
        <v>133.30000000000001</v>
      </c>
      <c r="AI231" s="8">
        <v>154.1</v>
      </c>
      <c r="AJ231" s="8">
        <v>126.8</v>
      </c>
      <c r="AK231" s="8">
        <v>139.69999999999999</v>
      </c>
      <c r="AL231" s="8">
        <v>153.9</v>
      </c>
      <c r="AM231" s="8">
        <v>131</v>
      </c>
      <c r="AN231" s="8">
        <v>126.9</v>
      </c>
      <c r="AO231" s="8">
        <v>125.6</v>
      </c>
      <c r="AP231" s="8">
        <v>141.5</v>
      </c>
      <c r="AQ231" s="8">
        <v>141</v>
      </c>
      <c r="AR231" s="8">
        <v>145.19999999999999</v>
      </c>
      <c r="AS231" s="8">
        <v>160.6</v>
      </c>
      <c r="AT231" s="8">
        <v>153.69999999999999</v>
      </c>
      <c r="AU231" s="8">
        <v>167.2</v>
      </c>
      <c r="AV231" s="8">
        <v>161.1</v>
      </c>
      <c r="AW231" s="8">
        <v>160.80000000000001</v>
      </c>
      <c r="AX231" s="8">
        <v>193</v>
      </c>
      <c r="AY231" s="8">
        <v>140.19999999999999</v>
      </c>
      <c r="AZ231" s="8">
        <v>136.5</v>
      </c>
      <c r="BA231" s="8">
        <v>179</v>
      </c>
      <c r="BB231" s="8">
        <v>139.4</v>
      </c>
      <c r="BC231" s="8">
        <v>127.4</v>
      </c>
      <c r="BD231" s="8">
        <v>121.2</v>
      </c>
      <c r="BE231" s="8">
        <v>157.1</v>
      </c>
      <c r="BF231" s="8">
        <v>156.30000000000001</v>
      </c>
      <c r="BG231" s="8">
        <v>155</v>
      </c>
      <c r="BH231" s="8"/>
      <c r="BI231" s="8">
        <v>105.1</v>
      </c>
      <c r="BJ231" s="8">
        <v>198.2</v>
      </c>
      <c r="BK231" s="8">
        <v>148.1</v>
      </c>
    </row>
    <row r="232" spans="1:63" x14ac:dyDescent="0.2">
      <c r="A232" s="9">
        <v>45261</v>
      </c>
      <c r="B232" s="8">
        <v>142.5</v>
      </c>
      <c r="C232" s="8">
        <v>160.30000000000001</v>
      </c>
      <c r="D232" s="8">
        <v>138.9</v>
      </c>
      <c r="E232" s="8">
        <v>145</v>
      </c>
      <c r="F232" s="8">
        <v>0.3</v>
      </c>
      <c r="G232" s="8">
        <v>1.7</v>
      </c>
      <c r="H232" s="8">
        <v>-0.2</v>
      </c>
      <c r="I232" s="8">
        <v>-2</v>
      </c>
      <c r="J232" s="8">
        <v>-2.8</v>
      </c>
      <c r="K232" s="8">
        <v>-1.7</v>
      </c>
      <c r="L232" s="8">
        <v>141.19999999999999</v>
      </c>
      <c r="M232" s="8">
        <v>120.2</v>
      </c>
      <c r="N232" s="8">
        <v>128.69999999999999</v>
      </c>
      <c r="O232" s="8">
        <v>126.7</v>
      </c>
      <c r="P232" s="8">
        <v>219.6</v>
      </c>
      <c r="Q232" s="8">
        <v>160.19999999999999</v>
      </c>
      <c r="R232" s="8">
        <v>165.6</v>
      </c>
      <c r="S232" s="8">
        <v>133</v>
      </c>
      <c r="T232" s="8">
        <v>144.69999999999999</v>
      </c>
      <c r="U232" s="8">
        <v>166.9</v>
      </c>
      <c r="V232" s="8">
        <v>139.80000000000001</v>
      </c>
      <c r="W232" s="8">
        <v>139.4</v>
      </c>
      <c r="X232" s="8">
        <v>171.5</v>
      </c>
      <c r="Y232" s="8">
        <v>180.1</v>
      </c>
      <c r="Z232" s="8">
        <v>165.5</v>
      </c>
      <c r="AA232" s="8">
        <v>146.5</v>
      </c>
      <c r="AB232" s="8">
        <v>145.9</v>
      </c>
      <c r="AC232" s="8">
        <v>133.30000000000001</v>
      </c>
      <c r="AD232" s="8"/>
      <c r="AE232" s="8"/>
      <c r="AF232" s="8">
        <v>165.9</v>
      </c>
      <c r="AG232" s="8">
        <v>179.5</v>
      </c>
      <c r="AH232" s="8">
        <v>133.4</v>
      </c>
      <c r="AI232" s="8">
        <v>147.6</v>
      </c>
      <c r="AJ232" s="8">
        <v>132</v>
      </c>
      <c r="AK232" s="8">
        <v>136.4</v>
      </c>
      <c r="AL232" s="8">
        <v>152.69999999999999</v>
      </c>
      <c r="AM232" s="8">
        <v>119.1</v>
      </c>
      <c r="AN232" s="8">
        <v>126.3</v>
      </c>
      <c r="AO232" s="8">
        <v>124.9</v>
      </c>
      <c r="AP232" s="8">
        <v>141.5</v>
      </c>
      <c r="AQ232" s="8">
        <v>142</v>
      </c>
      <c r="AR232" s="8">
        <v>144.80000000000001</v>
      </c>
      <c r="AS232" s="8">
        <v>158.19999999999999</v>
      </c>
      <c r="AT232" s="8">
        <v>151</v>
      </c>
      <c r="AU232" s="8">
        <v>164.6</v>
      </c>
      <c r="AV232" s="8">
        <v>155.5</v>
      </c>
      <c r="AW232" s="8">
        <v>161.4</v>
      </c>
      <c r="AX232" s="8">
        <v>194.8</v>
      </c>
      <c r="AY232" s="8">
        <v>142</v>
      </c>
      <c r="AZ232" s="8">
        <v>138</v>
      </c>
      <c r="BA232" s="8">
        <v>182.3</v>
      </c>
      <c r="BB232" s="8">
        <v>141.5</v>
      </c>
      <c r="BC232" s="8">
        <v>130.9</v>
      </c>
      <c r="BD232" s="8">
        <v>122.3</v>
      </c>
      <c r="BE232" s="8">
        <v>159.80000000000001</v>
      </c>
      <c r="BF232" s="8">
        <v>159.30000000000001</v>
      </c>
      <c r="BG232" s="8">
        <v>156.30000000000001</v>
      </c>
      <c r="BH232" s="8"/>
      <c r="BI232" s="8">
        <v>121.6</v>
      </c>
      <c r="BJ232" s="8">
        <v>188.4</v>
      </c>
      <c r="BK232" s="8">
        <v>145.9</v>
      </c>
    </row>
    <row r="233" spans="1:63" x14ac:dyDescent="0.2">
      <c r="A233" s="9">
        <v>45352</v>
      </c>
      <c r="B233" s="8">
        <v>143.6</v>
      </c>
      <c r="C233" s="8">
        <v>158.9</v>
      </c>
      <c r="D233" s="8">
        <v>140.9</v>
      </c>
      <c r="E233" s="8">
        <v>146.6</v>
      </c>
      <c r="F233" s="8">
        <v>0.8</v>
      </c>
      <c r="G233" s="8">
        <v>-0.9</v>
      </c>
      <c r="H233" s="8">
        <v>1.4</v>
      </c>
      <c r="I233" s="8">
        <v>-0.9</v>
      </c>
      <c r="J233" s="8">
        <v>-0.3</v>
      </c>
      <c r="K233" s="8">
        <v>-1.1000000000000001</v>
      </c>
      <c r="L233" s="8">
        <v>151</v>
      </c>
      <c r="M233" s="8">
        <v>133.19999999999999</v>
      </c>
      <c r="N233" s="8">
        <v>130.80000000000001</v>
      </c>
      <c r="O233" s="8">
        <v>143.5</v>
      </c>
      <c r="P233" s="8">
        <v>196.2</v>
      </c>
      <c r="Q233" s="8">
        <v>170.5</v>
      </c>
      <c r="R233" s="8">
        <v>168.4</v>
      </c>
      <c r="S233" s="8">
        <v>137.9</v>
      </c>
      <c r="T233" s="8">
        <v>143.19999999999999</v>
      </c>
      <c r="U233" s="8">
        <v>160</v>
      </c>
      <c r="V233" s="8">
        <v>137.6</v>
      </c>
      <c r="W233" s="8">
        <v>140.69999999999999</v>
      </c>
      <c r="X233" s="8">
        <v>171.6</v>
      </c>
      <c r="Y233" s="8">
        <v>181.9</v>
      </c>
      <c r="Z233" s="8">
        <v>163.19999999999999</v>
      </c>
      <c r="AA233" s="8">
        <v>143</v>
      </c>
      <c r="AB233" s="8">
        <v>137.6</v>
      </c>
      <c r="AC233" s="8">
        <v>133.6</v>
      </c>
      <c r="AD233" s="8"/>
      <c r="AE233" s="8"/>
      <c r="AF233" s="8">
        <v>162.5</v>
      </c>
      <c r="AG233" s="8">
        <v>175.1</v>
      </c>
      <c r="AH233" s="8">
        <v>134.9</v>
      </c>
      <c r="AI233" s="8">
        <v>148.9</v>
      </c>
      <c r="AJ233" s="8">
        <v>126.1</v>
      </c>
      <c r="AK233" s="8">
        <v>134.4</v>
      </c>
      <c r="AL233" s="8">
        <v>149.4</v>
      </c>
      <c r="AM233" s="8">
        <v>113.2</v>
      </c>
      <c r="AN233" s="8">
        <v>123.9</v>
      </c>
      <c r="AO233" s="8">
        <v>122.5</v>
      </c>
      <c r="AP233" s="8">
        <v>141</v>
      </c>
      <c r="AQ233" s="8">
        <v>142.5</v>
      </c>
      <c r="AR233" s="8">
        <v>145.4</v>
      </c>
      <c r="AS233" s="8">
        <v>156.30000000000001</v>
      </c>
      <c r="AT233" s="8">
        <v>149.1</v>
      </c>
      <c r="AU233" s="8">
        <v>159.30000000000001</v>
      </c>
      <c r="AV233" s="8">
        <v>154.1</v>
      </c>
      <c r="AW233" s="8">
        <v>162</v>
      </c>
      <c r="AX233" s="8">
        <v>184.5</v>
      </c>
      <c r="AY233" s="8">
        <v>145.9</v>
      </c>
      <c r="AZ233" s="8">
        <v>142.4</v>
      </c>
      <c r="BA233" s="8">
        <v>186.5</v>
      </c>
      <c r="BB233" s="8">
        <v>141.6</v>
      </c>
      <c r="BC233" s="8">
        <v>133.1</v>
      </c>
      <c r="BD233" s="8">
        <v>121.3</v>
      </c>
      <c r="BE233" s="8">
        <v>160.80000000000001</v>
      </c>
      <c r="BF233" s="8">
        <v>150.69999999999999</v>
      </c>
      <c r="BG233" s="8">
        <v>154.30000000000001</v>
      </c>
      <c r="BH233" s="8"/>
      <c r="BI233" s="8">
        <v>130.4</v>
      </c>
      <c r="BJ233" s="8">
        <v>191.9</v>
      </c>
      <c r="BK233" s="8">
        <v>148.9</v>
      </c>
    </row>
    <row r="234" spans="1:63" x14ac:dyDescent="0.2">
      <c r="A234" s="9">
        <v>45444</v>
      </c>
      <c r="B234" s="8">
        <v>146.80000000000001</v>
      </c>
      <c r="C234" s="8">
        <v>163.30000000000001</v>
      </c>
      <c r="D234" s="8">
        <v>143.6</v>
      </c>
      <c r="E234" s="8">
        <v>149.9</v>
      </c>
      <c r="F234" s="8">
        <v>2.2000000000000002</v>
      </c>
      <c r="G234" s="8">
        <v>2.8</v>
      </c>
      <c r="H234" s="8">
        <v>1.9</v>
      </c>
      <c r="I234" s="8">
        <v>1.5</v>
      </c>
      <c r="J234" s="8">
        <v>3.9</v>
      </c>
      <c r="K234" s="8">
        <v>0.7</v>
      </c>
      <c r="L234" s="8">
        <v>153.5</v>
      </c>
      <c r="M234" s="8">
        <v>126.7</v>
      </c>
      <c r="N234" s="8">
        <v>137.30000000000001</v>
      </c>
      <c r="O234" s="8">
        <v>143.9</v>
      </c>
      <c r="P234" s="8">
        <v>193.8</v>
      </c>
      <c r="Q234" s="8">
        <v>184.8</v>
      </c>
      <c r="R234" s="8">
        <v>168.6</v>
      </c>
      <c r="S234" s="8">
        <v>138.5</v>
      </c>
      <c r="T234" s="8">
        <v>144.30000000000001</v>
      </c>
      <c r="U234" s="8">
        <v>128.80000000000001</v>
      </c>
      <c r="V234" s="8">
        <v>135.5</v>
      </c>
      <c r="W234" s="8">
        <v>152.80000000000001</v>
      </c>
      <c r="X234" s="8">
        <v>169.5</v>
      </c>
      <c r="Y234" s="8">
        <v>175.6</v>
      </c>
      <c r="Z234" s="8">
        <v>166.7</v>
      </c>
      <c r="AA234" s="8">
        <v>146.30000000000001</v>
      </c>
      <c r="AB234" s="8">
        <v>143.5</v>
      </c>
      <c r="AC234" s="8">
        <v>136.19999999999999</v>
      </c>
      <c r="AD234" s="8"/>
      <c r="AE234" s="8"/>
      <c r="AF234" s="8">
        <v>163.80000000000001</v>
      </c>
      <c r="AG234" s="8">
        <v>176.4</v>
      </c>
      <c r="AH234" s="8">
        <v>135.80000000000001</v>
      </c>
      <c r="AI234" s="8">
        <v>146.80000000000001</v>
      </c>
      <c r="AJ234" s="8">
        <v>128</v>
      </c>
      <c r="AK234" s="8">
        <v>140.19999999999999</v>
      </c>
      <c r="AL234" s="8">
        <v>153.4</v>
      </c>
      <c r="AM234" s="8">
        <v>124.1</v>
      </c>
      <c r="AN234" s="8">
        <v>124.9</v>
      </c>
      <c r="AO234" s="8">
        <v>123.4</v>
      </c>
      <c r="AP234" s="8">
        <v>141.4</v>
      </c>
      <c r="AQ234" s="8">
        <v>143.69999999999999</v>
      </c>
      <c r="AR234" s="8">
        <v>145.4</v>
      </c>
      <c r="AS234" s="8">
        <v>160.69999999999999</v>
      </c>
      <c r="AT234" s="8">
        <v>148.4</v>
      </c>
      <c r="AU234" s="8">
        <v>161.9</v>
      </c>
      <c r="AV234" s="8">
        <v>176.7</v>
      </c>
      <c r="AW234" s="8">
        <v>168.8</v>
      </c>
      <c r="AX234" s="8">
        <v>181.7</v>
      </c>
      <c r="AY234" s="8">
        <v>147.30000000000001</v>
      </c>
      <c r="AZ234" s="8">
        <v>144.30000000000001</v>
      </c>
      <c r="BA234" s="8">
        <v>187.1</v>
      </c>
      <c r="BB234" s="8">
        <v>142.4</v>
      </c>
      <c r="BC234" s="8">
        <v>132.80000000000001</v>
      </c>
      <c r="BD234" s="8">
        <v>121.8</v>
      </c>
      <c r="BE234" s="8">
        <v>161.69999999999999</v>
      </c>
      <c r="BF234" s="8">
        <v>149.1</v>
      </c>
      <c r="BG234" s="8">
        <v>155.4</v>
      </c>
      <c r="BH234" s="8"/>
      <c r="BI234" s="8">
        <v>128.5</v>
      </c>
      <c r="BJ234" s="8">
        <v>187.8</v>
      </c>
      <c r="BK234" s="8">
        <v>147.5</v>
      </c>
    </row>
    <row r="235" spans="1:63" x14ac:dyDescent="0.2">
      <c r="A235" s="9">
        <v>45536</v>
      </c>
      <c r="B235" s="8">
        <v>147.5</v>
      </c>
      <c r="C235" s="8">
        <v>162.5</v>
      </c>
      <c r="D235" s="8">
        <v>144.80000000000001</v>
      </c>
      <c r="E235" s="8">
        <v>151.1</v>
      </c>
      <c r="F235" s="8">
        <v>0.5</v>
      </c>
      <c r="G235" s="8">
        <v>-0.5</v>
      </c>
      <c r="H235" s="8">
        <v>0.8</v>
      </c>
      <c r="I235" s="8">
        <v>3.8</v>
      </c>
      <c r="J235" s="8">
        <v>3.1</v>
      </c>
      <c r="K235" s="8">
        <v>4</v>
      </c>
      <c r="L235" s="8">
        <v>154.9</v>
      </c>
      <c r="M235" s="8">
        <v>127.1</v>
      </c>
      <c r="N235" s="8">
        <v>139</v>
      </c>
      <c r="O235" s="8">
        <v>155.30000000000001</v>
      </c>
      <c r="P235" s="8">
        <v>169.5</v>
      </c>
      <c r="Q235" s="8">
        <v>163.6</v>
      </c>
      <c r="R235" s="8">
        <v>165.6</v>
      </c>
      <c r="S235" s="8">
        <v>138.19999999999999</v>
      </c>
      <c r="T235" s="8">
        <v>145.9</v>
      </c>
      <c r="U235" s="8">
        <v>107.6</v>
      </c>
      <c r="V235" s="8">
        <v>131.9</v>
      </c>
      <c r="W235" s="8">
        <v>158.19999999999999</v>
      </c>
      <c r="X235" s="8">
        <v>176.3</v>
      </c>
      <c r="Y235" s="8">
        <v>185.5</v>
      </c>
      <c r="Z235" s="8">
        <v>169.5</v>
      </c>
      <c r="AA235" s="8">
        <v>151.4</v>
      </c>
      <c r="AB235" s="8">
        <v>160.4</v>
      </c>
      <c r="AC235" s="8">
        <v>137.30000000000001</v>
      </c>
      <c r="AD235" s="8"/>
      <c r="AE235" s="8"/>
      <c r="AF235" s="8">
        <v>164.4</v>
      </c>
      <c r="AG235" s="8">
        <v>177.3</v>
      </c>
      <c r="AH235" s="8">
        <v>136.5</v>
      </c>
      <c r="AI235" s="8">
        <v>148</v>
      </c>
      <c r="AJ235" s="8">
        <v>124.6</v>
      </c>
      <c r="AK235" s="8">
        <v>137</v>
      </c>
      <c r="AL235" s="8">
        <v>150.4</v>
      </c>
      <c r="AM235" s="8">
        <v>121.7</v>
      </c>
      <c r="AN235" s="8">
        <v>123.7</v>
      </c>
      <c r="AO235" s="8">
        <v>122.3</v>
      </c>
      <c r="AP235" s="8">
        <v>141.19999999999999</v>
      </c>
      <c r="AQ235" s="8">
        <v>144.80000000000001</v>
      </c>
      <c r="AR235" s="8">
        <v>146.9</v>
      </c>
      <c r="AS235" s="8">
        <v>160.9</v>
      </c>
      <c r="AT235" s="8">
        <v>150.69999999999999</v>
      </c>
      <c r="AU235" s="8">
        <v>163.69999999999999</v>
      </c>
      <c r="AV235" s="8">
        <v>165.5</v>
      </c>
      <c r="AW235" s="8">
        <v>169.8</v>
      </c>
      <c r="AX235" s="8">
        <v>176.3</v>
      </c>
      <c r="AY235" s="8">
        <v>140.5</v>
      </c>
      <c r="AZ235" s="8">
        <v>147.1</v>
      </c>
      <c r="BA235" s="8">
        <v>157.19999999999999</v>
      </c>
      <c r="BB235" s="8">
        <v>141.6</v>
      </c>
      <c r="BC235" s="8">
        <v>132.4</v>
      </c>
      <c r="BD235" s="8">
        <v>121.4</v>
      </c>
      <c r="BE235" s="8">
        <v>158.6</v>
      </c>
      <c r="BF235" s="8">
        <v>147.69999999999999</v>
      </c>
      <c r="BG235" s="8">
        <v>159.69999999999999</v>
      </c>
      <c r="BH235" s="8"/>
      <c r="BI235" s="8">
        <v>128.30000000000001</v>
      </c>
      <c r="BJ235" s="8">
        <v>189.9</v>
      </c>
      <c r="BK235" s="8">
        <v>155.1</v>
      </c>
    </row>
    <row r="236" spans="1:63" x14ac:dyDescent="0.2">
      <c r="A236" s="9">
        <v>45627</v>
      </c>
      <c r="B236" s="8">
        <v>149.6</v>
      </c>
      <c r="C236" s="8">
        <v>164.3</v>
      </c>
      <c r="D236" s="8">
        <v>147</v>
      </c>
      <c r="E236" s="8">
        <v>153.69999999999999</v>
      </c>
      <c r="F236" s="8">
        <v>1.4</v>
      </c>
      <c r="G236" s="8">
        <v>1.1000000000000001</v>
      </c>
      <c r="H236" s="8">
        <v>1.5</v>
      </c>
      <c r="I236" s="8">
        <v>5</v>
      </c>
      <c r="J236" s="8">
        <v>2.5</v>
      </c>
      <c r="K236" s="8">
        <v>5.8</v>
      </c>
      <c r="L236" s="8">
        <v>152</v>
      </c>
      <c r="M236" s="8">
        <v>121</v>
      </c>
      <c r="N236" s="8">
        <v>137.9</v>
      </c>
      <c r="O236" s="8">
        <v>152.80000000000001</v>
      </c>
      <c r="P236" s="8">
        <v>187.7</v>
      </c>
      <c r="Q236" s="8">
        <v>143.80000000000001</v>
      </c>
      <c r="R236" s="8">
        <v>164.6</v>
      </c>
      <c r="S236" s="8">
        <v>144.4</v>
      </c>
      <c r="T236" s="8">
        <v>146</v>
      </c>
      <c r="U236" s="8">
        <v>110.3</v>
      </c>
      <c r="V236" s="8">
        <v>126.6</v>
      </c>
      <c r="W236" s="8">
        <v>172.7</v>
      </c>
      <c r="X236" s="8">
        <v>164.6</v>
      </c>
      <c r="Y236" s="8">
        <v>167.3</v>
      </c>
      <c r="Z236" s="8">
        <v>166.6</v>
      </c>
      <c r="AA236" s="8">
        <v>146.69999999999999</v>
      </c>
      <c r="AB236" s="8">
        <v>144.30000000000001</v>
      </c>
      <c r="AC236" s="8">
        <v>136.69999999999999</v>
      </c>
      <c r="AD236" s="8"/>
      <c r="AE236" s="8"/>
      <c r="AF236" s="8">
        <v>164.1</v>
      </c>
      <c r="AG236" s="8">
        <v>177.3</v>
      </c>
      <c r="AH236" s="8">
        <v>134.30000000000001</v>
      </c>
      <c r="AI236" s="8">
        <v>151.80000000000001</v>
      </c>
      <c r="AJ236" s="8">
        <v>126.2</v>
      </c>
      <c r="AK236" s="8">
        <v>139.9</v>
      </c>
      <c r="AL236" s="8">
        <v>154.5</v>
      </c>
      <c r="AM236" s="8">
        <v>121.6</v>
      </c>
      <c r="AN236" s="8">
        <v>122.2</v>
      </c>
      <c r="AO236" s="8">
        <v>120.5</v>
      </c>
      <c r="AP236" s="8">
        <v>141.4</v>
      </c>
      <c r="AQ236" s="8">
        <v>144.4</v>
      </c>
      <c r="AR236" s="8">
        <v>146.80000000000001</v>
      </c>
      <c r="AS236" s="8">
        <v>162</v>
      </c>
      <c r="AT236" s="8">
        <v>150.4</v>
      </c>
      <c r="AU236" s="8">
        <v>162.19999999999999</v>
      </c>
      <c r="AV236" s="8">
        <v>173.8</v>
      </c>
      <c r="AW236" s="8">
        <v>171.6</v>
      </c>
      <c r="AX236" s="8">
        <v>172.3</v>
      </c>
      <c r="AY236" s="8">
        <v>144.6</v>
      </c>
      <c r="AZ236" s="8">
        <v>148.4</v>
      </c>
      <c r="BA236" s="8">
        <v>169.2</v>
      </c>
      <c r="BB236" s="8">
        <v>141.69999999999999</v>
      </c>
      <c r="BC236" s="8">
        <v>132.80000000000001</v>
      </c>
      <c r="BD236" s="8">
        <v>122.2</v>
      </c>
      <c r="BE236" s="8">
        <v>156.69999999999999</v>
      </c>
      <c r="BF236" s="8">
        <v>148.5</v>
      </c>
      <c r="BG236" s="8">
        <v>160.5</v>
      </c>
      <c r="BH236" s="8"/>
      <c r="BI236" s="8">
        <v>128.69999999999999</v>
      </c>
      <c r="BJ236" s="8">
        <v>191</v>
      </c>
      <c r="BK236" s="8">
        <v>154.80000000000001</v>
      </c>
    </row>
    <row r="237" spans="1:63" x14ac:dyDescent="0.2">
      <c r="A237" s="9">
        <v>45717</v>
      </c>
      <c r="B237" s="8">
        <v>155.4</v>
      </c>
      <c r="C237" s="8">
        <v>171.2</v>
      </c>
      <c r="D237" s="8">
        <v>152.6</v>
      </c>
      <c r="E237" s="8">
        <v>159.6</v>
      </c>
      <c r="F237" s="8">
        <v>3.9</v>
      </c>
      <c r="G237" s="8">
        <v>4.2</v>
      </c>
      <c r="H237" s="8">
        <v>3.8</v>
      </c>
      <c r="I237" s="8">
        <v>8.1999999999999993</v>
      </c>
      <c r="J237" s="8">
        <v>7.7</v>
      </c>
      <c r="K237" s="8">
        <v>8.3000000000000007</v>
      </c>
      <c r="L237" s="8">
        <v>158.80000000000001</v>
      </c>
      <c r="M237" s="8">
        <v>135.5</v>
      </c>
      <c r="N237" s="8">
        <v>141.30000000000001</v>
      </c>
      <c r="O237" s="8">
        <v>159.9</v>
      </c>
      <c r="P237" s="8">
        <v>193.6</v>
      </c>
      <c r="Q237" s="8">
        <v>157.30000000000001</v>
      </c>
      <c r="R237" s="8">
        <v>164</v>
      </c>
      <c r="S237" s="8">
        <v>146</v>
      </c>
      <c r="T237" s="8">
        <v>146.80000000000001</v>
      </c>
      <c r="U237" s="8">
        <v>105.4</v>
      </c>
      <c r="V237" s="8">
        <v>130.9</v>
      </c>
      <c r="W237" s="8">
        <v>187.3</v>
      </c>
      <c r="X237" s="8">
        <v>162</v>
      </c>
      <c r="Y237" s="8">
        <v>173.5</v>
      </c>
      <c r="Z237" s="8">
        <v>151.5</v>
      </c>
      <c r="AA237" s="8">
        <v>151.19999999999999</v>
      </c>
      <c r="AB237" s="8">
        <v>150.80000000000001</v>
      </c>
      <c r="AC237" s="8">
        <v>136.19999999999999</v>
      </c>
      <c r="AD237" s="8"/>
      <c r="AE237" s="8"/>
      <c r="AF237" s="8">
        <v>166.7</v>
      </c>
      <c r="AG237" s="8">
        <v>180.1</v>
      </c>
      <c r="AH237" s="8">
        <v>136.69999999999999</v>
      </c>
      <c r="AI237" s="8">
        <v>155.69999999999999</v>
      </c>
      <c r="AJ237" s="8">
        <v>131.6</v>
      </c>
      <c r="AK237" s="8">
        <v>142</v>
      </c>
      <c r="AL237" s="8">
        <v>157.69999999999999</v>
      </c>
      <c r="AM237" s="8">
        <v>127.5</v>
      </c>
      <c r="AN237" s="8">
        <v>123.8</v>
      </c>
      <c r="AO237" s="8">
        <v>122.1</v>
      </c>
      <c r="AP237" s="8">
        <v>141.30000000000001</v>
      </c>
      <c r="AQ237" s="8">
        <v>144</v>
      </c>
      <c r="AR237" s="8">
        <v>146.9</v>
      </c>
      <c r="AS237" s="8">
        <v>163.5</v>
      </c>
      <c r="AT237" s="8">
        <v>149.9</v>
      </c>
      <c r="AU237" s="8">
        <v>158.1</v>
      </c>
      <c r="AV237" s="8">
        <v>185.4</v>
      </c>
      <c r="AW237" s="8">
        <v>175.4</v>
      </c>
      <c r="AX237" s="8">
        <v>174.3</v>
      </c>
      <c r="AY237" s="8">
        <v>149.30000000000001</v>
      </c>
      <c r="AZ237" s="8">
        <v>150.9</v>
      </c>
      <c r="BA237" s="8">
        <v>179.7</v>
      </c>
      <c r="BB237" s="8">
        <v>146</v>
      </c>
      <c r="BC237" s="8">
        <v>134.1</v>
      </c>
      <c r="BD237" s="8">
        <v>124.8</v>
      </c>
      <c r="BE237" s="8">
        <v>161.4</v>
      </c>
      <c r="BF237" s="8">
        <v>150.30000000000001</v>
      </c>
      <c r="BG237" s="8">
        <v>170.3</v>
      </c>
      <c r="BH237" s="8"/>
      <c r="BI237" s="8">
        <v>134.5</v>
      </c>
      <c r="BJ237" s="8">
        <v>189.6</v>
      </c>
      <c r="BK237" s="8">
        <v>156.19999999999999</v>
      </c>
    </row>
    <row r="238" spans="1:63" x14ac:dyDescent="0.2">
      <c r="A238" s="9">
        <v>45809</v>
      </c>
      <c r="B238" s="8">
        <v>158</v>
      </c>
      <c r="C238" s="8">
        <v>172.4</v>
      </c>
      <c r="D238" s="8">
        <v>155.69999999999999</v>
      </c>
      <c r="E238" s="8">
        <v>163.1</v>
      </c>
      <c r="F238" s="8">
        <v>1.7</v>
      </c>
      <c r="G238" s="8">
        <v>0.7</v>
      </c>
      <c r="H238" s="8">
        <v>2</v>
      </c>
      <c r="I238" s="8">
        <v>7.6</v>
      </c>
      <c r="J238" s="8">
        <v>5.6</v>
      </c>
      <c r="K238" s="8">
        <v>8.4</v>
      </c>
      <c r="L238" s="8">
        <v>162.19999999999999</v>
      </c>
      <c r="M238" s="8">
        <v>133.1</v>
      </c>
      <c r="N238" s="8">
        <v>136.9</v>
      </c>
      <c r="O238" s="8">
        <v>165.1</v>
      </c>
      <c r="P238" s="8">
        <v>181</v>
      </c>
      <c r="Q238" s="8">
        <v>171.1</v>
      </c>
      <c r="R238" s="8">
        <v>165</v>
      </c>
      <c r="S238" s="8">
        <v>145.80000000000001</v>
      </c>
      <c r="T238" s="8">
        <v>147.4</v>
      </c>
      <c r="U238" s="8">
        <v>109.8</v>
      </c>
      <c r="V238" s="8">
        <v>120.5</v>
      </c>
      <c r="W238" s="8">
        <v>200.2</v>
      </c>
      <c r="X238" s="8">
        <v>166.9</v>
      </c>
      <c r="Y238" s="8">
        <v>176.8</v>
      </c>
      <c r="Z238" s="8">
        <v>158.9</v>
      </c>
      <c r="AA238" s="8">
        <v>152.19999999999999</v>
      </c>
      <c r="AB238" s="8">
        <v>150.1</v>
      </c>
      <c r="AC238" s="8">
        <v>137.1</v>
      </c>
      <c r="AD238" s="8"/>
      <c r="AE238" s="8"/>
      <c r="AF238" s="8">
        <v>165.6</v>
      </c>
      <c r="AG238" s="8">
        <v>179.1</v>
      </c>
      <c r="AH238" s="8">
        <v>133.69999999999999</v>
      </c>
      <c r="AI238" s="8">
        <v>156.9</v>
      </c>
      <c r="AJ238" s="8">
        <v>129.69999999999999</v>
      </c>
      <c r="AK238" s="8">
        <v>142.6</v>
      </c>
      <c r="AL238" s="8">
        <v>157.80000000000001</v>
      </c>
      <c r="AM238" s="8">
        <v>128.6</v>
      </c>
      <c r="AN238" s="8">
        <v>124.3</v>
      </c>
      <c r="AO238" s="8">
        <v>122.6</v>
      </c>
      <c r="AP238" s="8">
        <v>141.5</v>
      </c>
      <c r="AQ238" s="8">
        <v>146.9</v>
      </c>
      <c r="AR238" s="8">
        <v>147.5</v>
      </c>
      <c r="AS238" s="8">
        <v>163.4</v>
      </c>
      <c r="AT238" s="8">
        <v>149.1</v>
      </c>
      <c r="AU238" s="8">
        <v>154.9</v>
      </c>
      <c r="AV238" s="8">
        <v>184.1</v>
      </c>
      <c r="AW238" s="8">
        <v>180.1</v>
      </c>
      <c r="AX238" s="8">
        <v>170.9</v>
      </c>
      <c r="AY238" s="8">
        <v>151.6</v>
      </c>
      <c r="AZ238" s="8">
        <v>155.1</v>
      </c>
      <c r="BA238" s="8">
        <v>178.8</v>
      </c>
      <c r="BB238" s="8">
        <v>146.1</v>
      </c>
      <c r="BC238" s="8">
        <v>135.19999999999999</v>
      </c>
      <c r="BD238" s="8">
        <v>124.1</v>
      </c>
      <c r="BE238" s="8">
        <v>162.19999999999999</v>
      </c>
      <c r="BF238" s="8">
        <v>150.4</v>
      </c>
      <c r="BG238" s="8">
        <v>167.5</v>
      </c>
      <c r="BH238" s="8"/>
      <c r="BI238" s="8">
        <v>134.1</v>
      </c>
      <c r="BJ238" s="8">
        <v>185.3</v>
      </c>
      <c r="BK238" s="8">
        <v>155.5</v>
      </c>
    </row>
    <row r="239" spans="1:63" x14ac:dyDescent="0.2">
      <c r="A239" s="9">
        <v>45901</v>
      </c>
      <c r="B239" s="8">
        <v>159.1</v>
      </c>
      <c r="C239" s="8">
        <v>170.4</v>
      </c>
      <c r="D239" s="8">
        <v>157.80000000000001</v>
      </c>
      <c r="E239" s="8">
        <v>164.3</v>
      </c>
      <c r="F239" s="8">
        <v>0.7</v>
      </c>
      <c r="G239" s="8">
        <v>-1.2</v>
      </c>
      <c r="H239" s="8">
        <v>1.3</v>
      </c>
      <c r="I239" s="8">
        <v>7.9</v>
      </c>
      <c r="J239" s="8">
        <v>4.9000000000000004</v>
      </c>
      <c r="K239" s="8">
        <v>9</v>
      </c>
      <c r="L239" s="8">
        <v>169</v>
      </c>
      <c r="M239" s="8">
        <v>129.19999999999999</v>
      </c>
      <c r="N239" s="8">
        <v>134.4</v>
      </c>
      <c r="O239" s="8">
        <v>179.2</v>
      </c>
      <c r="P239" s="8">
        <v>170.1</v>
      </c>
      <c r="Q239" s="8">
        <v>176</v>
      </c>
      <c r="R239" s="8">
        <v>162.6</v>
      </c>
      <c r="S239" s="8">
        <v>146.5</v>
      </c>
      <c r="T239" s="8">
        <v>145.69999999999999</v>
      </c>
      <c r="U239" s="8">
        <v>104.1</v>
      </c>
      <c r="V239" s="8">
        <v>120.7</v>
      </c>
      <c r="W239" s="8">
        <v>208.9</v>
      </c>
      <c r="X239" s="8">
        <v>172.9</v>
      </c>
      <c r="Y239" s="8">
        <v>184</v>
      </c>
      <c r="Z239" s="8">
        <v>163.4</v>
      </c>
      <c r="AA239" s="8">
        <v>148.5</v>
      </c>
      <c r="AB239" s="8">
        <v>146.30000000000001</v>
      </c>
      <c r="AC239" s="8">
        <v>138.1</v>
      </c>
      <c r="AD239" s="8"/>
      <c r="AE239" s="8"/>
      <c r="AF239" s="8">
        <v>166.4</v>
      </c>
      <c r="AG239" s="8">
        <v>180</v>
      </c>
      <c r="AH239" s="8">
        <v>136.19999999999999</v>
      </c>
      <c r="AI239" s="8">
        <v>154</v>
      </c>
      <c r="AJ239" s="8">
        <v>128.9</v>
      </c>
      <c r="AK239" s="8">
        <v>136.6</v>
      </c>
      <c r="AL239" s="8">
        <v>149.4</v>
      </c>
      <c r="AM239" s="8">
        <v>122.4</v>
      </c>
      <c r="AN239" s="8">
        <v>124.4</v>
      </c>
      <c r="AO239" s="8">
        <v>122.8</v>
      </c>
      <c r="AP239" s="8">
        <v>141.69999999999999</v>
      </c>
      <c r="AQ239" s="8">
        <v>147</v>
      </c>
      <c r="AR239" s="8">
        <v>148.19999999999999</v>
      </c>
      <c r="AS239" s="8">
        <v>162.9</v>
      </c>
      <c r="AT239" s="8">
        <v>147.1</v>
      </c>
      <c r="AU239" s="8">
        <v>158</v>
      </c>
      <c r="AV239" s="8">
        <v>187.6</v>
      </c>
      <c r="AW239" s="8">
        <v>178.9</v>
      </c>
      <c r="AX239" s="8">
        <v>173</v>
      </c>
      <c r="AY239" s="8">
        <v>149.9</v>
      </c>
      <c r="AZ239" s="8">
        <v>153.1</v>
      </c>
      <c r="BA239" s="8">
        <v>177.1</v>
      </c>
      <c r="BB239" s="8">
        <v>144.5</v>
      </c>
      <c r="BC239" s="8">
        <v>134.69999999999999</v>
      </c>
      <c r="BD239" s="8">
        <v>123.3</v>
      </c>
      <c r="BE239" s="8">
        <v>160.80000000000001</v>
      </c>
      <c r="BF239" s="8">
        <v>144</v>
      </c>
      <c r="BG239" s="8">
        <v>163.80000000000001</v>
      </c>
      <c r="BH239" s="8"/>
      <c r="BI239" s="8">
        <v>130.6</v>
      </c>
      <c r="BJ239" s="8">
        <v>187.3</v>
      </c>
      <c r="BK239" s="8">
        <v>155</v>
      </c>
    </row>
    <row r="240" spans="1:63" x14ac:dyDescent="0.2">
      <c r="A240" s="9">
        <v>45992</v>
      </c>
      <c r="B240" s="8">
        <v>166.9</v>
      </c>
      <c r="C240" s="8">
        <v>176.5</v>
      </c>
      <c r="D240" s="8">
        <v>166.2</v>
      </c>
      <c r="E240" s="8">
        <v>172.8</v>
      </c>
      <c r="F240" s="8">
        <v>4.9000000000000004</v>
      </c>
      <c r="G240" s="8">
        <v>3.6</v>
      </c>
      <c r="H240" s="8">
        <v>5.3</v>
      </c>
      <c r="I240" s="8">
        <v>11.6</v>
      </c>
      <c r="J240" s="8">
        <v>7.4</v>
      </c>
      <c r="K240" s="8">
        <v>13.1</v>
      </c>
      <c r="L240" s="8">
        <v>175.2</v>
      </c>
      <c r="M240" s="8">
        <v>124.7</v>
      </c>
      <c r="N240" s="8">
        <v>137.30000000000001</v>
      </c>
      <c r="O240" s="8">
        <v>195.8</v>
      </c>
      <c r="P240" s="8">
        <v>155</v>
      </c>
      <c r="Q240" s="8">
        <v>162.5</v>
      </c>
      <c r="R240" s="8">
        <v>162.6</v>
      </c>
      <c r="S240" s="8">
        <v>149</v>
      </c>
      <c r="T240" s="8">
        <v>150.4</v>
      </c>
      <c r="U240" s="8">
        <v>111.1</v>
      </c>
      <c r="V240" s="8">
        <v>119</v>
      </c>
      <c r="W240" s="8">
        <v>246.7</v>
      </c>
      <c r="X240" s="8">
        <v>180.6</v>
      </c>
      <c r="Y240" s="8">
        <v>195.9</v>
      </c>
      <c r="Z240" s="8">
        <v>165.4</v>
      </c>
      <c r="AA240" s="8">
        <v>148.1</v>
      </c>
      <c r="AB240" s="8">
        <v>145.80000000000001</v>
      </c>
      <c r="AC240" s="8">
        <v>137.30000000000001</v>
      </c>
      <c r="AD240" s="8"/>
      <c r="AE240" s="8"/>
      <c r="AF240" s="8">
        <v>167.1</v>
      </c>
      <c r="AG240" s="8">
        <v>182.7</v>
      </c>
      <c r="AH240" s="8">
        <v>126.9</v>
      </c>
      <c r="AI240" s="8">
        <v>152.69999999999999</v>
      </c>
      <c r="AJ240" s="8">
        <v>128.9</v>
      </c>
      <c r="AK240" s="8">
        <v>136.19999999999999</v>
      </c>
      <c r="AL240" s="8">
        <v>151.69999999999999</v>
      </c>
      <c r="AM240" s="8">
        <v>119.5</v>
      </c>
      <c r="AN240" s="8">
        <v>123.1</v>
      </c>
      <c r="AO240" s="8">
        <v>121.5</v>
      </c>
      <c r="AP240" s="8">
        <v>141.6</v>
      </c>
      <c r="AQ240" s="8">
        <v>147.1</v>
      </c>
      <c r="AR240" s="8">
        <v>148.4</v>
      </c>
      <c r="AS240" s="8">
        <v>167.8</v>
      </c>
      <c r="AT240" s="8">
        <v>148.80000000000001</v>
      </c>
      <c r="AU240" s="8">
        <v>159.1</v>
      </c>
      <c r="AV240" s="8">
        <v>211.1</v>
      </c>
      <c r="AW240" s="8">
        <v>182.6</v>
      </c>
      <c r="AX240" s="8">
        <v>173.3</v>
      </c>
      <c r="AY240" s="8">
        <v>150.9</v>
      </c>
      <c r="AZ240" s="8">
        <v>154.69999999999999</v>
      </c>
      <c r="BA240" s="8">
        <v>177.1</v>
      </c>
      <c r="BB240" s="8">
        <v>143</v>
      </c>
      <c r="BC240" s="8">
        <v>134.5</v>
      </c>
      <c r="BD240" s="8">
        <v>119.8</v>
      </c>
      <c r="BE240" s="8">
        <v>158.5</v>
      </c>
      <c r="BF240" s="8">
        <v>144.69999999999999</v>
      </c>
      <c r="BG240" s="8">
        <v>163.4</v>
      </c>
      <c r="BH240" s="8"/>
      <c r="BI240" s="8">
        <v>130.6</v>
      </c>
      <c r="BJ240" s="8">
        <v>188.1</v>
      </c>
      <c r="BK240" s="8">
        <v>150.69999999999999</v>
      </c>
    </row>
    <row r="241" spans="1:63" x14ac:dyDescent="0.2">
      <c r="A241" s="9">
        <v>46082</v>
      </c>
      <c r="B241" s="8">
        <v>173.4</v>
      </c>
      <c r="C241" s="8">
        <v>182.4</v>
      </c>
      <c r="D241" s="8">
        <v>172.9</v>
      </c>
      <c r="E241" s="8">
        <v>179.3</v>
      </c>
      <c r="F241" s="8">
        <v>3.9</v>
      </c>
      <c r="G241" s="8">
        <v>3.3</v>
      </c>
      <c r="H241" s="8">
        <v>4</v>
      </c>
      <c r="I241" s="8">
        <v>11.6</v>
      </c>
      <c r="J241" s="8">
        <v>6.5</v>
      </c>
      <c r="K241" s="8">
        <v>13.3</v>
      </c>
      <c r="L241" s="8">
        <v>179.6</v>
      </c>
      <c r="M241" s="8">
        <v>127.7</v>
      </c>
      <c r="N241" s="8">
        <v>140.69999999999999</v>
      </c>
      <c r="O241" s="8">
        <v>202.3</v>
      </c>
      <c r="P241" s="8">
        <v>139.5</v>
      </c>
      <c r="Q241" s="8">
        <v>172.9</v>
      </c>
      <c r="R241" s="8">
        <v>162.30000000000001</v>
      </c>
      <c r="S241" s="8">
        <v>150.80000000000001</v>
      </c>
      <c r="T241" s="8">
        <v>153.5</v>
      </c>
      <c r="U241" s="8">
        <v>126.1</v>
      </c>
      <c r="V241" s="8">
        <v>123.6</v>
      </c>
      <c r="W241" s="8">
        <v>274.39999999999998</v>
      </c>
      <c r="X241" s="8">
        <v>180.3</v>
      </c>
      <c r="Y241" s="8">
        <v>196.7</v>
      </c>
      <c r="Z241" s="8">
        <v>163.6</v>
      </c>
      <c r="AA241" s="8">
        <v>146.80000000000001</v>
      </c>
      <c r="AB241" s="8">
        <v>142.69999999999999</v>
      </c>
      <c r="AC241" s="8">
        <v>139.19999999999999</v>
      </c>
      <c r="AD241" s="8"/>
      <c r="AE241" s="8"/>
      <c r="AF241" s="8">
        <v>162</v>
      </c>
      <c r="AG241" s="8">
        <v>176.1</v>
      </c>
      <c r="AH241" s="8">
        <v>125.7</v>
      </c>
      <c r="AI241" s="8">
        <v>151</v>
      </c>
      <c r="AJ241" s="8">
        <v>132.6</v>
      </c>
      <c r="AK241" s="8">
        <v>132.30000000000001</v>
      </c>
      <c r="AL241" s="8">
        <v>148.4</v>
      </c>
      <c r="AM241" s="8">
        <v>116.1</v>
      </c>
      <c r="AN241" s="8">
        <v>123.7</v>
      </c>
      <c r="AO241" s="8">
        <v>122.1</v>
      </c>
      <c r="AP241" s="8">
        <v>141.5</v>
      </c>
      <c r="AQ241" s="8">
        <v>148.6</v>
      </c>
      <c r="AR241" s="8">
        <v>148.6</v>
      </c>
      <c r="AS241" s="8">
        <v>170.2</v>
      </c>
      <c r="AT241" s="8">
        <v>146.4</v>
      </c>
      <c r="AU241" s="8">
        <v>154.1</v>
      </c>
      <c r="AV241" s="8">
        <v>237.2</v>
      </c>
      <c r="AW241" s="8">
        <v>187.9</v>
      </c>
      <c r="AX241" s="8">
        <v>171.1</v>
      </c>
      <c r="AY241" s="8">
        <v>147.19999999999999</v>
      </c>
      <c r="AZ241" s="8">
        <v>151.6</v>
      </c>
      <c r="BA241" s="8">
        <v>170.9</v>
      </c>
      <c r="BB241" s="8">
        <v>140.19999999999999</v>
      </c>
      <c r="BC241" s="8">
        <v>132</v>
      </c>
      <c r="BD241" s="8">
        <v>115.1</v>
      </c>
      <c r="BE241" s="8">
        <v>155.9</v>
      </c>
      <c r="BF241" s="8">
        <v>137.9</v>
      </c>
      <c r="BG241" s="8">
        <v>162.5</v>
      </c>
      <c r="BH241" s="8"/>
      <c r="BI241" s="8">
        <v>130.5</v>
      </c>
      <c r="BJ241" s="8">
        <v>187.3</v>
      </c>
      <c r="BK241" s="8">
        <v>152.19999999999999</v>
      </c>
    </row>
  </sheetData>
  <pageMargins left="0.7" right="0.7" top="0.75" bottom="0.75" header="0.3" footer="0.3"/>
  <headerFooter>
    <oddHeader>&amp;C&amp;"Aptos"&amp;10&amp;KFF0000 OFFICIAL: Census and Statistics Act&amp;1#_x000D_</oddHeader>
    <oddFooter>&amp;C_x000D_&amp;1#&amp;"Aptos"&amp;10&amp;KFF0000 OFFICIAL: Census and Statistics Act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Z1"/>
    </row>
    <row r="2" spans="2:26" ht="12.75" x14ac:dyDescent="0.2">
      <c r="B2" s="12" t="s">
        <v>139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75" x14ac:dyDescent="0.25">
      <c r="B5" s="13" t="s">
        <v>140</v>
      </c>
    </row>
    <row r="6" spans="2:26" ht="31.5" customHeight="1" x14ac:dyDescent="0.2">
      <c r="B6" s="19" t="s">
        <v>141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2.75" x14ac:dyDescent="0.2">
      <c r="B10" s="14" t="s">
        <v>142</v>
      </c>
    </row>
    <row r="11" spans="2:26" x14ac:dyDescent="0.2">
      <c r="B11" s="10" t="s">
        <v>143</v>
      </c>
    </row>
  </sheetData>
  <mergeCells count="1">
    <mergeCell ref="B6:L6"/>
  </mergeCells>
  <pageMargins left="0.7" right="0.7" top="0.75" bottom="0.75" header="0.3" footer="0.3"/>
  <headerFooter>
    <oddHeader>&amp;C&amp;"Aptos"&amp;10&amp;KFF0000 OFFICIAL: Census and Statistics Act&amp;1#_x000D_</oddHeader>
    <oddFooter>&amp;C_x000D_&amp;1#&amp;"Aptos"&amp;10&amp;KFF0000 OFFICIAL: Census and Statistics Act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119A-06E4-473F-86D6-5EF81DA865CA}">
  <dimension ref="A1:K44"/>
  <sheetViews>
    <sheetView tabSelected="1" topLeftCell="A24" workbookViewId="0">
      <selection activeCell="A49" sqref="A49"/>
    </sheetView>
  </sheetViews>
  <sheetFormatPr defaultRowHeight="15" x14ac:dyDescent="0.25"/>
  <cols>
    <col min="1" max="1" width="43.85546875" customWidth="1"/>
    <col min="2" max="11" width="17.140625" customWidth="1"/>
  </cols>
  <sheetData>
    <row r="1" spans="1:11" ht="18.75" x14ac:dyDescent="0.3">
      <c r="A1" s="20" t="s">
        <v>149</v>
      </c>
    </row>
    <row r="2" spans="1:11" x14ac:dyDescent="0.25">
      <c r="A2" s="21" t="s">
        <v>150</v>
      </c>
    </row>
    <row r="3" spans="1:11" x14ac:dyDescent="0.25">
      <c r="A3" s="21" t="s">
        <v>168</v>
      </c>
    </row>
    <row r="5" spans="1:11" ht="15.75" thickBot="1" x14ac:dyDescent="0.3">
      <c r="A5" s="37" t="s">
        <v>151</v>
      </c>
      <c r="B5" s="38" t="s">
        <v>152</v>
      </c>
      <c r="C5" s="38" t="s">
        <v>193</v>
      </c>
      <c r="D5" s="38" t="s">
        <v>153</v>
      </c>
      <c r="E5" s="38" t="s">
        <v>154</v>
      </c>
      <c r="F5" s="38" t="s">
        <v>155</v>
      </c>
      <c r="G5" s="38" t="s">
        <v>156</v>
      </c>
      <c r="H5" s="38" t="s">
        <v>157</v>
      </c>
      <c r="I5" s="38" t="s">
        <v>158</v>
      </c>
      <c r="J5" s="38" t="s">
        <v>159</v>
      </c>
      <c r="K5" s="38" t="s">
        <v>160</v>
      </c>
    </row>
    <row r="6" spans="1:11" x14ac:dyDescent="0.25">
      <c r="A6" s="25" t="s">
        <v>161</v>
      </c>
      <c r="B6" s="26">
        <f>Data1!B241</f>
        <v>173.4</v>
      </c>
      <c r="C6" s="26" cm="1">
        <f t="array" ref="C6">INDEX(Data1!B11:B241,MATCH(TRUE,INDEX(Data1!B11:B241&lt;&gt;"",0),0))</f>
        <v>10.7</v>
      </c>
      <c r="D6" s="26">
        <f>MIN(Data1!B11:B241)</f>
        <v>10.3</v>
      </c>
      <c r="E6" s="26">
        <f>MAX(Data1!B11:B241)</f>
        <v>173.4</v>
      </c>
      <c r="F6" s="26">
        <f>AVERAGE(Data1!B11:B241)</f>
        <v>67.751948051948048</v>
      </c>
      <c r="G6" s="26">
        <f>MEDIAN(Data1!B11:B241)</f>
        <v>59</v>
      </c>
      <c r="H6" s="26">
        <f>STDEV(Data1!B11:B241)</f>
        <v>38.902208310145873</v>
      </c>
      <c r="I6" s="27">
        <f>H6/F6</f>
        <v>0.57418582680926078</v>
      </c>
      <c r="J6" s="28">
        <f>B6/C6-1</f>
        <v>15.205607476635517</v>
      </c>
      <c r="K6" s="29">
        <f>(B6/C6)^(4/(COUNT(Data1!B11:B241)-1))-1</f>
        <v>4.9633438387084672E-2</v>
      </c>
    </row>
    <row r="7" spans="1:11" x14ac:dyDescent="0.25">
      <c r="A7" s="30" t="s">
        <v>162</v>
      </c>
      <c r="B7" s="26">
        <f>Data1!C241</f>
        <v>182.4</v>
      </c>
      <c r="C7" s="26" cm="1">
        <f t="array" ref="C7">INDEX(Data1!C11:C241,MATCH(TRUE,INDEX(Data1!C11:C241&lt;&gt;"",0),0))</f>
        <v>9.9</v>
      </c>
      <c r="D7" s="26">
        <f>MIN(Data1!C11:C241)</f>
        <v>9.8000000000000007</v>
      </c>
      <c r="E7" s="26">
        <f>MAX(Data1!C11:C241)</f>
        <v>182.4</v>
      </c>
      <c r="F7" s="26">
        <f>AVERAGE(Data1!C11:C241)</f>
        <v>76.468831168831159</v>
      </c>
      <c r="G7" s="26">
        <f>MEDIAN(Data1!C11:C241)</f>
        <v>73.7</v>
      </c>
      <c r="H7" s="26">
        <f>STDEV(Data1!C11:C241)</f>
        <v>42.522634156228087</v>
      </c>
      <c r="I7" s="27">
        <f>H7/F7</f>
        <v>0.55607799290595661</v>
      </c>
      <c r="J7" s="28">
        <f>B7/C7-1</f>
        <v>17.424242424242426</v>
      </c>
      <c r="K7" s="29">
        <f>(B7/C7)^(4/(COUNT(Data1!C11:C241)-1))-1</f>
        <v>5.197828781049596E-2</v>
      </c>
    </row>
    <row r="8" spans="1:11" x14ac:dyDescent="0.25">
      <c r="A8" s="30" t="s">
        <v>163</v>
      </c>
      <c r="B8" s="26">
        <f>Data1!D241</f>
        <v>172.9</v>
      </c>
      <c r="C8" s="26" cm="1">
        <f t="array" ref="C8">INDEX(Data1!D11:D241,MATCH(TRUE,INDEX(Data1!D11:D241&lt;&gt;"",0),0))</f>
        <v>10.9</v>
      </c>
      <c r="D8" s="26">
        <f>MIN(Data1!D11:D241)</f>
        <v>10.5</v>
      </c>
      <c r="E8" s="26">
        <f>MAX(Data1!D11:D241)</f>
        <v>172.9</v>
      </c>
      <c r="F8" s="26">
        <f>AVERAGE(Data1!D11:D241)</f>
        <v>65.219480519480513</v>
      </c>
      <c r="G8" s="26">
        <f>MEDIAN(Data1!D11:D241)</f>
        <v>53.5</v>
      </c>
      <c r="H8" s="26">
        <f>STDEV(Data1!D11:D241)</f>
        <v>38.755155748884199</v>
      </c>
      <c r="I8" s="27">
        <f>H8/F8</f>
        <v>0.59422668564967118</v>
      </c>
      <c r="J8" s="28">
        <f>B8/C8-1</f>
        <v>14.862385321100918</v>
      </c>
      <c r="K8" s="29">
        <f>(B8/C8)^(4/(COUNT(Data1!D11:D241)-1))-1</f>
        <v>4.9242742274153262E-2</v>
      </c>
    </row>
    <row r="9" spans="1:11" x14ac:dyDescent="0.25">
      <c r="A9" s="30" t="s">
        <v>164</v>
      </c>
      <c r="B9" s="26">
        <f>Data1!E241</f>
        <v>179.3</v>
      </c>
      <c r="C9" s="26" cm="1">
        <f t="array" ref="C9">INDEX(Data1!E11:E241,MATCH(TRUE,INDEX(Data1!E11:E241&lt;&gt;"",0),0))</f>
        <v>52.5</v>
      </c>
      <c r="D9" s="26">
        <f>MIN(Data1!E11:E241)</f>
        <v>52.5</v>
      </c>
      <c r="E9" s="26">
        <f>MAX(Data1!E11:E241)</f>
        <v>179.3</v>
      </c>
      <c r="F9" s="26">
        <f>AVERAGE(Data1!E11:E241)</f>
        <v>91.136129032258054</v>
      </c>
      <c r="G9" s="26">
        <f>MEDIAN(Data1!E11:E241)</f>
        <v>87.9</v>
      </c>
      <c r="H9" s="26">
        <f>STDEV(Data1!E11:E241)</f>
        <v>29.382711773287276</v>
      </c>
      <c r="I9" s="27">
        <f>H9/F9</f>
        <v>0.32240464989342621</v>
      </c>
      <c r="J9" s="28">
        <f>B9/C9-1</f>
        <v>2.4152380952380956</v>
      </c>
      <c r="K9" s="29">
        <f>(B9/C9)^(4/(COUNT(Data1!E11:E241)-1))-1</f>
        <v>3.2416865526436078E-2</v>
      </c>
    </row>
    <row r="10" spans="1:11" x14ac:dyDescent="0.25">
      <c r="A10" s="25" t="s">
        <v>165</v>
      </c>
      <c r="B10" s="26">
        <f>Data1!AJ241</f>
        <v>132.6</v>
      </c>
      <c r="C10" s="26" cm="1">
        <f t="array" ref="C10">INDEX(Data1!AJ11:AJ241,MATCH(TRUE,INDEX(Data1!AJ11:AJ241&lt;&gt;"",0),0))</f>
        <v>63.4</v>
      </c>
      <c r="D10" s="26">
        <f>MIN(Data1!AJ11:AJ241)</f>
        <v>58.2</v>
      </c>
      <c r="E10" s="26">
        <f>MAX(Data1!AJ11:AJ241)</f>
        <v>134.30000000000001</v>
      </c>
      <c r="F10" s="26">
        <f>AVERAGE(Data1!AJ11:AJ241)</f>
        <v>94.412121212121221</v>
      </c>
      <c r="G10" s="26">
        <f>MEDIAN(Data1!AJ11:AJ241)</f>
        <v>96</v>
      </c>
      <c r="H10" s="26">
        <f>STDEV(Data1!AJ11:AJ241)</f>
        <v>20.881953309639574</v>
      </c>
      <c r="I10" s="27">
        <f>H10/F10</f>
        <v>0.22117873257738666</v>
      </c>
      <c r="J10" s="28">
        <f>B10/C10-1</f>
        <v>1.0914826498422712</v>
      </c>
      <c r="K10" s="29">
        <f>(B10/C10)^(4/(COUNT(Data1!AJ11:AJ241)-1))-1</f>
        <v>3.0575386704001062E-2</v>
      </c>
    </row>
    <row r="11" spans="1:11" x14ac:dyDescent="0.25">
      <c r="A11" s="31" t="s">
        <v>166</v>
      </c>
      <c r="B11" s="26">
        <f>Data1!BJ241</f>
        <v>187.3</v>
      </c>
      <c r="C11" s="26" cm="1">
        <f t="array" ref="C11">INDEX(Data1!BJ11:BJ241,MATCH(TRUE,INDEX(Data1!BJ11:BJ241&lt;&gt;"",0),0))</f>
        <v>17.899999999999999</v>
      </c>
      <c r="D11" s="26">
        <f>MIN(Data1!BJ11:BJ241)</f>
        <v>10.9</v>
      </c>
      <c r="E11" s="26">
        <f>MAX(Data1!BJ11:BJ241)</f>
        <v>198.2</v>
      </c>
      <c r="F11" s="26">
        <f>AVERAGE(Data1!BJ11:BJ241)</f>
        <v>68.301333333333304</v>
      </c>
      <c r="G11" s="26">
        <f>MEDIAN(Data1!BJ11:BJ241)</f>
        <v>58.1</v>
      </c>
      <c r="H11" s="26">
        <f>STDEV(Data1!BJ11:BJ241)</f>
        <v>47.104618062957982</v>
      </c>
      <c r="I11" s="27">
        <f>H11/F11</f>
        <v>0.68965883627881353</v>
      </c>
      <c r="J11" s="28">
        <f>B11/C11-1</f>
        <v>9.4636871508379912</v>
      </c>
      <c r="K11" s="29">
        <f>(B11/C11)^(4/(COUNT(Data1!BJ11:BJ241)-1))-1</f>
        <v>4.2818329685355483E-2</v>
      </c>
    </row>
    <row r="12" spans="1:11" x14ac:dyDescent="0.25">
      <c r="A12" s="32" t="s">
        <v>167</v>
      </c>
      <c r="B12" s="33">
        <f>Data1!BK241</f>
        <v>152.19999999999999</v>
      </c>
      <c r="C12" s="33" cm="1">
        <f t="array" ref="C12">INDEX(Data1!BK11:BK241,MATCH(TRUE,INDEX(Data1!BK11:BK241&lt;&gt;"",0),0))</f>
        <v>11.8</v>
      </c>
      <c r="D12" s="33">
        <f>MIN(Data1!BK11:BK241)</f>
        <v>11.8</v>
      </c>
      <c r="E12" s="33">
        <f>MAX(Data1!BK11:BK241)</f>
        <v>167.7</v>
      </c>
      <c r="F12" s="33">
        <f>AVERAGE(Data1!BK11:BK241)</f>
        <v>70.170222222222222</v>
      </c>
      <c r="G12" s="33">
        <f>MEDIAN(Data1!BK11:BK241)</f>
        <v>59</v>
      </c>
      <c r="H12" s="33">
        <f>STDEV(Data1!BK11:BK241)</f>
        <v>44.257608833764849</v>
      </c>
      <c r="I12" s="34">
        <f>H12/F12</f>
        <v>0.63071780923830245</v>
      </c>
      <c r="J12" s="35">
        <f>B12/C12-1</f>
        <v>11.898305084745761</v>
      </c>
      <c r="K12" s="36">
        <f>(B12/C12)^(4/(COUNT(Data1!BK11:BK241)-1))-1</f>
        <v>4.6721006596614378E-2</v>
      </c>
    </row>
    <row r="14" spans="1:11" ht="15.75" x14ac:dyDescent="0.25">
      <c r="A14" s="39" t="s">
        <v>169</v>
      </c>
    </row>
    <row r="15" spans="1:11" x14ac:dyDescent="0.25">
      <c r="A15" s="21" t="s">
        <v>170</v>
      </c>
    </row>
    <row r="17" spans="1:9" ht="15.75" thickBot="1" x14ac:dyDescent="0.3">
      <c r="A17" s="37" t="s">
        <v>151</v>
      </c>
      <c r="B17" s="38" t="s">
        <v>171</v>
      </c>
      <c r="C17" s="38" t="s">
        <v>172</v>
      </c>
      <c r="D17" s="38" t="s">
        <v>173</v>
      </c>
      <c r="E17" s="38" t="s">
        <v>174</v>
      </c>
      <c r="F17" s="38" t="s">
        <v>175</v>
      </c>
      <c r="G17" s="38" t="s">
        <v>176</v>
      </c>
      <c r="H17" s="38" t="s">
        <v>177</v>
      </c>
      <c r="I17" s="38" t="s">
        <v>178</v>
      </c>
    </row>
    <row r="18" spans="1:9" x14ac:dyDescent="0.25">
      <c r="A18" s="40" t="s">
        <v>161</v>
      </c>
      <c r="B18" s="41">
        <f>Data1!B241/Data1!B237-1</f>
        <v>0.11583011583011582</v>
      </c>
      <c r="C18" s="41" cm="1">
        <f t="array" ref="C18">AVERAGE(IFERROR(Data1!B15:B241/Data1!B11:B237-1,""))</f>
        <v>5.217877441633767E-2</v>
      </c>
      <c r="D18" s="41" cm="1">
        <f t="array" ref="D18">MEDIAN(IFERROR(Data1!B15:B241/Data1!B11:B237-1,""))</f>
        <v>4.020100502512558E-2</v>
      </c>
      <c r="E18" s="41" cm="1">
        <f t="array" ref="E18">MIN(IFERROR(Data1!B15:B241/Data1!B11:B237-1,""))</f>
        <v>-0.13489736070381231</v>
      </c>
      <c r="F18" s="41" cm="1">
        <f t="array" ref="F18">MAX(IFERROR(Data1!B15:B241/Data1!B11:B237-1,""))</f>
        <v>0.37899543378995437</v>
      </c>
      <c r="G18" s="41" cm="1">
        <f t="array" ref="G18">STDEV(IFERROR(Data1!B15:B241/Data1!B11:B237-1,""))</f>
        <v>7.6699284471549597E-2</v>
      </c>
      <c r="H18" s="42" cm="1">
        <f t="array" ref="H18">SUMPRODUCT((Data1!B15:B241/Data1!B11:B237-1&gt;0.05)*1)</f>
        <v>97</v>
      </c>
      <c r="I18" s="42" cm="1">
        <f t="array" ref="I18">SUMPRODUCT((Data1!B15:B241/Data1!B11:B237-1&gt;0.1)*1)</f>
        <v>48</v>
      </c>
    </row>
    <row r="19" spans="1:9" x14ac:dyDescent="0.25">
      <c r="A19" s="43" t="s">
        <v>162</v>
      </c>
      <c r="B19" s="41">
        <f>Data1!C241/Data1!C237-1</f>
        <v>6.542056074766367E-2</v>
      </c>
      <c r="C19" s="41" cm="1">
        <f t="array" ref="C19">AVERAGE(IFERROR(Data1!C15:C241/Data1!C11:C237-1,""))</f>
        <v>5.6786888051032089E-2</v>
      </c>
      <c r="D19" s="41" cm="1">
        <f t="array" ref="D19">MEDIAN(IFERROR(Data1!C15:C241/Data1!C11:C237-1,""))</f>
        <v>3.3730158730158832E-2</v>
      </c>
      <c r="E19" s="41" cm="1">
        <f t="array" ref="E19">MIN(IFERROR(Data1!C15:C241/Data1!C11:C237-1,""))</f>
        <v>-0.16348547717842321</v>
      </c>
      <c r="F19" s="41" cm="1">
        <f t="array" ref="F19">MAX(IFERROR(Data1!C15:C241/Data1!C11:C237-1,""))</f>
        <v>0.59821428571428559</v>
      </c>
      <c r="G19" s="41" cm="1">
        <f t="array" ref="G19">STDEV(IFERROR(Data1!C15:C241/Data1!C11:C237-1,""))</f>
        <v>0.10581734648365387</v>
      </c>
      <c r="H19" s="42" cm="1">
        <f t="array" ref="H19">SUMPRODUCT((Data1!C15:C241/Data1!C11:C237-1&gt;0.05)*1)</f>
        <v>94</v>
      </c>
      <c r="I19" s="42" cm="1">
        <f t="array" ref="I19">SUMPRODUCT((Data1!C15:C241/Data1!C11:C237-1&gt;0.1)*1)</f>
        <v>50</v>
      </c>
    </row>
    <row r="20" spans="1:9" x14ac:dyDescent="0.25">
      <c r="A20" s="43" t="s">
        <v>163</v>
      </c>
      <c r="B20" s="41">
        <f>Data1!D241/Data1!D237-1</f>
        <v>0.1330275229357798</v>
      </c>
      <c r="C20" s="41" cm="1">
        <f t="array" ref="C20">AVERAGE(IFERROR(Data1!D15:D241/Data1!D11:D237-1,""))</f>
        <v>5.2283805457838652E-2</v>
      </c>
      <c r="D20" s="41" cm="1">
        <f t="array" ref="D20">MEDIAN(IFERROR(Data1!D15:D241/Data1!D11:D237-1,""))</f>
        <v>4.0909090909090784E-2</v>
      </c>
      <c r="E20" s="41" cm="1">
        <f t="array" ref="E20">MIN(IFERROR(Data1!D15:D241/Data1!D11:D237-1,""))</f>
        <v>-0.17449664429530209</v>
      </c>
      <c r="F20" s="41" cm="1">
        <f t="array" ref="F20">MAX(IFERROR(Data1!D15:D241/Data1!D11:D237-1,""))</f>
        <v>0.5</v>
      </c>
      <c r="G20" s="41" cm="1">
        <f t="array" ref="G20">STDEV(IFERROR(Data1!D15:D241/Data1!D11:D237-1,""))</f>
        <v>8.5635624485750697E-2</v>
      </c>
      <c r="H20" s="42" cm="1">
        <f t="array" ref="H20">SUMPRODUCT((Data1!D15:D241/Data1!D11:D237-1&gt;0.05)*1)</f>
        <v>97</v>
      </c>
      <c r="I20" s="42" cm="1">
        <f t="array" ref="I20">SUMPRODUCT((Data1!D15:D241/Data1!D11:D237-1&gt;0.1)*1)</f>
        <v>45</v>
      </c>
    </row>
    <row r="21" spans="1:9" x14ac:dyDescent="0.25">
      <c r="A21" s="43" t="s">
        <v>164</v>
      </c>
      <c r="B21" s="41">
        <f>Data1!E241/Data1!E237-1</f>
        <v>0.1234335839598999</v>
      </c>
      <c r="C21" s="41" cm="1">
        <f t="array" ref="C21">AVERAGE(IFERROR(Data1!E15:E241/Data1!E11:E237-1,""))</f>
        <v>3.1865449167786691E-2</v>
      </c>
      <c r="D21" s="41" cm="1">
        <f t="array" ref="D21">MEDIAN(IFERROR(Data1!E15:E241/Data1!E11:E237-1,""))</f>
        <v>3.0573248407643305E-2</v>
      </c>
      <c r="E21" s="41" cm="1">
        <f t="array" ref="E21">MIN(IFERROR(Data1!E15:E241/Data1!E11:E237-1,""))</f>
        <v>-0.13526570048309183</v>
      </c>
      <c r="F21" s="41" cm="1">
        <f t="array" ref="F21">MAX(IFERROR(Data1!E15:E241/Data1!E11:E237-1,""))</f>
        <v>0.16256157635467972</v>
      </c>
      <c r="G21" s="41" cm="1">
        <f t="array" ref="G21">STDEV(IFERROR(Data1!E15:E241/Data1!E11:E237-1,""))</f>
        <v>5.0195464270837695E-2</v>
      </c>
      <c r="H21" s="42" cm="1">
        <f t="array" ref="H21">SUMPRODUCT(--(IFERROR(Data1!E15:E241/Data1!E11:E237-1,0)&gt;0.05))</f>
        <v>45</v>
      </c>
      <c r="I21" s="42" cm="1">
        <f t="array" ref="I21">SUMPRODUCT(--(IFERROR(Data1!E15:E241/Data1!E11:E237-1,0)&gt;0.1))</f>
        <v>12</v>
      </c>
    </row>
    <row r="22" spans="1:9" x14ac:dyDescent="0.25">
      <c r="A22" s="40" t="s">
        <v>165</v>
      </c>
      <c r="B22" s="41">
        <f>Data1!AJ241/Data1!AJ237-1</f>
        <v>7.5987841945288626E-3</v>
      </c>
      <c r="C22" s="41" cm="1">
        <f t="array" ref="C22">AVERAGE(IFERROR(Data1!AJ15:AJ241/Data1!AJ11:AJ237-1,""))</f>
        <v>3.4410790719111718E-2</v>
      </c>
      <c r="D22" s="41" cm="1">
        <f t="array" ref="D22">MEDIAN(IFERROR(Data1!AJ15:AJ241/Data1!AJ11:AJ237-1,""))</f>
        <v>3.0732860520094718E-2</v>
      </c>
      <c r="E22" s="41" cm="1">
        <f t="array" ref="E22">MIN(IFERROR(Data1!AJ15:AJ241/Data1!AJ11:AJ237-1,""))</f>
        <v>-0.11193339500462529</v>
      </c>
      <c r="F22" s="41" cm="1">
        <f t="array" ref="F22">MAX(IFERROR(Data1!AJ15:AJ241/Data1!AJ11:AJ237-1,""))</f>
        <v>0.2186932849364791</v>
      </c>
      <c r="G22" s="41" cm="1">
        <f t="array" ref="G22">STDEV(IFERROR(Data1!AJ15:AJ241/Data1!AJ11:AJ237-1,""))</f>
        <v>7.9251556059532477E-2</v>
      </c>
      <c r="H22" s="42" cm="1">
        <f t="array" ref="H22">SUMPRODUCT(--(IFERROR(Data1!AJ15:AJ241/Data1!AJ11:AJ237-1,0)&gt;0.05))</f>
        <v>40</v>
      </c>
      <c r="I22" s="42" cm="1">
        <f t="array" ref="I22">SUMPRODUCT(--(IFERROR(Data1!AJ15:AJ241/Data1!AJ11:AJ237-1,0)&gt;0.1))</f>
        <v>21</v>
      </c>
    </row>
    <row r="23" spans="1:9" x14ac:dyDescent="0.25">
      <c r="A23" s="44" t="s">
        <v>166</v>
      </c>
      <c r="B23" s="41">
        <f>Data1!BJ241/Data1!BJ237-1</f>
        <v>-1.2130801687763593E-2</v>
      </c>
      <c r="C23" s="41" cm="1">
        <f t="array" ref="C23">AVERAGE(IFERROR(Data1!BJ15:BJ241/Data1!BJ11:BJ237-1,""))</f>
        <v>5.1789556450679078E-2</v>
      </c>
      <c r="D23" s="41" cm="1">
        <f t="array" ref="D23">MEDIAN(IFERROR(Data1!BJ15:BJ241/Data1!BJ11:BJ237-1,""))</f>
        <v>2.9471544715446996E-2</v>
      </c>
      <c r="E23" s="41" cm="1">
        <f t="array" ref="E23">MIN(IFERROR(Data1!BJ15:BJ241/Data1!BJ11:BJ237-1,""))</f>
        <v>-0.27932960893854741</v>
      </c>
      <c r="F23" s="41" cm="1">
        <f t="array" ref="F23">MAX(IFERROR(Data1!BJ15:BJ241/Data1!BJ11:BJ237-1,""))</f>
        <v>0.48291571753986351</v>
      </c>
      <c r="G23" s="41" cm="1">
        <f t="array" ref="G23">STDEV(IFERROR(Data1!BJ15:BJ241/Data1!BJ11:BJ237-1,""))</f>
        <v>0.11070260989794148</v>
      </c>
      <c r="H23" s="42" cm="1">
        <f t="array" ref="H23">SUMPRODUCT(--(IFERROR(Data1!BJ15:BJ241/Data1!BJ11:BJ237-1,0)&gt;0.05))</f>
        <v>96</v>
      </c>
      <c r="I23" s="42" cm="1">
        <f t="array" ref="I23">SUMPRODUCT(--(IFERROR(Data1!BJ15:BJ241/Data1!BJ11:BJ237-1,0)&gt;0.1))</f>
        <v>49</v>
      </c>
    </row>
    <row r="24" spans="1:9" x14ac:dyDescent="0.25">
      <c r="A24" s="45" t="s">
        <v>167</v>
      </c>
      <c r="B24" s="46">
        <f>Data1!BK241/Data1!BK237-1</f>
        <v>-2.5608194622279146E-2</v>
      </c>
      <c r="C24" s="46" cm="1">
        <f t="array" ref="C24">AVERAGE(IFERROR(Data1!BK15:BK241/Data1!BK11:BK237-1,""))</f>
        <v>4.9794662044813365E-2</v>
      </c>
      <c r="D24" s="46" cm="1">
        <f t="array" ref="D24">MEDIAN(IFERROR(Data1!BK15:BK241/Data1!BK11:BK237-1,""))</f>
        <v>4.3795620437956373E-2</v>
      </c>
      <c r="E24" s="46" cm="1">
        <f t="array" ref="E24">MIN(IFERROR(Data1!BK15:BK241/Data1!BK11:BK237-1,""))</f>
        <v>-0.1659469463294263</v>
      </c>
      <c r="F24" s="46" cm="1">
        <f t="array" ref="F24">MAX(IFERROR(Data1!BK15:BK241/Data1!BK11:BK237-1,""))</f>
        <v>0.42652329749103934</v>
      </c>
      <c r="G24" s="46" cm="1">
        <f t="array" ref="G24">STDEV(IFERROR(Data1!BK15:BK241/Data1!BK11:BK237-1,""))</f>
        <v>7.7511007552582431E-2</v>
      </c>
      <c r="H24" s="47" cm="1">
        <f t="array" ref="H24">SUMPRODUCT(--(IFERROR(Data1!BK15:BK241/Data1!BK11:BK237-1,0)&gt;0.05))</f>
        <v>94</v>
      </c>
      <c r="I24" s="47" cm="1">
        <f t="array" ref="I24">SUMPRODUCT(--(IFERROR(Data1!BK15:BK241/Data1!BK11:BK237-1,0)&gt;0.1))</f>
        <v>40</v>
      </c>
    </row>
    <row r="26" spans="1:9" ht="15.75" x14ac:dyDescent="0.25">
      <c r="A26" s="39" t="s">
        <v>179</v>
      </c>
    </row>
    <row r="27" spans="1:9" x14ac:dyDescent="0.25">
      <c r="A27" s="21" t="s">
        <v>180</v>
      </c>
    </row>
    <row r="29" spans="1:9" ht="15.75" thickBot="1" x14ac:dyDescent="0.3">
      <c r="A29" s="48"/>
      <c r="B29" s="49" t="s">
        <v>181</v>
      </c>
      <c r="C29" s="49" t="s">
        <v>182</v>
      </c>
      <c r="D29" s="49" t="s">
        <v>183</v>
      </c>
      <c r="E29" s="49" t="s">
        <v>184</v>
      </c>
      <c r="F29" s="49" t="s">
        <v>185</v>
      </c>
      <c r="G29" s="49" t="s">
        <v>166</v>
      </c>
      <c r="H29" s="49" t="s">
        <v>167</v>
      </c>
    </row>
    <row r="30" spans="1:9" x14ac:dyDescent="0.25">
      <c r="A30" s="40" t="s">
        <v>181</v>
      </c>
      <c r="B30" s="50">
        <v>1</v>
      </c>
      <c r="C30" s="50" cm="1">
        <f t="array" ref="C30">CORREL(Data1!B21:B241/Data1!B17:B237-1,Data1!C21:C241/Data1!C17:C237-1)</f>
        <v>0.71365500331131226</v>
      </c>
      <c r="D30" s="50" cm="1">
        <f t="array" ref="D30">CORREL(Data1!B21:B241/Data1!B17:B237-1,Data1!D21:D241/Data1!D17:D237-1)</f>
        <v>0.9377532689363498</v>
      </c>
      <c r="E30" s="50" cm="1">
        <f t="array" ref="E30">CORREL(Data1!B91:B241/Data1!B87:B237-1,Data1!E91:E241/Data1!E87:E237-1)</f>
        <v>0.88124651803852394</v>
      </c>
      <c r="F30" s="50" cm="1">
        <f t="array" ref="F30">CORREL(Data1!B147:B241/Data1!B143:B237-1,Data1!AJ147:AJ241/Data1!AJ143:AJ237-1)</f>
        <v>0.71990912192258272</v>
      </c>
      <c r="G30" s="50" cm="1">
        <f t="array" ref="G30">CORREL(Data1!B21:B241/Data1!B17:B237-1,Data1!BJ21:BJ241/Data1!BJ17:BJ237-1)</f>
        <v>6.3430130997995465E-2</v>
      </c>
      <c r="H30" s="50" cm="1">
        <f t="array" ref="H30">CORREL(Data1!B21:B241/Data1!B17:B237-1,Data1!BK21:BK241/Data1!BK17:BK237-1)</f>
        <v>0.11654782028637171</v>
      </c>
    </row>
    <row r="31" spans="1:9" x14ac:dyDescent="0.25">
      <c r="A31" s="40" t="s">
        <v>186</v>
      </c>
      <c r="B31" s="50"/>
      <c r="C31" s="50">
        <v>1</v>
      </c>
      <c r="D31" s="50" cm="1">
        <f t="array" ref="D31">CORREL(Data1!C21:C241/Data1!C17:C237-1,Data1!D21:D241/Data1!D17:D237-1)</f>
        <v>0.43560890791365264</v>
      </c>
      <c r="E31" s="50" cm="1">
        <f t="array" ref="E31">CORREL(Data1!C91:C241/Data1!C87:C237-1,Data1!E91:E241/Data1!E87:E237-1)</f>
        <v>0.81188173252996676</v>
      </c>
      <c r="F31" s="50" cm="1">
        <f t="array" ref="F31">CORREL(Data1!C147:C241/Data1!C143:C237-1,Data1!AJ147:AJ241/Data1!AJ143:AJ237-1)</f>
        <v>0.81722625035473351</v>
      </c>
      <c r="G31" s="50" cm="1">
        <f t="array" ref="G31">CORREL(Data1!C21:C241/Data1!C17:C237-1,Data1!BJ21:BJ241/Data1!BJ17:BJ237-1)</f>
        <v>0.16861052111650576</v>
      </c>
      <c r="H31" s="50" cm="1">
        <f t="array" ref="H31">CORREL(Data1!C21:C241/Data1!C17:C237-1,Data1!BK21:BK241/Data1!BK17:BK237-1)</f>
        <v>0.24229814104507455</v>
      </c>
    </row>
    <row r="32" spans="1:9" x14ac:dyDescent="0.25">
      <c r="A32" s="40" t="s">
        <v>187</v>
      </c>
      <c r="B32" s="50"/>
      <c r="C32" s="50"/>
      <c r="D32" s="50">
        <v>1</v>
      </c>
      <c r="E32" s="50" cm="1">
        <f t="array" ref="E32">CORREL(Data1!D91:D241/Data1!D87:D237-1,Data1!E91:E241/Data1!E87:E237-1)</f>
        <v>0.84293827648945352</v>
      </c>
      <c r="F32" s="50" cm="1">
        <f t="array" ref="F32">CORREL(Data1!D147:D241/Data1!D143:D237-1,Data1!AJ147:AJ241/Data1!AJ143:AJ237-1)</f>
        <v>0.60216117683239079</v>
      </c>
      <c r="G32" s="50" cm="1">
        <f t="array" ref="G32">CORREL(Data1!D21:D241/Data1!D17:D237-1,Data1!BJ21:BJ241/Data1!BJ17:BJ237-1)</f>
        <v>5.3687243084994327E-3</v>
      </c>
      <c r="H32" s="50" cm="1">
        <f t="array" ref="H32">CORREL(Data1!D21:D241/Data1!D17:D237-1,Data1!BK21:BK241/Data1!BK17:BK237-1)</f>
        <v>2.9744894638011041E-2</v>
      </c>
    </row>
    <row r="33" spans="1:8" x14ac:dyDescent="0.25">
      <c r="A33" s="40" t="s">
        <v>184</v>
      </c>
      <c r="B33" s="50"/>
      <c r="C33" s="50"/>
      <c r="D33" s="50"/>
      <c r="E33" s="50">
        <v>1</v>
      </c>
      <c r="F33" s="50" cm="1">
        <f t="array" ref="F33">CORREL(Data1!E147:E241/Data1!E143:E237-1,Data1!AJ147:AJ241/Data1!AJ143:AJ237-1)</f>
        <v>0.49524100743999971</v>
      </c>
      <c r="G33" s="50" cm="1">
        <f t="array" ref="G33">CORREL(Data1!E91:E241/Data1!E87:E237-1,Data1!BJ91:BJ241/Data1!BJ87:BJ237-1)</f>
        <v>9.3321341935158938E-2</v>
      </c>
      <c r="H33" s="50" cm="1">
        <f t="array" ref="H33">CORREL(Data1!E91:E241/Data1!E87:E237-1,Data1!BK91:BK241/Data1!BK87:BK237-1)</f>
        <v>-1.7852670926056691E-2</v>
      </c>
    </row>
    <row r="34" spans="1:8" x14ac:dyDescent="0.25">
      <c r="A34" s="40" t="s">
        <v>185</v>
      </c>
      <c r="B34" s="50"/>
      <c r="C34" s="50"/>
      <c r="D34" s="50"/>
      <c r="E34" s="50"/>
      <c r="F34" s="50">
        <v>1</v>
      </c>
      <c r="G34" s="50" cm="1">
        <f t="array" ref="G34">CORREL(Data1!AJ147:AJ241/Data1!AJ143:AJ237-1,Data1!BJ147:BJ241/Data1!BJ143:BJ237-1)</f>
        <v>0.34066757042361034</v>
      </c>
      <c r="H34" s="50" cm="1">
        <f t="array" ref="H34">CORREL(Data1!AJ147:AJ241/Data1!AJ143:AJ237-1,Data1!BK147:BK241/Data1!BK143:BK237-1)</f>
        <v>0.37652415277237355</v>
      </c>
    </row>
    <row r="35" spans="1:8" x14ac:dyDescent="0.25">
      <c r="A35" s="44" t="s">
        <v>166</v>
      </c>
      <c r="B35" s="50"/>
      <c r="C35" s="50"/>
      <c r="D35" s="50"/>
      <c r="E35" s="50"/>
      <c r="F35" s="50"/>
      <c r="G35" s="50">
        <v>1</v>
      </c>
      <c r="H35" s="50" cm="1">
        <f t="array" ref="H35">CORREL(Data1!BJ21:BJ241/Data1!BJ17:BJ237-1,Data1!BK21:BK241/Data1!BK17:BK237-1)</f>
        <v>0.54215359213191061</v>
      </c>
    </row>
    <row r="36" spans="1:8" x14ac:dyDescent="0.25">
      <c r="A36" s="45" t="s">
        <v>167</v>
      </c>
      <c r="B36" s="51"/>
      <c r="C36" s="51"/>
      <c r="D36" s="51"/>
      <c r="E36" s="51"/>
      <c r="F36" s="51"/>
      <c r="G36" s="51"/>
      <c r="H36" s="51">
        <v>1</v>
      </c>
    </row>
    <row r="40" spans="1:8" ht="18.75" x14ac:dyDescent="0.3">
      <c r="A40" s="20" t="s">
        <v>198</v>
      </c>
    </row>
    <row r="41" spans="1:8" x14ac:dyDescent="0.25">
      <c r="A41" s="55" t="s">
        <v>194</v>
      </c>
    </row>
    <row r="42" spans="1:8" x14ac:dyDescent="0.25">
      <c r="A42" s="55" t="s">
        <v>195</v>
      </c>
    </row>
    <row r="43" spans="1:8" x14ac:dyDescent="0.25">
      <c r="A43" s="55" t="s">
        <v>196</v>
      </c>
    </row>
    <row r="44" spans="1:8" x14ac:dyDescent="0.25">
      <c r="A44" s="54" t="s">
        <v>197</v>
      </c>
    </row>
  </sheetData>
  <conditionalFormatting sqref="B30:H36">
    <cfRule type="colorScale" priority="1">
      <colorScale>
        <cfvo type="num" val="-1"/>
        <cfvo type="num" val="0"/>
        <cfvo type="num" val="1"/>
        <color rgb="FFF8696B"/>
        <color rgb="FFFFFFFF"/>
        <color rgb="FF5A8AC6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8151-4A11-4E09-B369-05EBB8884CD6}">
  <dimension ref="A1:T282"/>
  <sheetViews>
    <sheetView workbookViewId="0"/>
  </sheetViews>
  <sheetFormatPr defaultRowHeight="15" x14ac:dyDescent="0.25"/>
  <sheetData>
    <row r="1" spans="1:1" ht="18.75" x14ac:dyDescent="0.3">
      <c r="A1" s="20" t="s">
        <v>188</v>
      </c>
    </row>
    <row r="2" spans="1:1" x14ac:dyDescent="0.25">
      <c r="A2" s="21" t="s">
        <v>189</v>
      </c>
    </row>
    <row r="50" spans="1:20" x14ac:dyDescent="0.25">
      <c r="A50" s="52" t="s">
        <v>190</v>
      </c>
    </row>
    <row r="51" spans="1:20" x14ac:dyDescent="0.25">
      <c r="A51" s="22" t="s">
        <v>74</v>
      </c>
      <c r="B51" s="22" t="s">
        <v>191</v>
      </c>
      <c r="C51" s="22" t="s">
        <v>192</v>
      </c>
      <c r="D51" s="22" t="s">
        <v>185</v>
      </c>
      <c r="E51" s="23" t="s">
        <v>166</v>
      </c>
      <c r="F51" s="23" t="s">
        <v>167</v>
      </c>
      <c r="H51" s="22" t="s">
        <v>74</v>
      </c>
      <c r="I51" s="22" t="s">
        <v>191</v>
      </c>
      <c r="J51" s="22" t="s">
        <v>192</v>
      </c>
      <c r="K51" s="22" t="s">
        <v>185</v>
      </c>
      <c r="L51" s="23" t="s">
        <v>166</v>
      </c>
      <c r="M51" s="23" t="s">
        <v>167</v>
      </c>
      <c r="O51" s="22" t="s">
        <v>74</v>
      </c>
      <c r="P51" s="22" t="s">
        <v>191</v>
      </c>
      <c r="Q51" s="22" t="s">
        <v>192</v>
      </c>
      <c r="R51" s="22" t="s">
        <v>185</v>
      </c>
      <c r="S51" s="23" t="s">
        <v>166</v>
      </c>
      <c r="T51" s="23" t="s">
        <v>167</v>
      </c>
    </row>
    <row r="52" spans="1:20" x14ac:dyDescent="0.25">
      <c r="A52" s="53">
        <f>Data1!A11</f>
        <v>25082</v>
      </c>
      <c r="B52">
        <f>IF(ISBLANK(Data1!B11),NA(),Data1!B11)</f>
        <v>10.7</v>
      </c>
      <c r="C52" t="e">
        <f>IF(ISBLANK(Data1!E11),NA(),Data1!E11)</f>
        <v>#N/A</v>
      </c>
      <c r="D52" t="e">
        <f>IF(ISBLANK(Data1!AJ11),NA(),Data1!AJ11)</f>
        <v>#N/A</v>
      </c>
      <c r="E52" t="e">
        <f>IF(ISBLANK(Data1!BJ11),NA(),Data1!BJ11)</f>
        <v>#N/A</v>
      </c>
      <c r="F52" t="e">
        <f>IF(ISBLANK(Data1!BK11),NA(),Data1!BK11)</f>
        <v>#N/A</v>
      </c>
      <c r="H52" s="53">
        <f>A52</f>
        <v>25082</v>
      </c>
      <c r="I52">
        <f>IF(ISNA(B52),NA(),B52/$B$58*100)</f>
        <v>99.074074074074062</v>
      </c>
      <c r="J52" t="e" cm="1">
        <f t="array" ref="J52">IF(ISNA(C52),NA(),C52/INDEX($C$52:$C$282,MATCH(TRUE,INDEX(NOT(ISNA($C$52:$C$282)),0),0))*100)</f>
        <v>#N/A</v>
      </c>
      <c r="K52" t="e" cm="1">
        <f t="array" ref="K52">IF(ISNA(D52),NA(),D52/INDEX($D$52:$D$282,MATCH(TRUE,INDEX(NOT(ISNA($D$52:$D$282)),0),0))*100)</f>
        <v>#N/A</v>
      </c>
      <c r="L52" t="e">
        <f>IF(ISNA(E52),NA(),E52/$E$58*100)</f>
        <v>#N/A</v>
      </c>
      <c r="M52" t="e">
        <f>IF(ISNA(F52),NA(),F52/$F$58*100)</f>
        <v>#N/A</v>
      </c>
      <c r="O52" s="53">
        <f>A52</f>
        <v>25082</v>
      </c>
      <c r="P52" s="24" t="e">
        <v>#N/A</v>
      </c>
      <c r="Q52" s="24" t="e">
        <v>#N/A</v>
      </c>
      <c r="R52" s="24" t="e">
        <v>#N/A</v>
      </c>
      <c r="S52" s="24" t="e">
        <v>#N/A</v>
      </c>
      <c r="T52" s="24" t="e">
        <v>#N/A</v>
      </c>
    </row>
    <row r="53" spans="1:20" x14ac:dyDescent="0.25">
      <c r="A53" s="53">
        <f>Data1!A12</f>
        <v>25173</v>
      </c>
      <c r="B53">
        <f>IF(ISBLANK(Data1!B12),NA(),Data1!B12)</f>
        <v>10.3</v>
      </c>
      <c r="C53" t="e">
        <f>IF(ISBLANK(Data1!E12),NA(),Data1!E12)</f>
        <v>#N/A</v>
      </c>
      <c r="D53" t="e">
        <f>IF(ISBLANK(Data1!AJ12),NA(),Data1!AJ12)</f>
        <v>#N/A</v>
      </c>
      <c r="E53" t="e">
        <f>IF(ISBLANK(Data1!BJ12),NA(),Data1!BJ12)</f>
        <v>#N/A</v>
      </c>
      <c r="F53" t="e">
        <f>IF(ISBLANK(Data1!BK12),NA(),Data1!BK12)</f>
        <v>#N/A</v>
      </c>
      <c r="H53" s="53">
        <f t="shared" ref="H53:H116" si="0">A53</f>
        <v>25173</v>
      </c>
      <c r="I53">
        <f t="shared" ref="I53:I116" si="1">IF(ISNA(B53),NA(),B53/$B$58*100)</f>
        <v>95.370370370370367</v>
      </c>
      <c r="J53" t="e" cm="1">
        <f t="array" ref="J53">IF(ISNA(C53),NA(),C53/INDEX($C$52:$C$282,MATCH(TRUE,INDEX(NOT(ISNA($C$52:$C$282)),0),0))*100)</f>
        <v>#N/A</v>
      </c>
      <c r="K53" t="e" cm="1">
        <f t="array" ref="K53">IF(ISNA(D53),NA(),D53/INDEX($D$52:$D$282,MATCH(TRUE,INDEX(NOT(ISNA($D$52:$D$282)),0),0))*100)</f>
        <v>#N/A</v>
      </c>
      <c r="L53" t="e">
        <f t="shared" ref="L53:L116" si="2">IF(ISNA(E53),NA(),E53/$E$58*100)</f>
        <v>#N/A</v>
      </c>
      <c r="M53" t="e">
        <f t="shared" ref="M53:M116" si="3">IF(ISNA(F53),NA(),F53/$F$58*100)</f>
        <v>#N/A</v>
      </c>
      <c r="O53" s="53">
        <f>A53</f>
        <v>25173</v>
      </c>
      <c r="P53" s="24" t="e">
        <v>#N/A</v>
      </c>
      <c r="Q53" s="24" t="e">
        <v>#N/A</v>
      </c>
      <c r="R53" s="24" t="e">
        <v>#N/A</v>
      </c>
      <c r="S53" s="24" t="e">
        <v>#N/A</v>
      </c>
      <c r="T53" s="24" t="e">
        <v>#N/A</v>
      </c>
    </row>
    <row r="54" spans="1:20" x14ac:dyDescent="0.25">
      <c r="A54" s="53">
        <f>Data1!A13</f>
        <v>25263</v>
      </c>
      <c r="B54">
        <f>IF(ISBLANK(Data1!B13),NA(),Data1!B13)</f>
        <v>10.5</v>
      </c>
      <c r="C54" t="e">
        <f>IF(ISBLANK(Data1!E13),NA(),Data1!E13)</f>
        <v>#N/A</v>
      </c>
      <c r="D54" t="e">
        <f>IF(ISBLANK(Data1!AJ13),NA(),Data1!AJ13)</f>
        <v>#N/A</v>
      </c>
      <c r="E54" t="e">
        <f>IF(ISBLANK(Data1!BJ13),NA(),Data1!BJ13)</f>
        <v>#N/A</v>
      </c>
      <c r="F54" t="e">
        <f>IF(ISBLANK(Data1!BK13),NA(),Data1!BK13)</f>
        <v>#N/A</v>
      </c>
      <c r="H54" s="53">
        <f t="shared" si="0"/>
        <v>25263</v>
      </c>
      <c r="I54">
        <f t="shared" si="1"/>
        <v>97.222222222222214</v>
      </c>
      <c r="J54" t="e" cm="1">
        <f t="array" ref="J54">IF(ISNA(C54),NA(),C54/INDEX($C$52:$C$282,MATCH(TRUE,INDEX(NOT(ISNA($C$52:$C$282)),0),0))*100)</f>
        <v>#N/A</v>
      </c>
      <c r="K54" t="e" cm="1">
        <f t="array" ref="K54">IF(ISNA(D54),NA(),D54/INDEX($D$52:$D$282,MATCH(TRUE,INDEX(NOT(ISNA($D$52:$D$282)),0),0))*100)</f>
        <v>#N/A</v>
      </c>
      <c r="L54" t="e">
        <f t="shared" si="2"/>
        <v>#N/A</v>
      </c>
      <c r="M54" t="e">
        <f t="shared" si="3"/>
        <v>#N/A</v>
      </c>
      <c r="O54" s="53">
        <f>A54</f>
        <v>25263</v>
      </c>
      <c r="P54" s="24" t="e">
        <v>#N/A</v>
      </c>
      <c r="Q54" s="24" t="e">
        <v>#N/A</v>
      </c>
      <c r="R54" s="24" t="e">
        <v>#N/A</v>
      </c>
      <c r="S54" s="24" t="e">
        <v>#N/A</v>
      </c>
      <c r="T54" s="24" t="e">
        <v>#N/A</v>
      </c>
    </row>
    <row r="55" spans="1:20" x14ac:dyDescent="0.25">
      <c r="A55" s="53">
        <f>Data1!A14</f>
        <v>25355</v>
      </c>
      <c r="B55">
        <f>IF(ISBLANK(Data1!B14),NA(),Data1!B14)</f>
        <v>10.8</v>
      </c>
      <c r="C55" t="e">
        <f>IF(ISBLANK(Data1!E14),NA(),Data1!E14)</f>
        <v>#N/A</v>
      </c>
      <c r="D55" t="e">
        <f>IF(ISBLANK(Data1!AJ14),NA(),Data1!AJ14)</f>
        <v>#N/A</v>
      </c>
      <c r="E55" t="e">
        <f>IF(ISBLANK(Data1!BJ14),NA(),Data1!BJ14)</f>
        <v>#N/A</v>
      </c>
      <c r="F55" t="e">
        <f>IF(ISBLANK(Data1!BK14),NA(),Data1!BK14)</f>
        <v>#N/A</v>
      </c>
      <c r="H55" s="53">
        <f t="shared" si="0"/>
        <v>25355</v>
      </c>
      <c r="I55">
        <f t="shared" si="1"/>
        <v>100</v>
      </c>
      <c r="J55" t="e" cm="1">
        <f t="array" ref="J55">IF(ISNA(C55),NA(),C55/INDEX($C$52:$C$282,MATCH(TRUE,INDEX(NOT(ISNA($C$52:$C$282)),0),0))*100)</f>
        <v>#N/A</v>
      </c>
      <c r="K55" t="e" cm="1">
        <f t="array" ref="K55">IF(ISNA(D55),NA(),D55/INDEX($D$52:$D$282,MATCH(TRUE,INDEX(NOT(ISNA($D$52:$D$282)),0),0))*100)</f>
        <v>#N/A</v>
      </c>
      <c r="L55" t="e">
        <f t="shared" si="2"/>
        <v>#N/A</v>
      </c>
      <c r="M55" t="e">
        <f t="shared" si="3"/>
        <v>#N/A</v>
      </c>
      <c r="O55" s="53">
        <f>A55</f>
        <v>25355</v>
      </c>
      <c r="P55" s="24" t="e">
        <v>#N/A</v>
      </c>
      <c r="Q55" s="24" t="e">
        <v>#N/A</v>
      </c>
      <c r="R55" s="24" t="e">
        <v>#N/A</v>
      </c>
      <c r="S55" s="24" t="e">
        <v>#N/A</v>
      </c>
      <c r="T55" s="24" t="e">
        <v>#N/A</v>
      </c>
    </row>
    <row r="56" spans="1:20" x14ac:dyDescent="0.25">
      <c r="A56" s="53">
        <f>Data1!A15</f>
        <v>25447</v>
      </c>
      <c r="B56">
        <f>IF(ISBLANK(Data1!B15),NA(),Data1!B15)</f>
        <v>10.9</v>
      </c>
      <c r="C56" t="e">
        <f>IF(ISBLANK(Data1!E15),NA(),Data1!E15)</f>
        <v>#N/A</v>
      </c>
      <c r="D56" t="e">
        <f>IF(ISBLANK(Data1!AJ15),NA(),Data1!AJ15)</f>
        <v>#N/A</v>
      </c>
      <c r="E56" t="e">
        <f>IF(ISBLANK(Data1!BJ15),NA(),Data1!BJ15)</f>
        <v>#N/A</v>
      </c>
      <c r="F56" t="e">
        <f>IF(ISBLANK(Data1!BK15),NA(),Data1!BK15)</f>
        <v>#N/A</v>
      </c>
      <c r="H56" s="53">
        <f t="shared" si="0"/>
        <v>25447</v>
      </c>
      <c r="I56">
        <f t="shared" si="1"/>
        <v>100.92592592592592</v>
      </c>
      <c r="J56" t="e" cm="1">
        <f t="array" ref="J56">IF(ISNA(C56),NA(),C56/INDEX($C$52:$C$282,MATCH(TRUE,INDEX(NOT(ISNA($C$52:$C$282)),0),0))*100)</f>
        <v>#N/A</v>
      </c>
      <c r="K56" t="e" cm="1">
        <f t="array" ref="K56">IF(ISNA(D56),NA(),D56/INDEX($D$52:$D$282,MATCH(TRUE,INDEX(NOT(ISNA($D$52:$D$282)),0),0))*100)</f>
        <v>#N/A</v>
      </c>
      <c r="L56" t="e">
        <f t="shared" si="2"/>
        <v>#N/A</v>
      </c>
      <c r="M56" t="e">
        <f t="shared" si="3"/>
        <v>#N/A</v>
      </c>
      <c r="O56" s="53">
        <f>A56</f>
        <v>25447</v>
      </c>
      <c r="P56" s="24">
        <f>IFERROR(IF(OR(ISNA(B56),ISNA(B52)),NA(),B56/B52-1),NA())</f>
        <v>1.8691588785046731E-2</v>
      </c>
      <c r="Q56" s="24" t="e">
        <f>IFERROR(IF(OR(ISNA(C56),ISNA(C52)),NA(),C56/C52-1),NA())</f>
        <v>#N/A</v>
      </c>
      <c r="R56" s="24" t="e">
        <f>IFERROR(IF(OR(ISNA(D56),ISNA(D52)),NA(),D56/D52-1),NA())</f>
        <v>#N/A</v>
      </c>
      <c r="S56" s="24" t="e">
        <f>IFERROR(IF(OR(ISNA(E56),ISNA(E52)),NA(),E56/E52-1),NA())</f>
        <v>#N/A</v>
      </c>
      <c r="T56" s="24" t="e">
        <f>IFERROR(IF(OR(ISNA(F56),ISNA(F52)),NA(),F56/F52-1),NA())</f>
        <v>#N/A</v>
      </c>
    </row>
    <row r="57" spans="1:20" x14ac:dyDescent="0.25">
      <c r="A57" s="53">
        <f>Data1!A16</f>
        <v>25538</v>
      </c>
      <c r="B57">
        <f>IF(ISBLANK(Data1!B16),NA(),Data1!B16)</f>
        <v>10.7</v>
      </c>
      <c r="C57" t="e">
        <f>IF(ISBLANK(Data1!E16),NA(),Data1!E16)</f>
        <v>#N/A</v>
      </c>
      <c r="D57" t="e">
        <f>IF(ISBLANK(Data1!AJ16),NA(),Data1!AJ16)</f>
        <v>#N/A</v>
      </c>
      <c r="E57" t="e">
        <f>IF(ISBLANK(Data1!BJ16),NA(),Data1!BJ16)</f>
        <v>#N/A</v>
      </c>
      <c r="F57" t="e">
        <f>IF(ISBLANK(Data1!BK16),NA(),Data1!BK16)</f>
        <v>#N/A</v>
      </c>
      <c r="H57" s="53">
        <f t="shared" si="0"/>
        <v>25538</v>
      </c>
      <c r="I57">
        <f t="shared" si="1"/>
        <v>99.074074074074062</v>
      </c>
      <c r="J57" t="e" cm="1">
        <f t="array" ref="J57">IF(ISNA(C57),NA(),C57/INDEX($C$52:$C$282,MATCH(TRUE,INDEX(NOT(ISNA($C$52:$C$282)),0),0))*100)</f>
        <v>#N/A</v>
      </c>
      <c r="K57" t="e" cm="1">
        <f t="array" ref="K57">IF(ISNA(D57),NA(),D57/INDEX($D$52:$D$282,MATCH(TRUE,INDEX(NOT(ISNA($D$52:$D$282)),0),0))*100)</f>
        <v>#N/A</v>
      </c>
      <c r="L57" t="e">
        <f t="shared" si="2"/>
        <v>#N/A</v>
      </c>
      <c r="M57" t="e">
        <f t="shared" si="3"/>
        <v>#N/A</v>
      </c>
      <c r="O57" s="53">
        <f t="shared" ref="O57:O120" si="4">A57</f>
        <v>25538</v>
      </c>
      <c r="P57" s="24">
        <f t="shared" ref="P57:T57" si="5">IFERROR(IF(OR(ISNA(B57),ISNA(B53)),NA(),B57/B53-1),NA())</f>
        <v>3.883495145631044E-2</v>
      </c>
      <c r="Q57" s="24" t="e">
        <f t="shared" si="5"/>
        <v>#N/A</v>
      </c>
      <c r="R57" s="24" t="e">
        <f t="shared" si="5"/>
        <v>#N/A</v>
      </c>
      <c r="S57" s="24" t="e">
        <f t="shared" si="5"/>
        <v>#N/A</v>
      </c>
      <c r="T57" s="24" t="e">
        <f t="shared" si="5"/>
        <v>#N/A</v>
      </c>
    </row>
    <row r="58" spans="1:20" x14ac:dyDescent="0.25">
      <c r="A58" s="53">
        <f>Data1!A17</f>
        <v>25628</v>
      </c>
      <c r="B58">
        <f>IF(ISBLANK(Data1!B17),NA(),Data1!B17)</f>
        <v>10.8</v>
      </c>
      <c r="C58" t="e">
        <f>IF(ISBLANK(Data1!E17),NA(),Data1!E17)</f>
        <v>#N/A</v>
      </c>
      <c r="D58" t="e">
        <f>IF(ISBLANK(Data1!AJ17),NA(),Data1!AJ17)</f>
        <v>#N/A</v>
      </c>
      <c r="E58">
        <f>IF(ISBLANK(Data1!BJ17),NA(),Data1!BJ17)</f>
        <v>17.899999999999999</v>
      </c>
      <c r="F58">
        <f>IF(ISBLANK(Data1!BK17),NA(),Data1!BK17)</f>
        <v>11.8</v>
      </c>
      <c r="H58" s="53">
        <f t="shared" si="0"/>
        <v>25628</v>
      </c>
      <c r="I58">
        <f t="shared" si="1"/>
        <v>100</v>
      </c>
      <c r="J58" t="e" cm="1">
        <f t="array" ref="J58">IF(ISNA(C58),NA(),C58/INDEX($C$52:$C$282,MATCH(TRUE,INDEX(NOT(ISNA($C$52:$C$282)),0),0))*100)</f>
        <v>#N/A</v>
      </c>
      <c r="K58" t="e" cm="1">
        <f t="array" ref="K58">IF(ISNA(D58),NA(),D58/INDEX($D$52:$D$282,MATCH(TRUE,INDEX(NOT(ISNA($D$52:$D$282)),0),0))*100)</f>
        <v>#N/A</v>
      </c>
      <c r="L58">
        <f t="shared" si="2"/>
        <v>100</v>
      </c>
      <c r="M58">
        <f t="shared" si="3"/>
        <v>100</v>
      </c>
      <c r="O58" s="53">
        <f t="shared" si="4"/>
        <v>25628</v>
      </c>
      <c r="P58" s="24">
        <f t="shared" ref="P58:T58" si="6">IFERROR(IF(OR(ISNA(B58),ISNA(B54)),NA(),B58/B54-1),NA())</f>
        <v>2.8571428571428692E-2</v>
      </c>
      <c r="Q58" s="24" t="e">
        <f t="shared" si="6"/>
        <v>#N/A</v>
      </c>
      <c r="R58" s="24" t="e">
        <f t="shared" si="6"/>
        <v>#N/A</v>
      </c>
      <c r="S58" s="24" t="e">
        <f t="shared" si="6"/>
        <v>#N/A</v>
      </c>
      <c r="T58" s="24" t="e">
        <f t="shared" si="6"/>
        <v>#N/A</v>
      </c>
    </row>
    <row r="59" spans="1:20" x14ac:dyDescent="0.25">
      <c r="A59" s="53">
        <f>Data1!A18</f>
        <v>25720</v>
      </c>
      <c r="B59">
        <f>IF(ISBLANK(Data1!B18),NA(),Data1!B18)</f>
        <v>10.9</v>
      </c>
      <c r="C59" t="e">
        <f>IF(ISBLANK(Data1!E18),NA(),Data1!E18)</f>
        <v>#N/A</v>
      </c>
      <c r="D59" t="e">
        <f>IF(ISBLANK(Data1!AJ18),NA(),Data1!AJ18)</f>
        <v>#N/A</v>
      </c>
      <c r="E59">
        <f>IF(ISBLANK(Data1!BJ18),NA(),Data1!BJ18)</f>
        <v>15.6</v>
      </c>
      <c r="F59">
        <f>IF(ISBLANK(Data1!BK18),NA(),Data1!BK18)</f>
        <v>12</v>
      </c>
      <c r="H59" s="53">
        <f t="shared" si="0"/>
        <v>25720</v>
      </c>
      <c r="I59">
        <f t="shared" si="1"/>
        <v>100.92592592592592</v>
      </c>
      <c r="J59" t="e" cm="1">
        <f t="array" ref="J59">IF(ISNA(C59),NA(),C59/INDEX($C$52:$C$282,MATCH(TRUE,INDEX(NOT(ISNA($C$52:$C$282)),0),0))*100)</f>
        <v>#N/A</v>
      </c>
      <c r="K59" t="e" cm="1">
        <f t="array" ref="K59">IF(ISNA(D59),NA(),D59/INDEX($D$52:$D$282,MATCH(TRUE,INDEX(NOT(ISNA($D$52:$D$282)),0),0))*100)</f>
        <v>#N/A</v>
      </c>
      <c r="L59">
        <f t="shared" si="2"/>
        <v>87.150837988826822</v>
      </c>
      <c r="M59">
        <f t="shared" si="3"/>
        <v>101.69491525423729</v>
      </c>
      <c r="O59" s="53">
        <f t="shared" si="4"/>
        <v>25720</v>
      </c>
      <c r="P59" s="24">
        <f t="shared" ref="P59:T59" si="7">IFERROR(IF(OR(ISNA(B59),ISNA(B55)),NA(),B59/B55-1),NA())</f>
        <v>9.2592592592593004E-3</v>
      </c>
      <c r="Q59" s="24" t="e">
        <f t="shared" si="7"/>
        <v>#N/A</v>
      </c>
      <c r="R59" s="24" t="e">
        <f t="shared" si="7"/>
        <v>#N/A</v>
      </c>
      <c r="S59" s="24" t="e">
        <f t="shared" si="7"/>
        <v>#N/A</v>
      </c>
      <c r="T59" s="24" t="e">
        <f t="shared" si="7"/>
        <v>#N/A</v>
      </c>
    </row>
    <row r="60" spans="1:20" x14ac:dyDescent="0.25">
      <c r="A60" s="53">
        <f>Data1!A19</f>
        <v>25812</v>
      </c>
      <c r="B60">
        <f>IF(ISBLANK(Data1!B19),NA(),Data1!B19)</f>
        <v>10.7</v>
      </c>
      <c r="C60" t="e">
        <f>IF(ISBLANK(Data1!E19),NA(),Data1!E19)</f>
        <v>#N/A</v>
      </c>
      <c r="D60" t="e">
        <f>IF(ISBLANK(Data1!AJ19),NA(),Data1!AJ19)</f>
        <v>#N/A</v>
      </c>
      <c r="E60">
        <f>IF(ISBLANK(Data1!BJ19),NA(),Data1!BJ19)</f>
        <v>14.7</v>
      </c>
      <c r="F60">
        <f>IF(ISBLANK(Data1!BK19),NA(),Data1!BK19)</f>
        <v>12.3</v>
      </c>
      <c r="H60" s="53">
        <f t="shared" si="0"/>
        <v>25812</v>
      </c>
      <c r="I60">
        <f t="shared" si="1"/>
        <v>99.074074074074062</v>
      </c>
      <c r="J60" t="e" cm="1">
        <f t="array" ref="J60">IF(ISNA(C60),NA(),C60/INDEX($C$52:$C$282,MATCH(TRUE,INDEX(NOT(ISNA($C$52:$C$282)),0),0))*100)</f>
        <v>#N/A</v>
      </c>
      <c r="K60" t="e" cm="1">
        <f t="array" ref="K60">IF(ISNA(D60),NA(),D60/INDEX($D$52:$D$282,MATCH(TRUE,INDEX(NOT(ISNA($D$52:$D$282)),0),0))*100)</f>
        <v>#N/A</v>
      </c>
      <c r="L60">
        <f t="shared" si="2"/>
        <v>82.122905027932973</v>
      </c>
      <c r="M60">
        <f t="shared" si="3"/>
        <v>104.2372881355932</v>
      </c>
      <c r="O60" s="53">
        <f t="shared" si="4"/>
        <v>25812</v>
      </c>
      <c r="P60" s="24">
        <f t="shared" ref="P60:T60" si="8">IFERROR(IF(OR(ISNA(B60),ISNA(B56)),NA(),B60/B56-1),NA())</f>
        <v>-1.8348623853211121E-2</v>
      </c>
      <c r="Q60" s="24" t="e">
        <f t="shared" si="8"/>
        <v>#N/A</v>
      </c>
      <c r="R60" s="24" t="e">
        <f t="shared" si="8"/>
        <v>#N/A</v>
      </c>
      <c r="S60" s="24" t="e">
        <f t="shared" si="8"/>
        <v>#N/A</v>
      </c>
      <c r="T60" s="24" t="e">
        <f t="shared" si="8"/>
        <v>#N/A</v>
      </c>
    </row>
    <row r="61" spans="1:20" x14ac:dyDescent="0.25">
      <c r="A61" s="53">
        <f>Data1!A20</f>
        <v>25903</v>
      </c>
      <c r="B61">
        <f>IF(ISBLANK(Data1!B20),NA(),Data1!B20)</f>
        <v>10.4</v>
      </c>
      <c r="C61" t="e">
        <f>IF(ISBLANK(Data1!E20),NA(),Data1!E20)</f>
        <v>#N/A</v>
      </c>
      <c r="D61" t="e">
        <f>IF(ISBLANK(Data1!AJ20),NA(),Data1!AJ20)</f>
        <v>#N/A</v>
      </c>
      <c r="E61">
        <f>IF(ISBLANK(Data1!BJ20),NA(),Data1!BJ20)</f>
        <v>13.7</v>
      </c>
      <c r="F61">
        <f>IF(ISBLANK(Data1!BK20),NA(),Data1!BK20)</f>
        <v>12.2</v>
      </c>
      <c r="H61" s="53">
        <f t="shared" si="0"/>
        <v>25903</v>
      </c>
      <c r="I61">
        <f t="shared" si="1"/>
        <v>96.296296296296291</v>
      </c>
      <c r="J61" t="e" cm="1">
        <f t="array" ref="J61">IF(ISNA(C61),NA(),C61/INDEX($C$52:$C$282,MATCH(TRUE,INDEX(NOT(ISNA($C$52:$C$282)),0),0))*100)</f>
        <v>#N/A</v>
      </c>
      <c r="K61" t="e" cm="1">
        <f t="array" ref="K61">IF(ISNA(D61),NA(),D61/INDEX($D$52:$D$282,MATCH(TRUE,INDEX(NOT(ISNA($D$52:$D$282)),0),0))*100)</f>
        <v>#N/A</v>
      </c>
      <c r="L61">
        <f t="shared" si="2"/>
        <v>76.536312849162016</v>
      </c>
      <c r="M61">
        <f t="shared" si="3"/>
        <v>103.38983050847457</v>
      </c>
      <c r="O61" s="53">
        <f t="shared" si="4"/>
        <v>25903</v>
      </c>
      <c r="P61" s="24">
        <f t="shared" ref="P61:T61" si="9">IFERROR(IF(OR(ISNA(B61),ISNA(B57)),NA(),B61/B57-1),NA())</f>
        <v>-2.8037383177569986E-2</v>
      </c>
      <c r="Q61" s="24" t="e">
        <f t="shared" si="9"/>
        <v>#N/A</v>
      </c>
      <c r="R61" s="24" t="e">
        <f t="shared" si="9"/>
        <v>#N/A</v>
      </c>
      <c r="S61" s="24" t="e">
        <f t="shared" si="9"/>
        <v>#N/A</v>
      </c>
      <c r="T61" s="24" t="e">
        <f t="shared" si="9"/>
        <v>#N/A</v>
      </c>
    </row>
    <row r="62" spans="1:20" x14ac:dyDescent="0.25">
      <c r="A62" s="53">
        <f>Data1!A21</f>
        <v>25993</v>
      </c>
      <c r="B62">
        <f>IF(ISBLANK(Data1!B21),NA(),Data1!B21)</f>
        <v>10.6</v>
      </c>
      <c r="C62" t="e">
        <f>IF(ISBLANK(Data1!E21),NA(),Data1!E21)</f>
        <v>#N/A</v>
      </c>
      <c r="D62" t="e">
        <f>IF(ISBLANK(Data1!AJ21),NA(),Data1!AJ21)</f>
        <v>#N/A</v>
      </c>
      <c r="E62">
        <f>IF(ISBLANK(Data1!BJ21),NA(),Data1!BJ21)</f>
        <v>12.9</v>
      </c>
      <c r="F62">
        <f>IF(ISBLANK(Data1!BK21),NA(),Data1!BK21)</f>
        <v>12.2</v>
      </c>
      <c r="H62" s="53">
        <f t="shared" si="0"/>
        <v>25993</v>
      </c>
      <c r="I62">
        <f t="shared" si="1"/>
        <v>98.148148148148138</v>
      </c>
      <c r="J62" t="e" cm="1">
        <f t="array" ref="J62">IF(ISNA(C62),NA(),C62/INDEX($C$52:$C$282,MATCH(TRUE,INDEX(NOT(ISNA($C$52:$C$282)),0),0))*100)</f>
        <v>#N/A</v>
      </c>
      <c r="K62" t="e" cm="1">
        <f t="array" ref="K62">IF(ISNA(D62),NA(),D62/INDEX($D$52:$D$282,MATCH(TRUE,INDEX(NOT(ISNA($D$52:$D$282)),0),0))*100)</f>
        <v>#N/A</v>
      </c>
      <c r="L62">
        <f t="shared" si="2"/>
        <v>72.067039106145259</v>
      </c>
      <c r="M62">
        <f t="shared" si="3"/>
        <v>103.38983050847457</v>
      </c>
      <c r="O62" s="53">
        <f t="shared" si="4"/>
        <v>25993</v>
      </c>
      <c r="P62" s="24">
        <f t="shared" ref="P62:T62" si="10">IFERROR(IF(OR(ISNA(B62),ISNA(B58)),NA(),B62/B58-1),NA())</f>
        <v>-1.8518518518518601E-2</v>
      </c>
      <c r="Q62" s="24" t="e">
        <f t="shared" si="10"/>
        <v>#N/A</v>
      </c>
      <c r="R62" s="24" t="e">
        <f t="shared" si="10"/>
        <v>#N/A</v>
      </c>
      <c r="S62" s="24">
        <f t="shared" si="10"/>
        <v>-0.27932960893854741</v>
      </c>
      <c r="T62" s="24">
        <f t="shared" si="10"/>
        <v>3.3898305084745672E-2</v>
      </c>
    </row>
    <row r="63" spans="1:20" x14ac:dyDescent="0.25">
      <c r="A63" s="53">
        <f>Data1!A22</f>
        <v>26085</v>
      </c>
      <c r="B63">
        <f>IF(ISBLANK(Data1!B22),NA(),Data1!B22)</f>
        <v>10.7</v>
      </c>
      <c r="C63" t="e">
        <f>IF(ISBLANK(Data1!E22),NA(),Data1!E22)</f>
        <v>#N/A</v>
      </c>
      <c r="D63" t="e">
        <f>IF(ISBLANK(Data1!AJ22),NA(),Data1!AJ22)</f>
        <v>#N/A</v>
      </c>
      <c r="E63">
        <f>IF(ISBLANK(Data1!BJ22),NA(),Data1!BJ22)</f>
        <v>12.7</v>
      </c>
      <c r="F63">
        <f>IF(ISBLANK(Data1!BK22),NA(),Data1!BK22)</f>
        <v>12.2</v>
      </c>
      <c r="H63" s="53">
        <f t="shared" si="0"/>
        <v>26085</v>
      </c>
      <c r="I63">
        <f t="shared" si="1"/>
        <v>99.074074074074062</v>
      </c>
      <c r="J63" t="e" cm="1">
        <f t="array" ref="J63">IF(ISNA(C63),NA(),C63/INDEX($C$52:$C$282,MATCH(TRUE,INDEX(NOT(ISNA($C$52:$C$282)),0),0))*100)</f>
        <v>#N/A</v>
      </c>
      <c r="K63" t="e" cm="1">
        <f t="array" ref="K63">IF(ISNA(D63),NA(),D63/INDEX($D$52:$D$282,MATCH(TRUE,INDEX(NOT(ISNA($D$52:$D$282)),0),0))*100)</f>
        <v>#N/A</v>
      </c>
      <c r="L63">
        <f t="shared" si="2"/>
        <v>70.949720670391059</v>
      </c>
      <c r="M63">
        <f t="shared" si="3"/>
        <v>103.38983050847457</v>
      </c>
      <c r="O63" s="53">
        <f t="shared" si="4"/>
        <v>26085</v>
      </c>
      <c r="P63" s="24">
        <f t="shared" ref="P63:T63" si="11">IFERROR(IF(OR(ISNA(B63),ISNA(B59)),NA(),B63/B59-1),NA())</f>
        <v>-1.8348623853211121E-2</v>
      </c>
      <c r="Q63" s="24" t="e">
        <f t="shared" si="11"/>
        <v>#N/A</v>
      </c>
      <c r="R63" s="24" t="e">
        <f t="shared" si="11"/>
        <v>#N/A</v>
      </c>
      <c r="S63" s="24">
        <f t="shared" si="11"/>
        <v>-0.1858974358974359</v>
      </c>
      <c r="T63" s="24">
        <f t="shared" si="11"/>
        <v>1.6666666666666607E-2</v>
      </c>
    </row>
    <row r="64" spans="1:20" x14ac:dyDescent="0.25">
      <c r="A64" s="53">
        <f>Data1!A23</f>
        <v>26177</v>
      </c>
      <c r="B64">
        <f>IF(ISBLANK(Data1!B23),NA(),Data1!B23)</f>
        <v>11</v>
      </c>
      <c r="C64" t="e">
        <f>IF(ISBLANK(Data1!E23),NA(),Data1!E23)</f>
        <v>#N/A</v>
      </c>
      <c r="D64" t="e">
        <f>IF(ISBLANK(Data1!AJ23),NA(),Data1!AJ23)</f>
        <v>#N/A</v>
      </c>
      <c r="E64">
        <f>IF(ISBLANK(Data1!BJ23),NA(),Data1!BJ23)</f>
        <v>13</v>
      </c>
      <c r="F64">
        <f>IF(ISBLANK(Data1!BK23),NA(),Data1!BK23)</f>
        <v>12.4</v>
      </c>
      <c r="H64" s="53">
        <f t="shared" si="0"/>
        <v>26177</v>
      </c>
      <c r="I64">
        <f t="shared" si="1"/>
        <v>101.85185185185183</v>
      </c>
      <c r="J64" t="e" cm="1">
        <f t="array" ref="J64">IF(ISNA(C64),NA(),C64/INDEX($C$52:$C$282,MATCH(TRUE,INDEX(NOT(ISNA($C$52:$C$282)),0),0))*100)</f>
        <v>#N/A</v>
      </c>
      <c r="K64" t="e" cm="1">
        <f t="array" ref="K64">IF(ISNA(D64),NA(),D64/INDEX($D$52:$D$282,MATCH(TRUE,INDEX(NOT(ISNA($D$52:$D$282)),0),0))*100)</f>
        <v>#N/A</v>
      </c>
      <c r="L64">
        <f t="shared" si="2"/>
        <v>72.625698324022352</v>
      </c>
      <c r="M64">
        <f t="shared" si="3"/>
        <v>105.08474576271185</v>
      </c>
      <c r="O64" s="53">
        <f t="shared" si="4"/>
        <v>26177</v>
      </c>
      <c r="P64" s="24">
        <f t="shared" ref="P64:T64" si="12">IFERROR(IF(OR(ISNA(B64),ISNA(B60)),NA(),B64/B60-1),NA())</f>
        <v>2.8037383177570208E-2</v>
      </c>
      <c r="Q64" s="24" t="e">
        <f t="shared" si="12"/>
        <v>#N/A</v>
      </c>
      <c r="R64" s="24" t="e">
        <f t="shared" si="12"/>
        <v>#N/A</v>
      </c>
      <c r="S64" s="24">
        <f t="shared" si="12"/>
        <v>-0.11564625850340127</v>
      </c>
      <c r="T64" s="24">
        <f t="shared" si="12"/>
        <v>8.1300813008129413E-3</v>
      </c>
    </row>
    <row r="65" spans="1:20" x14ac:dyDescent="0.25">
      <c r="A65" s="53">
        <f>Data1!A24</f>
        <v>26268</v>
      </c>
      <c r="B65">
        <f>IF(ISBLANK(Data1!B24),NA(),Data1!B24)</f>
        <v>10.7</v>
      </c>
      <c r="C65" t="e">
        <f>IF(ISBLANK(Data1!E24),NA(),Data1!E24)</f>
        <v>#N/A</v>
      </c>
      <c r="D65" t="e">
        <f>IF(ISBLANK(Data1!AJ24),NA(),Data1!AJ24)</f>
        <v>#N/A</v>
      </c>
      <c r="E65">
        <f>IF(ISBLANK(Data1!BJ24),NA(),Data1!BJ24)</f>
        <v>12.1</v>
      </c>
      <c r="F65">
        <f>IF(ISBLANK(Data1!BK24),NA(),Data1!BK24)</f>
        <v>12.4</v>
      </c>
      <c r="H65" s="53">
        <f t="shared" si="0"/>
        <v>26268</v>
      </c>
      <c r="I65">
        <f t="shared" si="1"/>
        <v>99.074074074074062</v>
      </c>
      <c r="J65" t="e" cm="1">
        <f t="array" ref="J65">IF(ISNA(C65),NA(),C65/INDEX($C$52:$C$282,MATCH(TRUE,INDEX(NOT(ISNA($C$52:$C$282)),0),0))*100)</f>
        <v>#N/A</v>
      </c>
      <c r="K65" t="e" cm="1">
        <f t="array" ref="K65">IF(ISNA(D65),NA(),D65/INDEX($D$52:$D$282,MATCH(TRUE,INDEX(NOT(ISNA($D$52:$D$282)),0),0))*100)</f>
        <v>#N/A</v>
      </c>
      <c r="L65">
        <f t="shared" si="2"/>
        <v>67.597765363128488</v>
      </c>
      <c r="M65">
        <f t="shared" si="3"/>
        <v>105.08474576271185</v>
      </c>
      <c r="O65" s="53">
        <f t="shared" si="4"/>
        <v>26268</v>
      </c>
      <c r="P65" s="24">
        <f t="shared" ref="P65:T65" si="13">IFERROR(IF(OR(ISNA(B65),ISNA(B61)),NA(),B65/B61-1),NA())</f>
        <v>2.8846153846153744E-2</v>
      </c>
      <c r="Q65" s="24" t="e">
        <f t="shared" si="13"/>
        <v>#N/A</v>
      </c>
      <c r="R65" s="24" t="e">
        <f t="shared" si="13"/>
        <v>#N/A</v>
      </c>
      <c r="S65" s="24">
        <f t="shared" si="13"/>
        <v>-0.11678832116788318</v>
      </c>
      <c r="T65" s="24">
        <f t="shared" si="13"/>
        <v>1.6393442622950838E-2</v>
      </c>
    </row>
    <row r="66" spans="1:20" x14ac:dyDescent="0.25">
      <c r="A66" s="53">
        <f>Data1!A25</f>
        <v>26359</v>
      </c>
      <c r="B66">
        <f>IF(ISBLANK(Data1!B25),NA(),Data1!B25)</f>
        <v>10.8</v>
      </c>
      <c r="C66" t="e">
        <f>IF(ISBLANK(Data1!E25),NA(),Data1!E25)</f>
        <v>#N/A</v>
      </c>
      <c r="D66" t="e">
        <f>IF(ISBLANK(Data1!AJ25),NA(),Data1!AJ25)</f>
        <v>#N/A</v>
      </c>
      <c r="E66">
        <f>IF(ISBLANK(Data1!BJ25),NA(),Data1!BJ25)</f>
        <v>12.1</v>
      </c>
      <c r="F66">
        <f>IF(ISBLANK(Data1!BK25),NA(),Data1!BK25)</f>
        <v>12.7</v>
      </c>
      <c r="H66" s="53">
        <f t="shared" si="0"/>
        <v>26359</v>
      </c>
      <c r="I66">
        <f t="shared" si="1"/>
        <v>100</v>
      </c>
      <c r="J66" t="e" cm="1">
        <f t="array" ref="J66">IF(ISNA(C66),NA(),C66/INDEX($C$52:$C$282,MATCH(TRUE,INDEX(NOT(ISNA($C$52:$C$282)),0),0))*100)</f>
        <v>#N/A</v>
      </c>
      <c r="K66" t="e" cm="1">
        <f t="array" ref="K66">IF(ISNA(D66),NA(),D66/INDEX($D$52:$D$282,MATCH(TRUE,INDEX(NOT(ISNA($D$52:$D$282)),0),0))*100)</f>
        <v>#N/A</v>
      </c>
      <c r="L66">
        <f t="shared" si="2"/>
        <v>67.597765363128488</v>
      </c>
      <c r="M66">
        <f t="shared" si="3"/>
        <v>107.62711864406778</v>
      </c>
      <c r="O66" s="53">
        <f t="shared" si="4"/>
        <v>26359</v>
      </c>
      <c r="P66" s="24">
        <f t="shared" ref="P66:T66" si="14">IFERROR(IF(OR(ISNA(B66),ISNA(B62)),NA(),B66/B62-1),NA())</f>
        <v>1.8867924528301883E-2</v>
      </c>
      <c r="Q66" s="24" t="e">
        <f t="shared" si="14"/>
        <v>#N/A</v>
      </c>
      <c r="R66" s="24" t="e">
        <f t="shared" si="14"/>
        <v>#N/A</v>
      </c>
      <c r="S66" s="24">
        <f t="shared" si="14"/>
        <v>-6.2015503875968991E-2</v>
      </c>
      <c r="T66" s="24">
        <f t="shared" si="14"/>
        <v>4.0983606557376984E-2</v>
      </c>
    </row>
    <row r="67" spans="1:20" x14ac:dyDescent="0.25">
      <c r="A67" s="53">
        <f>Data1!A26</f>
        <v>26451</v>
      </c>
      <c r="B67">
        <f>IF(ISBLANK(Data1!B26),NA(),Data1!B26)</f>
        <v>10.9</v>
      </c>
      <c r="C67" t="e">
        <f>IF(ISBLANK(Data1!E26),NA(),Data1!E26)</f>
        <v>#N/A</v>
      </c>
      <c r="D67" t="e">
        <f>IF(ISBLANK(Data1!AJ26),NA(),Data1!AJ26)</f>
        <v>#N/A</v>
      </c>
      <c r="E67">
        <f>IF(ISBLANK(Data1!BJ26),NA(),Data1!BJ26)</f>
        <v>11.3</v>
      </c>
      <c r="F67">
        <f>IF(ISBLANK(Data1!BK26),NA(),Data1!BK26)</f>
        <v>12.5</v>
      </c>
      <c r="H67" s="53">
        <f t="shared" si="0"/>
        <v>26451</v>
      </c>
      <c r="I67">
        <f t="shared" si="1"/>
        <v>100.92592592592592</v>
      </c>
      <c r="J67" t="e" cm="1">
        <f t="array" ref="J67">IF(ISNA(C67),NA(),C67/INDEX($C$52:$C$282,MATCH(TRUE,INDEX(NOT(ISNA($C$52:$C$282)),0),0))*100)</f>
        <v>#N/A</v>
      </c>
      <c r="K67" t="e" cm="1">
        <f t="array" ref="K67">IF(ISNA(D67),NA(),D67/INDEX($D$52:$D$282,MATCH(TRUE,INDEX(NOT(ISNA($D$52:$D$282)),0),0))*100)</f>
        <v>#N/A</v>
      </c>
      <c r="L67">
        <f t="shared" si="2"/>
        <v>63.128491620111738</v>
      </c>
      <c r="M67">
        <f t="shared" si="3"/>
        <v>105.93220338983049</v>
      </c>
      <c r="O67" s="53">
        <f t="shared" si="4"/>
        <v>26451</v>
      </c>
      <c r="P67" s="24">
        <f t="shared" ref="P67:T67" si="15">IFERROR(IF(OR(ISNA(B67),ISNA(B63)),NA(),B67/B63-1),NA())</f>
        <v>1.8691588785046731E-2</v>
      </c>
      <c r="Q67" s="24" t="e">
        <f t="shared" si="15"/>
        <v>#N/A</v>
      </c>
      <c r="R67" s="24" t="e">
        <f t="shared" si="15"/>
        <v>#N/A</v>
      </c>
      <c r="S67" s="24">
        <f t="shared" si="15"/>
        <v>-0.11023622047244086</v>
      </c>
      <c r="T67" s="24">
        <f t="shared" si="15"/>
        <v>2.4590163934426368E-2</v>
      </c>
    </row>
    <row r="68" spans="1:20" x14ac:dyDescent="0.25">
      <c r="A68" s="53">
        <f>Data1!A27</f>
        <v>26543</v>
      </c>
      <c r="B68">
        <f>IF(ISBLANK(Data1!B27),NA(),Data1!B27)</f>
        <v>11.5</v>
      </c>
      <c r="C68" t="e">
        <f>IF(ISBLANK(Data1!E27),NA(),Data1!E27)</f>
        <v>#N/A</v>
      </c>
      <c r="D68" t="e">
        <f>IF(ISBLANK(Data1!AJ27),NA(),Data1!AJ27)</f>
        <v>#N/A</v>
      </c>
      <c r="E68">
        <f>IF(ISBLANK(Data1!BJ27),NA(),Data1!BJ27)</f>
        <v>11.6</v>
      </c>
      <c r="F68">
        <f>IF(ISBLANK(Data1!BK27),NA(),Data1!BK27)</f>
        <v>12.8</v>
      </c>
      <c r="H68" s="53">
        <f t="shared" si="0"/>
        <v>26543</v>
      </c>
      <c r="I68">
        <f t="shared" si="1"/>
        <v>106.48148148148147</v>
      </c>
      <c r="J68" t="e" cm="1">
        <f t="array" ref="J68">IF(ISNA(C68),NA(),C68/INDEX($C$52:$C$282,MATCH(TRUE,INDEX(NOT(ISNA($C$52:$C$282)),0),0))*100)</f>
        <v>#N/A</v>
      </c>
      <c r="K68" t="e" cm="1">
        <f t="array" ref="K68">IF(ISNA(D68),NA(),D68/INDEX($D$52:$D$282,MATCH(TRUE,INDEX(NOT(ISNA($D$52:$D$282)),0),0))*100)</f>
        <v>#N/A</v>
      </c>
      <c r="L68">
        <f t="shared" si="2"/>
        <v>64.80446927374301</v>
      </c>
      <c r="M68">
        <f t="shared" si="3"/>
        <v>108.47457627118644</v>
      </c>
      <c r="O68" s="53">
        <f t="shared" si="4"/>
        <v>26543</v>
      </c>
      <c r="P68" s="24">
        <f t="shared" ref="P68:T68" si="16">IFERROR(IF(OR(ISNA(B68),ISNA(B64)),NA(),B68/B64-1),NA())</f>
        <v>4.5454545454545414E-2</v>
      </c>
      <c r="Q68" s="24" t="e">
        <f t="shared" si="16"/>
        <v>#N/A</v>
      </c>
      <c r="R68" s="24" t="e">
        <f t="shared" si="16"/>
        <v>#N/A</v>
      </c>
      <c r="S68" s="24">
        <f t="shared" si="16"/>
        <v>-0.10769230769230775</v>
      </c>
      <c r="T68" s="24">
        <f t="shared" si="16"/>
        <v>3.2258064516129004E-2</v>
      </c>
    </row>
    <row r="69" spans="1:20" x14ac:dyDescent="0.25">
      <c r="A69" s="53">
        <f>Data1!A28</f>
        <v>26634</v>
      </c>
      <c r="B69">
        <f>IF(ISBLANK(Data1!B28),NA(),Data1!B28)</f>
        <v>11.5</v>
      </c>
      <c r="C69" t="e">
        <f>IF(ISBLANK(Data1!E28),NA(),Data1!E28)</f>
        <v>#N/A</v>
      </c>
      <c r="D69" t="e">
        <f>IF(ISBLANK(Data1!AJ28),NA(),Data1!AJ28)</f>
        <v>#N/A</v>
      </c>
      <c r="E69">
        <f>IF(ISBLANK(Data1!BJ28),NA(),Data1!BJ28)</f>
        <v>10.9</v>
      </c>
      <c r="F69">
        <f>IF(ISBLANK(Data1!BK28),NA(),Data1!BK28)</f>
        <v>12.6</v>
      </c>
      <c r="H69" s="53">
        <f t="shared" si="0"/>
        <v>26634</v>
      </c>
      <c r="I69">
        <f t="shared" si="1"/>
        <v>106.48148148148147</v>
      </c>
      <c r="J69" t="e" cm="1">
        <f t="array" ref="J69">IF(ISNA(C69),NA(),C69/INDEX($C$52:$C$282,MATCH(TRUE,INDEX(NOT(ISNA($C$52:$C$282)),0),0))*100)</f>
        <v>#N/A</v>
      </c>
      <c r="K69" t="e" cm="1">
        <f t="array" ref="K69">IF(ISNA(D69),NA(),D69/INDEX($D$52:$D$282,MATCH(TRUE,INDEX(NOT(ISNA($D$52:$D$282)),0),0))*100)</f>
        <v>#N/A</v>
      </c>
      <c r="L69">
        <f t="shared" si="2"/>
        <v>60.89385474860336</v>
      </c>
      <c r="M69">
        <f t="shared" si="3"/>
        <v>106.77966101694913</v>
      </c>
      <c r="O69" s="53">
        <f t="shared" si="4"/>
        <v>26634</v>
      </c>
      <c r="P69" s="24">
        <f t="shared" ref="P69:T69" si="17">IFERROR(IF(OR(ISNA(B69),ISNA(B65)),NA(),B69/B65-1),NA())</f>
        <v>7.4766355140186924E-2</v>
      </c>
      <c r="Q69" s="24" t="e">
        <f t="shared" si="17"/>
        <v>#N/A</v>
      </c>
      <c r="R69" s="24" t="e">
        <f t="shared" si="17"/>
        <v>#N/A</v>
      </c>
      <c r="S69" s="24">
        <f t="shared" si="17"/>
        <v>-9.9173553719008156E-2</v>
      </c>
      <c r="T69" s="24">
        <f t="shared" si="17"/>
        <v>1.6129032258064502E-2</v>
      </c>
    </row>
    <row r="70" spans="1:20" x14ac:dyDescent="0.25">
      <c r="A70" s="53">
        <f>Data1!A29</f>
        <v>26724</v>
      </c>
      <c r="B70">
        <f>IF(ISBLANK(Data1!B29),NA(),Data1!B29)</f>
        <v>12.3</v>
      </c>
      <c r="C70" t="e">
        <f>IF(ISBLANK(Data1!E29),NA(),Data1!E29)</f>
        <v>#N/A</v>
      </c>
      <c r="D70" t="e">
        <f>IF(ISBLANK(Data1!AJ29),NA(),Data1!AJ29)</f>
        <v>#N/A</v>
      </c>
      <c r="E70">
        <f>IF(ISBLANK(Data1!BJ29),NA(),Data1!BJ29)</f>
        <v>11.7</v>
      </c>
      <c r="F70">
        <f>IF(ISBLANK(Data1!BK29),NA(),Data1!BK29)</f>
        <v>12.8</v>
      </c>
      <c r="H70" s="53">
        <f t="shared" si="0"/>
        <v>26724</v>
      </c>
      <c r="I70">
        <f t="shared" si="1"/>
        <v>113.88888888888889</v>
      </c>
      <c r="J70" t="e" cm="1">
        <f t="array" ref="J70">IF(ISNA(C70),NA(),C70/INDEX($C$52:$C$282,MATCH(TRUE,INDEX(NOT(ISNA($C$52:$C$282)),0),0))*100)</f>
        <v>#N/A</v>
      </c>
      <c r="K70" t="e" cm="1">
        <f t="array" ref="K70">IF(ISNA(D70),NA(),D70/INDEX($D$52:$D$282,MATCH(TRUE,INDEX(NOT(ISNA($D$52:$D$282)),0),0))*100)</f>
        <v>#N/A</v>
      </c>
      <c r="L70">
        <f t="shared" si="2"/>
        <v>65.363128491620117</v>
      </c>
      <c r="M70">
        <f t="shared" si="3"/>
        <v>108.47457627118644</v>
      </c>
      <c r="O70" s="53">
        <f t="shared" si="4"/>
        <v>26724</v>
      </c>
      <c r="P70" s="24">
        <f t="shared" ref="P70:T70" si="18">IFERROR(IF(OR(ISNA(B70),ISNA(B66)),NA(),B70/B66-1),NA())</f>
        <v>0.13888888888888884</v>
      </c>
      <c r="Q70" s="24" t="e">
        <f t="shared" si="18"/>
        <v>#N/A</v>
      </c>
      <c r="R70" s="24" t="e">
        <f t="shared" si="18"/>
        <v>#N/A</v>
      </c>
      <c r="S70" s="24">
        <f t="shared" si="18"/>
        <v>-3.3057851239669422E-2</v>
      </c>
      <c r="T70" s="24">
        <f t="shared" si="18"/>
        <v>7.8740157480317041E-3</v>
      </c>
    </row>
    <row r="71" spans="1:20" x14ac:dyDescent="0.25">
      <c r="A71" s="53">
        <f>Data1!A30</f>
        <v>26816</v>
      </c>
      <c r="B71">
        <f>IF(ISBLANK(Data1!B30),NA(),Data1!B30)</f>
        <v>12.8</v>
      </c>
      <c r="C71" t="e">
        <f>IF(ISBLANK(Data1!E30),NA(),Data1!E30)</f>
        <v>#N/A</v>
      </c>
      <c r="D71" t="e">
        <f>IF(ISBLANK(Data1!AJ30),NA(),Data1!AJ30)</f>
        <v>#N/A</v>
      </c>
      <c r="E71">
        <f>IF(ISBLANK(Data1!BJ30),NA(),Data1!BJ30)</f>
        <v>11.3</v>
      </c>
      <c r="F71">
        <f>IF(ISBLANK(Data1!BK30),NA(),Data1!BK30)</f>
        <v>12.8</v>
      </c>
      <c r="H71" s="53">
        <f t="shared" si="0"/>
        <v>26816</v>
      </c>
      <c r="I71">
        <f t="shared" si="1"/>
        <v>118.5185185185185</v>
      </c>
      <c r="J71" t="e" cm="1">
        <f t="array" ref="J71">IF(ISNA(C71),NA(),C71/INDEX($C$52:$C$282,MATCH(TRUE,INDEX(NOT(ISNA($C$52:$C$282)),0),0))*100)</f>
        <v>#N/A</v>
      </c>
      <c r="K71" t="e" cm="1">
        <f t="array" ref="K71">IF(ISNA(D71),NA(),D71/INDEX($D$52:$D$282,MATCH(TRUE,INDEX(NOT(ISNA($D$52:$D$282)),0),0))*100)</f>
        <v>#N/A</v>
      </c>
      <c r="L71">
        <f t="shared" si="2"/>
        <v>63.128491620111738</v>
      </c>
      <c r="M71">
        <f t="shared" si="3"/>
        <v>108.47457627118644</v>
      </c>
      <c r="O71" s="53">
        <f t="shared" si="4"/>
        <v>26816</v>
      </c>
      <c r="P71" s="24">
        <f t="shared" ref="P71:T71" si="19">IFERROR(IF(OR(ISNA(B71),ISNA(B67)),NA(),B71/B67-1),NA())</f>
        <v>0.17431192660550465</v>
      </c>
      <c r="Q71" s="24" t="e">
        <f t="shared" si="19"/>
        <v>#N/A</v>
      </c>
      <c r="R71" s="24" t="e">
        <f t="shared" si="19"/>
        <v>#N/A</v>
      </c>
      <c r="S71" s="24">
        <f t="shared" si="19"/>
        <v>0</v>
      </c>
      <c r="T71" s="24">
        <f t="shared" si="19"/>
        <v>2.4000000000000021E-2</v>
      </c>
    </row>
    <row r="72" spans="1:20" x14ac:dyDescent="0.25">
      <c r="A72" s="53">
        <f>Data1!A31</f>
        <v>26908</v>
      </c>
      <c r="B72">
        <f>IF(ISBLANK(Data1!B31),NA(),Data1!B31)</f>
        <v>13.6</v>
      </c>
      <c r="C72" t="e">
        <f>IF(ISBLANK(Data1!E31),NA(),Data1!E31)</f>
        <v>#N/A</v>
      </c>
      <c r="D72" t="e">
        <f>IF(ISBLANK(Data1!AJ31),NA(),Data1!AJ31)</f>
        <v>#N/A</v>
      </c>
      <c r="E72">
        <f>IF(ISBLANK(Data1!BJ31),NA(),Data1!BJ31)</f>
        <v>11.5</v>
      </c>
      <c r="F72">
        <f>IF(ISBLANK(Data1!BK31),NA(),Data1!BK31)</f>
        <v>13</v>
      </c>
      <c r="H72" s="53">
        <f t="shared" si="0"/>
        <v>26908</v>
      </c>
      <c r="I72">
        <f t="shared" si="1"/>
        <v>125.92592592592591</v>
      </c>
      <c r="J72" t="e" cm="1">
        <f t="array" ref="J72">IF(ISNA(C72),NA(),C72/INDEX($C$52:$C$282,MATCH(TRUE,INDEX(NOT(ISNA($C$52:$C$282)),0),0))*100)</f>
        <v>#N/A</v>
      </c>
      <c r="K72" t="e" cm="1">
        <f t="array" ref="K72">IF(ISNA(D72),NA(),D72/INDEX($D$52:$D$282,MATCH(TRUE,INDEX(NOT(ISNA($D$52:$D$282)),0),0))*100)</f>
        <v>#N/A</v>
      </c>
      <c r="L72">
        <f t="shared" si="2"/>
        <v>64.245810055865931</v>
      </c>
      <c r="M72">
        <f t="shared" si="3"/>
        <v>110.16949152542372</v>
      </c>
      <c r="O72" s="53">
        <f t="shared" si="4"/>
        <v>26908</v>
      </c>
      <c r="P72" s="24">
        <f t="shared" ref="P72:T72" si="20">IFERROR(IF(OR(ISNA(B72),ISNA(B68)),NA(),B72/B68-1),NA())</f>
        <v>0.18260869565217397</v>
      </c>
      <c r="Q72" s="24" t="e">
        <f t="shared" si="20"/>
        <v>#N/A</v>
      </c>
      <c r="R72" s="24" t="e">
        <f t="shared" si="20"/>
        <v>#N/A</v>
      </c>
      <c r="S72" s="24">
        <f t="shared" si="20"/>
        <v>-8.6206896551723755E-3</v>
      </c>
      <c r="T72" s="24">
        <f t="shared" si="20"/>
        <v>1.5625E-2</v>
      </c>
    </row>
    <row r="73" spans="1:20" x14ac:dyDescent="0.25">
      <c r="A73" s="53">
        <f>Data1!A32</f>
        <v>26999</v>
      </c>
      <c r="B73">
        <f>IF(ISBLANK(Data1!B32),NA(),Data1!B32)</f>
        <v>13.8</v>
      </c>
      <c r="C73" t="e">
        <f>IF(ISBLANK(Data1!E32),NA(),Data1!E32)</f>
        <v>#N/A</v>
      </c>
      <c r="D73" t="e">
        <f>IF(ISBLANK(Data1!AJ32),NA(),Data1!AJ32)</f>
        <v>#N/A</v>
      </c>
      <c r="E73">
        <f>IF(ISBLANK(Data1!BJ32),NA(),Data1!BJ32)</f>
        <v>11.2</v>
      </c>
      <c r="F73">
        <f>IF(ISBLANK(Data1!BK32),NA(),Data1!BK32)</f>
        <v>13.3</v>
      </c>
      <c r="H73" s="53">
        <f t="shared" si="0"/>
        <v>26999</v>
      </c>
      <c r="I73">
        <f t="shared" si="1"/>
        <v>127.77777777777777</v>
      </c>
      <c r="J73" t="e" cm="1">
        <f t="array" ref="J73">IF(ISNA(C73),NA(),C73/INDEX($C$52:$C$282,MATCH(TRUE,INDEX(NOT(ISNA($C$52:$C$282)),0),0))*100)</f>
        <v>#N/A</v>
      </c>
      <c r="K73" t="e" cm="1">
        <f t="array" ref="K73">IF(ISNA(D73),NA(),D73/INDEX($D$52:$D$282,MATCH(TRUE,INDEX(NOT(ISNA($D$52:$D$282)),0),0))*100)</f>
        <v>#N/A</v>
      </c>
      <c r="L73">
        <f t="shared" si="2"/>
        <v>62.569832402234638</v>
      </c>
      <c r="M73">
        <f t="shared" si="3"/>
        <v>112.71186440677965</v>
      </c>
      <c r="O73" s="53">
        <f t="shared" si="4"/>
        <v>26999</v>
      </c>
      <c r="P73" s="24">
        <f t="shared" ref="P73:T73" si="21">IFERROR(IF(OR(ISNA(B73),ISNA(B69)),NA(),B73/B69-1),NA())</f>
        <v>0.19999999999999996</v>
      </c>
      <c r="Q73" s="24" t="e">
        <f t="shared" si="21"/>
        <v>#N/A</v>
      </c>
      <c r="R73" s="24" t="e">
        <f t="shared" si="21"/>
        <v>#N/A</v>
      </c>
      <c r="S73" s="24">
        <f t="shared" si="21"/>
        <v>2.7522935779816349E-2</v>
      </c>
      <c r="T73" s="24">
        <f t="shared" si="21"/>
        <v>5.555555555555558E-2</v>
      </c>
    </row>
    <row r="74" spans="1:20" x14ac:dyDescent="0.25">
      <c r="A74" s="53">
        <f>Data1!A33</f>
        <v>27089</v>
      </c>
      <c r="B74">
        <f>IF(ISBLANK(Data1!B33),NA(),Data1!B33)</f>
        <v>14.5</v>
      </c>
      <c r="C74" t="e">
        <f>IF(ISBLANK(Data1!E33),NA(),Data1!E33)</f>
        <v>#N/A</v>
      </c>
      <c r="D74" t="e">
        <f>IF(ISBLANK(Data1!AJ33),NA(),Data1!AJ33)</f>
        <v>#N/A</v>
      </c>
      <c r="E74">
        <f>IF(ISBLANK(Data1!BJ33),NA(),Data1!BJ33)</f>
        <v>11.2</v>
      </c>
      <c r="F74">
        <f>IF(ISBLANK(Data1!BK33),NA(),Data1!BK33)</f>
        <v>13.7</v>
      </c>
      <c r="H74" s="53">
        <f t="shared" si="0"/>
        <v>27089</v>
      </c>
      <c r="I74">
        <f t="shared" si="1"/>
        <v>134.25925925925927</v>
      </c>
      <c r="J74" t="e" cm="1">
        <f t="array" ref="J74">IF(ISNA(C74),NA(),C74/INDEX($C$52:$C$282,MATCH(TRUE,INDEX(NOT(ISNA($C$52:$C$282)),0),0))*100)</f>
        <v>#N/A</v>
      </c>
      <c r="K74" t="e" cm="1">
        <f t="array" ref="K74">IF(ISNA(D74),NA(),D74/INDEX($D$52:$D$282,MATCH(TRUE,INDEX(NOT(ISNA($D$52:$D$282)),0),0))*100)</f>
        <v>#N/A</v>
      </c>
      <c r="L74">
        <f t="shared" si="2"/>
        <v>62.569832402234638</v>
      </c>
      <c r="M74">
        <f t="shared" si="3"/>
        <v>116.10169491525421</v>
      </c>
      <c r="O74" s="53">
        <f t="shared" si="4"/>
        <v>27089</v>
      </c>
      <c r="P74" s="24">
        <f t="shared" ref="P74:T74" si="22">IFERROR(IF(OR(ISNA(B74),ISNA(B70)),NA(),B74/B70-1),NA())</f>
        <v>0.17886178861788604</v>
      </c>
      <c r="Q74" s="24" t="e">
        <f t="shared" si="22"/>
        <v>#N/A</v>
      </c>
      <c r="R74" s="24" t="e">
        <f t="shared" si="22"/>
        <v>#N/A</v>
      </c>
      <c r="S74" s="24">
        <f t="shared" si="22"/>
        <v>-4.2735042735042694E-2</v>
      </c>
      <c r="T74" s="24">
        <f t="shared" si="22"/>
        <v>7.0312499999999778E-2</v>
      </c>
    </row>
    <row r="75" spans="1:20" x14ac:dyDescent="0.25">
      <c r="A75" s="53">
        <f>Data1!A34</f>
        <v>27181</v>
      </c>
      <c r="B75">
        <f>IF(ISBLANK(Data1!B34),NA(),Data1!B34)</f>
        <v>15</v>
      </c>
      <c r="C75" t="e">
        <f>IF(ISBLANK(Data1!E34),NA(),Data1!E34)</f>
        <v>#N/A</v>
      </c>
      <c r="D75" t="e">
        <f>IF(ISBLANK(Data1!AJ34),NA(),Data1!AJ34)</f>
        <v>#N/A</v>
      </c>
      <c r="E75">
        <f>IF(ISBLANK(Data1!BJ34),NA(),Data1!BJ34)</f>
        <v>11.5</v>
      </c>
      <c r="F75">
        <f>IF(ISBLANK(Data1!BK34),NA(),Data1!BK34)</f>
        <v>14</v>
      </c>
      <c r="H75" s="53">
        <f t="shared" si="0"/>
        <v>27181</v>
      </c>
      <c r="I75">
        <f t="shared" si="1"/>
        <v>138.88888888888889</v>
      </c>
      <c r="J75" t="e" cm="1">
        <f t="array" ref="J75">IF(ISNA(C75),NA(),C75/INDEX($C$52:$C$282,MATCH(TRUE,INDEX(NOT(ISNA($C$52:$C$282)),0),0))*100)</f>
        <v>#N/A</v>
      </c>
      <c r="K75" t="e" cm="1">
        <f t="array" ref="K75">IF(ISNA(D75),NA(),D75/INDEX($D$52:$D$282,MATCH(TRUE,INDEX(NOT(ISNA($D$52:$D$282)),0),0))*100)</f>
        <v>#N/A</v>
      </c>
      <c r="L75">
        <f t="shared" si="2"/>
        <v>64.245810055865931</v>
      </c>
      <c r="M75">
        <f t="shared" si="3"/>
        <v>118.64406779661016</v>
      </c>
      <c r="O75" s="53">
        <f t="shared" si="4"/>
        <v>27181</v>
      </c>
      <c r="P75" s="24">
        <f t="shared" ref="P75:T75" si="23">IFERROR(IF(OR(ISNA(B75),ISNA(B71)),NA(),B75/B71-1),NA())</f>
        <v>0.171875</v>
      </c>
      <c r="Q75" s="24" t="e">
        <f t="shared" si="23"/>
        <v>#N/A</v>
      </c>
      <c r="R75" s="24" t="e">
        <f t="shared" si="23"/>
        <v>#N/A</v>
      </c>
      <c r="S75" s="24">
        <f t="shared" si="23"/>
        <v>1.7699115044247815E-2</v>
      </c>
      <c r="T75" s="24">
        <f t="shared" si="23"/>
        <v>9.375E-2</v>
      </c>
    </row>
    <row r="76" spans="1:20" x14ac:dyDescent="0.25">
      <c r="A76" s="53">
        <f>Data1!A35</f>
        <v>27273</v>
      </c>
      <c r="B76">
        <f>IF(ISBLANK(Data1!B35),NA(),Data1!B35)</f>
        <v>15.3</v>
      </c>
      <c r="C76" t="e">
        <f>IF(ISBLANK(Data1!E35),NA(),Data1!E35)</f>
        <v>#N/A</v>
      </c>
      <c r="D76" t="e">
        <f>IF(ISBLANK(Data1!AJ35),NA(),Data1!AJ35)</f>
        <v>#N/A</v>
      </c>
      <c r="E76">
        <f>IF(ISBLANK(Data1!BJ35),NA(),Data1!BJ35)</f>
        <v>12.7</v>
      </c>
      <c r="F76">
        <f>IF(ISBLANK(Data1!BK35),NA(),Data1!BK35)</f>
        <v>14.3</v>
      </c>
      <c r="H76" s="53">
        <f t="shared" si="0"/>
        <v>27273</v>
      </c>
      <c r="I76">
        <f t="shared" si="1"/>
        <v>141.66666666666669</v>
      </c>
      <c r="J76" t="e" cm="1">
        <f t="array" ref="J76">IF(ISNA(C76),NA(),C76/INDEX($C$52:$C$282,MATCH(TRUE,INDEX(NOT(ISNA($C$52:$C$282)),0),0))*100)</f>
        <v>#N/A</v>
      </c>
      <c r="K76" t="e" cm="1">
        <f t="array" ref="K76">IF(ISNA(D76),NA(),D76/INDEX($D$52:$D$282,MATCH(TRUE,INDEX(NOT(ISNA($D$52:$D$282)),0),0))*100)</f>
        <v>#N/A</v>
      </c>
      <c r="L76">
        <f t="shared" si="2"/>
        <v>70.949720670391059</v>
      </c>
      <c r="M76">
        <f t="shared" si="3"/>
        <v>121.18644067796609</v>
      </c>
      <c r="O76" s="53">
        <f t="shared" si="4"/>
        <v>27273</v>
      </c>
      <c r="P76" s="24">
        <f t="shared" ref="P76:T76" si="24">IFERROR(IF(OR(ISNA(B76),ISNA(B72)),NA(),B76/B72-1),NA())</f>
        <v>0.125</v>
      </c>
      <c r="Q76" s="24" t="e">
        <f t="shared" si="24"/>
        <v>#N/A</v>
      </c>
      <c r="R76" s="24" t="e">
        <f t="shared" si="24"/>
        <v>#N/A</v>
      </c>
      <c r="S76" s="24">
        <f t="shared" si="24"/>
        <v>0.10434782608695636</v>
      </c>
      <c r="T76" s="24">
        <f t="shared" si="24"/>
        <v>0.10000000000000009</v>
      </c>
    </row>
    <row r="77" spans="1:20" x14ac:dyDescent="0.25">
      <c r="A77" s="53">
        <f>Data1!A36</f>
        <v>27364</v>
      </c>
      <c r="B77">
        <f>IF(ISBLANK(Data1!B36),NA(),Data1!B36)</f>
        <v>15.1</v>
      </c>
      <c r="C77" t="e">
        <f>IF(ISBLANK(Data1!E36),NA(),Data1!E36)</f>
        <v>#N/A</v>
      </c>
      <c r="D77" t="e">
        <f>IF(ISBLANK(Data1!AJ36),NA(),Data1!AJ36)</f>
        <v>#N/A</v>
      </c>
      <c r="E77">
        <f>IF(ISBLANK(Data1!BJ36),NA(),Data1!BJ36)</f>
        <v>12.7</v>
      </c>
      <c r="F77">
        <f>IF(ISBLANK(Data1!BK36),NA(),Data1!BK36)</f>
        <v>14.6</v>
      </c>
      <c r="H77" s="53">
        <f t="shared" si="0"/>
        <v>27364</v>
      </c>
      <c r="I77">
        <f t="shared" si="1"/>
        <v>139.81481481481478</v>
      </c>
      <c r="J77" t="e" cm="1">
        <f t="array" ref="J77">IF(ISNA(C77),NA(),C77/INDEX($C$52:$C$282,MATCH(TRUE,INDEX(NOT(ISNA($C$52:$C$282)),0),0))*100)</f>
        <v>#N/A</v>
      </c>
      <c r="K77" t="e" cm="1">
        <f t="array" ref="K77">IF(ISNA(D77),NA(),D77/INDEX($D$52:$D$282,MATCH(TRUE,INDEX(NOT(ISNA($D$52:$D$282)),0),0))*100)</f>
        <v>#N/A</v>
      </c>
      <c r="L77">
        <f t="shared" si="2"/>
        <v>70.949720670391059</v>
      </c>
      <c r="M77">
        <f t="shared" si="3"/>
        <v>123.72881355932202</v>
      </c>
      <c r="O77" s="53">
        <f t="shared" si="4"/>
        <v>27364</v>
      </c>
      <c r="P77" s="24">
        <f t="shared" ref="P77:T77" si="25">IFERROR(IF(OR(ISNA(B77),ISNA(B73)),NA(),B77/B73-1),NA())</f>
        <v>9.4202898550724612E-2</v>
      </c>
      <c r="Q77" s="24" t="e">
        <f t="shared" si="25"/>
        <v>#N/A</v>
      </c>
      <c r="R77" s="24" t="e">
        <f t="shared" si="25"/>
        <v>#N/A</v>
      </c>
      <c r="S77" s="24">
        <f t="shared" si="25"/>
        <v>0.1339285714285714</v>
      </c>
      <c r="T77" s="24">
        <f t="shared" si="25"/>
        <v>9.7744360902255467E-2</v>
      </c>
    </row>
    <row r="78" spans="1:20" x14ac:dyDescent="0.25">
      <c r="A78" s="53">
        <f>Data1!A37</f>
        <v>27454</v>
      </c>
      <c r="B78">
        <f>IF(ISBLANK(Data1!B37),NA(),Data1!B37)</f>
        <v>15.3</v>
      </c>
      <c r="C78" t="e">
        <f>IF(ISBLANK(Data1!E37),NA(),Data1!E37)</f>
        <v>#N/A</v>
      </c>
      <c r="D78" t="e">
        <f>IF(ISBLANK(Data1!AJ37),NA(),Data1!AJ37)</f>
        <v>#N/A</v>
      </c>
      <c r="E78">
        <f>IF(ISBLANK(Data1!BJ37),NA(),Data1!BJ37)</f>
        <v>14.6</v>
      </c>
      <c r="F78">
        <f>IF(ISBLANK(Data1!BK37),NA(),Data1!BK37)</f>
        <v>16.2</v>
      </c>
      <c r="H78" s="53">
        <f t="shared" si="0"/>
        <v>27454</v>
      </c>
      <c r="I78">
        <f t="shared" si="1"/>
        <v>141.66666666666669</v>
      </c>
      <c r="J78" t="e" cm="1">
        <f t="array" ref="J78">IF(ISNA(C78),NA(),C78/INDEX($C$52:$C$282,MATCH(TRUE,INDEX(NOT(ISNA($C$52:$C$282)),0),0))*100)</f>
        <v>#N/A</v>
      </c>
      <c r="K78" t="e" cm="1">
        <f t="array" ref="K78">IF(ISNA(D78),NA(),D78/INDEX($D$52:$D$282,MATCH(TRUE,INDEX(NOT(ISNA($D$52:$D$282)),0),0))*100)</f>
        <v>#N/A</v>
      </c>
      <c r="L78">
        <f t="shared" si="2"/>
        <v>81.564245810055866</v>
      </c>
      <c r="M78">
        <f t="shared" si="3"/>
        <v>137.28813559322032</v>
      </c>
      <c r="O78" s="53">
        <f t="shared" si="4"/>
        <v>27454</v>
      </c>
      <c r="P78" s="24">
        <f t="shared" ref="P78:T78" si="26">IFERROR(IF(OR(ISNA(B78),ISNA(B74)),NA(),B78/B74-1),NA())</f>
        <v>5.5172413793103559E-2</v>
      </c>
      <c r="Q78" s="24" t="e">
        <f t="shared" si="26"/>
        <v>#N/A</v>
      </c>
      <c r="R78" s="24" t="e">
        <f t="shared" si="26"/>
        <v>#N/A</v>
      </c>
      <c r="S78" s="24">
        <f t="shared" si="26"/>
        <v>0.3035714285714286</v>
      </c>
      <c r="T78" s="24">
        <f t="shared" si="26"/>
        <v>0.18248175182481763</v>
      </c>
    </row>
    <row r="79" spans="1:20" x14ac:dyDescent="0.25">
      <c r="A79" s="53">
        <f>Data1!A38</f>
        <v>27546</v>
      </c>
      <c r="B79">
        <f>IF(ISBLANK(Data1!B38),NA(),Data1!B38)</f>
        <v>15.6</v>
      </c>
      <c r="C79" t="e">
        <f>IF(ISBLANK(Data1!E38),NA(),Data1!E38)</f>
        <v>#N/A</v>
      </c>
      <c r="D79" t="e">
        <f>IF(ISBLANK(Data1!AJ38),NA(),Data1!AJ38)</f>
        <v>#N/A</v>
      </c>
      <c r="E79">
        <f>IF(ISBLANK(Data1!BJ38),NA(),Data1!BJ38)</f>
        <v>16.399999999999999</v>
      </c>
      <c r="F79">
        <f>IF(ISBLANK(Data1!BK38),NA(),Data1!BK38)</f>
        <v>16.3</v>
      </c>
      <c r="H79" s="53">
        <f t="shared" si="0"/>
        <v>27546</v>
      </c>
      <c r="I79">
        <f t="shared" si="1"/>
        <v>144.44444444444443</v>
      </c>
      <c r="J79" t="e" cm="1">
        <f t="array" ref="J79">IF(ISNA(C79),NA(),C79/INDEX($C$52:$C$282,MATCH(TRUE,INDEX(NOT(ISNA($C$52:$C$282)),0),0))*100)</f>
        <v>#N/A</v>
      </c>
      <c r="K79" t="e" cm="1">
        <f t="array" ref="K79">IF(ISNA(D79),NA(),D79/INDEX($D$52:$D$282,MATCH(TRUE,INDEX(NOT(ISNA($D$52:$D$282)),0),0))*100)</f>
        <v>#N/A</v>
      </c>
      <c r="L79">
        <f t="shared" si="2"/>
        <v>91.620111731843579</v>
      </c>
      <c r="M79">
        <f t="shared" si="3"/>
        <v>138.13559322033896</v>
      </c>
      <c r="O79" s="53">
        <f t="shared" si="4"/>
        <v>27546</v>
      </c>
      <c r="P79" s="24">
        <f t="shared" ref="P79:T79" si="27">IFERROR(IF(OR(ISNA(B79),ISNA(B75)),NA(),B79/B75-1),NA())</f>
        <v>4.0000000000000036E-2</v>
      </c>
      <c r="Q79" s="24" t="e">
        <f t="shared" si="27"/>
        <v>#N/A</v>
      </c>
      <c r="R79" s="24" t="e">
        <f t="shared" si="27"/>
        <v>#N/A</v>
      </c>
      <c r="S79" s="24">
        <f t="shared" si="27"/>
        <v>0.42608695652173911</v>
      </c>
      <c r="T79" s="24">
        <f t="shared" si="27"/>
        <v>0.16428571428571437</v>
      </c>
    </row>
    <row r="80" spans="1:20" x14ac:dyDescent="0.25">
      <c r="A80" s="53">
        <f>Data1!A39</f>
        <v>27638</v>
      </c>
      <c r="B80">
        <f>IF(ISBLANK(Data1!B39),NA(),Data1!B39)</f>
        <v>16</v>
      </c>
      <c r="C80" t="e">
        <f>IF(ISBLANK(Data1!E39),NA(),Data1!E39)</f>
        <v>#N/A</v>
      </c>
      <c r="D80" t="e">
        <f>IF(ISBLANK(Data1!AJ39),NA(),Data1!AJ39)</f>
        <v>#N/A</v>
      </c>
      <c r="E80">
        <f>IF(ISBLANK(Data1!BJ39),NA(),Data1!BJ39)</f>
        <v>16.5</v>
      </c>
      <c r="F80">
        <f>IF(ISBLANK(Data1!BK39),NA(),Data1!BK39)</f>
        <v>16.5</v>
      </c>
      <c r="H80" s="53">
        <f t="shared" si="0"/>
        <v>27638</v>
      </c>
      <c r="I80">
        <f t="shared" si="1"/>
        <v>148.14814814814815</v>
      </c>
      <c r="J80" t="e" cm="1">
        <f t="array" ref="J80">IF(ISNA(C80),NA(),C80/INDEX($C$52:$C$282,MATCH(TRUE,INDEX(NOT(ISNA($C$52:$C$282)),0),0))*100)</f>
        <v>#N/A</v>
      </c>
      <c r="K80" t="e" cm="1">
        <f t="array" ref="K80">IF(ISNA(D80),NA(),D80/INDEX($D$52:$D$282,MATCH(TRUE,INDEX(NOT(ISNA($D$52:$D$282)),0),0))*100)</f>
        <v>#N/A</v>
      </c>
      <c r="L80">
        <f t="shared" si="2"/>
        <v>92.178770949720672</v>
      </c>
      <c r="M80">
        <f t="shared" si="3"/>
        <v>139.83050847457625</v>
      </c>
      <c r="O80" s="53">
        <f t="shared" si="4"/>
        <v>27638</v>
      </c>
      <c r="P80" s="24">
        <f t="shared" ref="P80:T80" si="28">IFERROR(IF(OR(ISNA(B80),ISNA(B76)),NA(),B80/B76-1),NA())</f>
        <v>4.5751633986928164E-2</v>
      </c>
      <c r="Q80" s="24" t="e">
        <f t="shared" si="28"/>
        <v>#N/A</v>
      </c>
      <c r="R80" s="24" t="e">
        <f t="shared" si="28"/>
        <v>#N/A</v>
      </c>
      <c r="S80" s="24">
        <f t="shared" si="28"/>
        <v>0.29921259842519699</v>
      </c>
      <c r="T80" s="24">
        <f t="shared" si="28"/>
        <v>0.15384615384615374</v>
      </c>
    </row>
    <row r="81" spans="1:20" x14ac:dyDescent="0.25">
      <c r="A81" s="53">
        <f>Data1!A40</f>
        <v>27729</v>
      </c>
      <c r="B81">
        <f>IF(ISBLANK(Data1!B40),NA(),Data1!B40)</f>
        <v>16.600000000000001</v>
      </c>
      <c r="C81" t="e">
        <f>IF(ISBLANK(Data1!E40),NA(),Data1!E40)</f>
        <v>#N/A</v>
      </c>
      <c r="D81" t="e">
        <f>IF(ISBLANK(Data1!AJ40),NA(),Data1!AJ40)</f>
        <v>#N/A</v>
      </c>
      <c r="E81">
        <f>IF(ISBLANK(Data1!BJ40),NA(),Data1!BJ40)</f>
        <v>16.5</v>
      </c>
      <c r="F81">
        <f>IF(ISBLANK(Data1!BK40),NA(),Data1!BK40)</f>
        <v>16.399999999999999</v>
      </c>
      <c r="H81" s="53">
        <f t="shared" si="0"/>
        <v>27729</v>
      </c>
      <c r="I81">
        <f t="shared" si="1"/>
        <v>153.7037037037037</v>
      </c>
      <c r="J81" t="e" cm="1">
        <f t="array" ref="J81">IF(ISNA(C81),NA(),C81/INDEX($C$52:$C$282,MATCH(TRUE,INDEX(NOT(ISNA($C$52:$C$282)),0),0))*100)</f>
        <v>#N/A</v>
      </c>
      <c r="K81" t="e" cm="1">
        <f t="array" ref="K81">IF(ISNA(D81),NA(),D81/INDEX($D$52:$D$282,MATCH(TRUE,INDEX(NOT(ISNA($D$52:$D$282)),0),0))*100)</f>
        <v>#N/A</v>
      </c>
      <c r="L81">
        <f t="shared" si="2"/>
        <v>92.178770949720672</v>
      </c>
      <c r="M81">
        <f t="shared" si="3"/>
        <v>138.9830508474576</v>
      </c>
      <c r="O81" s="53">
        <f t="shared" si="4"/>
        <v>27729</v>
      </c>
      <c r="P81" s="24">
        <f t="shared" ref="P81:T81" si="29">IFERROR(IF(OR(ISNA(B81),ISNA(B77)),NA(),B81/B77-1),NA())</f>
        <v>9.9337748344370924E-2</v>
      </c>
      <c r="Q81" s="24" t="e">
        <f t="shared" si="29"/>
        <v>#N/A</v>
      </c>
      <c r="R81" s="24" t="e">
        <f t="shared" si="29"/>
        <v>#N/A</v>
      </c>
      <c r="S81" s="24">
        <f t="shared" si="29"/>
        <v>0.29921259842519699</v>
      </c>
      <c r="T81" s="24">
        <f t="shared" si="29"/>
        <v>0.12328767123287654</v>
      </c>
    </row>
    <row r="82" spans="1:20" x14ac:dyDescent="0.25">
      <c r="A82" s="53">
        <f>Data1!A41</f>
        <v>27820</v>
      </c>
      <c r="B82">
        <f>IF(ISBLANK(Data1!B41),NA(),Data1!B41)</f>
        <v>17</v>
      </c>
      <c r="C82" t="e">
        <f>IF(ISBLANK(Data1!E41),NA(),Data1!E41)</f>
        <v>#N/A</v>
      </c>
      <c r="D82" t="e">
        <f>IF(ISBLANK(Data1!AJ41),NA(),Data1!AJ41)</f>
        <v>#N/A</v>
      </c>
      <c r="E82">
        <f>IF(ISBLANK(Data1!BJ41),NA(),Data1!BJ41)</f>
        <v>17.3</v>
      </c>
      <c r="F82">
        <f>IF(ISBLANK(Data1!BK41),NA(),Data1!BK41)</f>
        <v>17.5</v>
      </c>
      <c r="H82" s="53">
        <f t="shared" si="0"/>
        <v>27820</v>
      </c>
      <c r="I82">
        <f t="shared" si="1"/>
        <v>157.40740740740739</v>
      </c>
      <c r="J82" t="e" cm="1">
        <f t="array" ref="J82">IF(ISNA(C82),NA(),C82/INDEX($C$52:$C$282,MATCH(TRUE,INDEX(NOT(ISNA($C$52:$C$282)),0),0))*100)</f>
        <v>#N/A</v>
      </c>
      <c r="K82" t="e" cm="1">
        <f t="array" ref="K82">IF(ISNA(D82),NA(),D82/INDEX($D$52:$D$282,MATCH(TRUE,INDEX(NOT(ISNA($D$52:$D$282)),0),0))*100)</f>
        <v>#N/A</v>
      </c>
      <c r="L82">
        <f t="shared" si="2"/>
        <v>96.648044692737443</v>
      </c>
      <c r="M82">
        <f t="shared" si="3"/>
        <v>148.30508474576268</v>
      </c>
      <c r="O82" s="53">
        <f t="shared" si="4"/>
        <v>27820</v>
      </c>
      <c r="P82" s="24">
        <f t="shared" ref="P82:T82" si="30">IFERROR(IF(OR(ISNA(B82),ISNA(B78)),NA(),B82/B78-1),NA())</f>
        <v>0.11111111111111116</v>
      </c>
      <c r="Q82" s="24" t="e">
        <f t="shared" si="30"/>
        <v>#N/A</v>
      </c>
      <c r="R82" s="24" t="e">
        <f t="shared" si="30"/>
        <v>#N/A</v>
      </c>
      <c r="S82" s="24">
        <f t="shared" si="30"/>
        <v>0.18493150684931514</v>
      </c>
      <c r="T82" s="24">
        <f t="shared" si="30"/>
        <v>8.0246913580247048E-2</v>
      </c>
    </row>
    <row r="83" spans="1:20" x14ac:dyDescent="0.25">
      <c r="A83" s="53">
        <f>Data1!A42</f>
        <v>27912</v>
      </c>
      <c r="B83">
        <f>IF(ISBLANK(Data1!B42),NA(),Data1!B42)</f>
        <v>17.3</v>
      </c>
      <c r="C83" t="e">
        <f>IF(ISBLANK(Data1!E42),NA(),Data1!E42)</f>
        <v>#N/A</v>
      </c>
      <c r="D83" t="e">
        <f>IF(ISBLANK(Data1!AJ42),NA(),Data1!AJ42)</f>
        <v>#N/A</v>
      </c>
      <c r="E83">
        <f>IF(ISBLANK(Data1!BJ42),NA(),Data1!BJ42)</f>
        <v>16.899999999999999</v>
      </c>
      <c r="F83">
        <f>IF(ISBLANK(Data1!BK42),NA(),Data1!BK42)</f>
        <v>17.600000000000001</v>
      </c>
      <c r="H83" s="53">
        <f t="shared" si="0"/>
        <v>27912</v>
      </c>
      <c r="I83">
        <f t="shared" si="1"/>
        <v>160.18518518518519</v>
      </c>
      <c r="J83" t="e" cm="1">
        <f t="array" ref="J83">IF(ISNA(C83),NA(),C83/INDEX($C$52:$C$282,MATCH(TRUE,INDEX(NOT(ISNA($C$52:$C$282)),0),0))*100)</f>
        <v>#N/A</v>
      </c>
      <c r="K83" t="e" cm="1">
        <f t="array" ref="K83">IF(ISNA(D83),NA(),D83/INDEX($D$52:$D$282,MATCH(TRUE,INDEX(NOT(ISNA($D$52:$D$282)),0),0))*100)</f>
        <v>#N/A</v>
      </c>
      <c r="L83">
        <f t="shared" si="2"/>
        <v>94.413407821229043</v>
      </c>
      <c r="M83">
        <f t="shared" si="3"/>
        <v>149.15254237288136</v>
      </c>
      <c r="O83" s="53">
        <f t="shared" si="4"/>
        <v>27912</v>
      </c>
      <c r="P83" s="24">
        <f t="shared" ref="P83:T83" si="31">IFERROR(IF(OR(ISNA(B83),ISNA(B79)),NA(),B83/B79-1),NA())</f>
        <v>0.10897435897435903</v>
      </c>
      <c r="Q83" s="24" t="e">
        <f t="shared" si="31"/>
        <v>#N/A</v>
      </c>
      <c r="R83" s="24" t="e">
        <f t="shared" si="31"/>
        <v>#N/A</v>
      </c>
      <c r="S83" s="24">
        <f t="shared" si="31"/>
        <v>3.0487804878048808E-2</v>
      </c>
      <c r="T83" s="24">
        <f t="shared" si="31"/>
        <v>7.9754601226993849E-2</v>
      </c>
    </row>
    <row r="84" spans="1:20" x14ac:dyDescent="0.25">
      <c r="A84" s="53">
        <f>Data1!A43</f>
        <v>28004</v>
      </c>
      <c r="B84">
        <f>IF(ISBLANK(Data1!B43),NA(),Data1!B43)</f>
        <v>18.3</v>
      </c>
      <c r="C84" t="e">
        <f>IF(ISBLANK(Data1!E43),NA(),Data1!E43)</f>
        <v>#N/A</v>
      </c>
      <c r="D84" t="e">
        <f>IF(ISBLANK(Data1!AJ43),NA(),Data1!AJ43)</f>
        <v>#N/A</v>
      </c>
      <c r="E84">
        <f>IF(ISBLANK(Data1!BJ43),NA(),Data1!BJ43)</f>
        <v>17.600000000000001</v>
      </c>
      <c r="F84">
        <f>IF(ISBLANK(Data1!BK43),NA(),Data1!BK43)</f>
        <v>17.5</v>
      </c>
      <c r="H84" s="53">
        <f t="shared" si="0"/>
        <v>28004</v>
      </c>
      <c r="I84">
        <f t="shared" si="1"/>
        <v>169.44444444444443</v>
      </c>
      <c r="J84" t="e" cm="1">
        <f t="array" ref="J84">IF(ISNA(C84),NA(),C84/INDEX($C$52:$C$282,MATCH(TRUE,INDEX(NOT(ISNA($C$52:$C$282)),0),0))*100)</f>
        <v>#N/A</v>
      </c>
      <c r="K84" t="e" cm="1">
        <f t="array" ref="K84">IF(ISNA(D84),NA(),D84/INDEX($D$52:$D$282,MATCH(TRUE,INDEX(NOT(ISNA($D$52:$D$282)),0),0))*100)</f>
        <v>#N/A</v>
      </c>
      <c r="L84">
        <f t="shared" si="2"/>
        <v>98.324022346368736</v>
      </c>
      <c r="M84">
        <f t="shared" si="3"/>
        <v>148.30508474576268</v>
      </c>
      <c r="O84" s="53">
        <f t="shared" si="4"/>
        <v>28004</v>
      </c>
      <c r="P84" s="24">
        <f t="shared" ref="P84:T84" si="32">IFERROR(IF(OR(ISNA(B84),ISNA(B80)),NA(),B84/B80-1),NA())</f>
        <v>0.14375000000000004</v>
      </c>
      <c r="Q84" s="24" t="e">
        <f t="shared" si="32"/>
        <v>#N/A</v>
      </c>
      <c r="R84" s="24" t="e">
        <f t="shared" si="32"/>
        <v>#N/A</v>
      </c>
      <c r="S84" s="24">
        <f t="shared" si="32"/>
        <v>6.6666666666666652E-2</v>
      </c>
      <c r="T84" s="24">
        <f t="shared" si="32"/>
        <v>6.0606060606060552E-2</v>
      </c>
    </row>
    <row r="85" spans="1:20" x14ac:dyDescent="0.25">
      <c r="A85" s="53">
        <f>Data1!A44</f>
        <v>28095</v>
      </c>
      <c r="B85">
        <f>IF(ISBLANK(Data1!B44),NA(),Data1!B44)</f>
        <v>18.5</v>
      </c>
      <c r="C85" t="e">
        <f>IF(ISBLANK(Data1!E44),NA(),Data1!E44)</f>
        <v>#N/A</v>
      </c>
      <c r="D85" t="e">
        <f>IF(ISBLANK(Data1!AJ44),NA(),Data1!AJ44)</f>
        <v>#N/A</v>
      </c>
      <c r="E85">
        <f>IF(ISBLANK(Data1!BJ44),NA(),Data1!BJ44)</f>
        <v>17.8</v>
      </c>
      <c r="F85">
        <f>IF(ISBLANK(Data1!BK44),NA(),Data1!BK44)</f>
        <v>17.600000000000001</v>
      </c>
      <c r="H85" s="53">
        <f t="shared" si="0"/>
        <v>28095</v>
      </c>
      <c r="I85">
        <f t="shared" si="1"/>
        <v>171.29629629629628</v>
      </c>
      <c r="J85" t="e" cm="1">
        <f t="array" ref="J85">IF(ISNA(C85),NA(),C85/INDEX($C$52:$C$282,MATCH(TRUE,INDEX(NOT(ISNA($C$52:$C$282)),0),0))*100)</f>
        <v>#N/A</v>
      </c>
      <c r="K85" t="e" cm="1">
        <f t="array" ref="K85">IF(ISNA(D85),NA(),D85/INDEX($D$52:$D$282,MATCH(TRUE,INDEX(NOT(ISNA($D$52:$D$282)),0),0))*100)</f>
        <v>#N/A</v>
      </c>
      <c r="L85">
        <f t="shared" si="2"/>
        <v>99.441340782122921</v>
      </c>
      <c r="M85">
        <f t="shared" si="3"/>
        <v>149.15254237288136</v>
      </c>
      <c r="O85" s="53">
        <f t="shared" si="4"/>
        <v>28095</v>
      </c>
      <c r="P85" s="24">
        <f t="shared" ref="P85:T85" si="33">IFERROR(IF(OR(ISNA(B85),ISNA(B81)),NA(),B85/B81-1),NA())</f>
        <v>0.11445783132530107</v>
      </c>
      <c r="Q85" s="24" t="e">
        <f t="shared" si="33"/>
        <v>#N/A</v>
      </c>
      <c r="R85" s="24" t="e">
        <f t="shared" si="33"/>
        <v>#N/A</v>
      </c>
      <c r="S85" s="24">
        <f t="shared" si="33"/>
        <v>7.8787878787878851E-2</v>
      </c>
      <c r="T85" s="24">
        <f t="shared" si="33"/>
        <v>7.317073170731736E-2</v>
      </c>
    </row>
    <row r="86" spans="1:20" x14ac:dyDescent="0.25">
      <c r="A86" s="53">
        <f>Data1!A45</f>
        <v>28185</v>
      </c>
      <c r="B86">
        <f>IF(ISBLANK(Data1!B45),NA(),Data1!B45)</f>
        <v>19.8</v>
      </c>
      <c r="C86" t="e">
        <f>IF(ISBLANK(Data1!E45),NA(),Data1!E45)</f>
        <v>#N/A</v>
      </c>
      <c r="D86" t="e">
        <f>IF(ISBLANK(Data1!AJ45),NA(),Data1!AJ45)</f>
        <v>#N/A</v>
      </c>
      <c r="E86">
        <f>IF(ISBLANK(Data1!BJ45),NA(),Data1!BJ45)</f>
        <v>15.8</v>
      </c>
      <c r="F86">
        <f>IF(ISBLANK(Data1!BK45),NA(),Data1!BK45)</f>
        <v>19.2</v>
      </c>
      <c r="H86" s="53">
        <f t="shared" si="0"/>
        <v>28185</v>
      </c>
      <c r="I86">
        <f t="shared" si="1"/>
        <v>183.33333333333331</v>
      </c>
      <c r="J86" t="e" cm="1">
        <f t="array" ref="J86">IF(ISNA(C86),NA(),C86/INDEX($C$52:$C$282,MATCH(TRUE,INDEX(NOT(ISNA($C$52:$C$282)),0),0))*100)</f>
        <v>#N/A</v>
      </c>
      <c r="K86" t="e" cm="1">
        <f t="array" ref="K86">IF(ISNA(D86),NA(),D86/INDEX($D$52:$D$282,MATCH(TRUE,INDEX(NOT(ISNA($D$52:$D$282)),0),0))*100)</f>
        <v>#N/A</v>
      </c>
      <c r="L86">
        <f t="shared" si="2"/>
        <v>88.268156424581008</v>
      </c>
      <c r="M86">
        <f t="shared" si="3"/>
        <v>162.71186440677965</v>
      </c>
      <c r="O86" s="53">
        <f t="shared" si="4"/>
        <v>28185</v>
      </c>
      <c r="P86" s="24">
        <f t="shared" ref="P86:T86" si="34">IFERROR(IF(OR(ISNA(B86),ISNA(B82)),NA(),B86/B82-1),NA())</f>
        <v>0.16470588235294126</v>
      </c>
      <c r="Q86" s="24" t="e">
        <f t="shared" si="34"/>
        <v>#N/A</v>
      </c>
      <c r="R86" s="24" t="e">
        <f t="shared" si="34"/>
        <v>#N/A</v>
      </c>
      <c r="S86" s="24">
        <f t="shared" si="34"/>
        <v>-8.6705202312138741E-2</v>
      </c>
      <c r="T86" s="24">
        <f t="shared" si="34"/>
        <v>9.7142857142857197E-2</v>
      </c>
    </row>
    <row r="87" spans="1:20" x14ac:dyDescent="0.25">
      <c r="A87" s="53">
        <f>Data1!A46</f>
        <v>28277</v>
      </c>
      <c r="B87">
        <f>IF(ISBLANK(Data1!B46),NA(),Data1!B46)</f>
        <v>20.399999999999999</v>
      </c>
      <c r="C87" t="e">
        <f>IF(ISBLANK(Data1!E46),NA(),Data1!E46)</f>
        <v>#N/A</v>
      </c>
      <c r="D87" t="e">
        <f>IF(ISBLANK(Data1!AJ46),NA(),Data1!AJ46)</f>
        <v>#N/A</v>
      </c>
      <c r="E87">
        <f>IF(ISBLANK(Data1!BJ46),NA(),Data1!BJ46)</f>
        <v>13.4</v>
      </c>
      <c r="F87">
        <f>IF(ISBLANK(Data1!BK46),NA(),Data1!BK46)</f>
        <v>19</v>
      </c>
      <c r="H87" s="53">
        <f t="shared" si="0"/>
        <v>28277</v>
      </c>
      <c r="I87">
        <f t="shared" si="1"/>
        <v>188.88888888888886</v>
      </c>
      <c r="J87" t="e" cm="1">
        <f t="array" ref="J87">IF(ISNA(C87),NA(),C87/INDEX($C$52:$C$282,MATCH(TRUE,INDEX(NOT(ISNA($C$52:$C$282)),0),0))*100)</f>
        <v>#N/A</v>
      </c>
      <c r="K87" t="e" cm="1">
        <f t="array" ref="K87">IF(ISNA(D87),NA(),D87/INDEX($D$52:$D$282,MATCH(TRUE,INDEX(NOT(ISNA($D$52:$D$282)),0),0))*100)</f>
        <v>#N/A</v>
      </c>
      <c r="L87">
        <f t="shared" si="2"/>
        <v>74.860335195530737</v>
      </c>
      <c r="M87">
        <f t="shared" si="3"/>
        <v>161.01694915254237</v>
      </c>
      <c r="O87" s="53">
        <f t="shared" si="4"/>
        <v>28277</v>
      </c>
      <c r="P87" s="24">
        <f t="shared" ref="P87:T87" si="35">IFERROR(IF(OR(ISNA(B87),ISNA(B83)),NA(),B87/B83-1),NA())</f>
        <v>0.17919075144508656</v>
      </c>
      <c r="Q87" s="24" t="e">
        <f t="shared" si="35"/>
        <v>#N/A</v>
      </c>
      <c r="R87" s="24" t="e">
        <f t="shared" si="35"/>
        <v>#N/A</v>
      </c>
      <c r="S87" s="24">
        <f t="shared" si="35"/>
        <v>-0.20710059171597628</v>
      </c>
      <c r="T87" s="24">
        <f t="shared" si="35"/>
        <v>7.9545454545454364E-2</v>
      </c>
    </row>
    <row r="88" spans="1:20" x14ac:dyDescent="0.25">
      <c r="A88" s="53">
        <f>Data1!A47</f>
        <v>28369</v>
      </c>
      <c r="B88">
        <f>IF(ISBLANK(Data1!B47),NA(),Data1!B47)</f>
        <v>20.5</v>
      </c>
      <c r="C88" t="e">
        <f>IF(ISBLANK(Data1!E47),NA(),Data1!E47)</f>
        <v>#N/A</v>
      </c>
      <c r="D88" t="e">
        <f>IF(ISBLANK(Data1!AJ47),NA(),Data1!AJ47)</f>
        <v>#N/A</v>
      </c>
      <c r="E88">
        <f>IF(ISBLANK(Data1!BJ47),NA(),Data1!BJ47)</f>
        <v>13.5</v>
      </c>
      <c r="F88">
        <f>IF(ISBLANK(Data1!BK47),NA(),Data1!BK47)</f>
        <v>19</v>
      </c>
      <c r="H88" s="53">
        <f t="shared" si="0"/>
        <v>28369</v>
      </c>
      <c r="I88">
        <f t="shared" si="1"/>
        <v>189.81481481481478</v>
      </c>
      <c r="J88" t="e" cm="1">
        <f t="array" ref="J88">IF(ISNA(C88),NA(),C88/INDEX($C$52:$C$282,MATCH(TRUE,INDEX(NOT(ISNA($C$52:$C$282)),0),0))*100)</f>
        <v>#N/A</v>
      </c>
      <c r="K88" t="e" cm="1">
        <f t="array" ref="K88">IF(ISNA(D88),NA(),D88/INDEX($D$52:$D$282,MATCH(TRUE,INDEX(NOT(ISNA($D$52:$D$282)),0),0))*100)</f>
        <v>#N/A</v>
      </c>
      <c r="L88">
        <f t="shared" si="2"/>
        <v>75.41899441340783</v>
      </c>
      <c r="M88">
        <f t="shared" si="3"/>
        <v>161.01694915254237</v>
      </c>
      <c r="O88" s="53">
        <f t="shared" si="4"/>
        <v>28369</v>
      </c>
      <c r="P88" s="24">
        <f t="shared" ref="P88:T88" si="36">IFERROR(IF(OR(ISNA(B88),ISNA(B84)),NA(),B88/B84-1),NA())</f>
        <v>0.12021857923497259</v>
      </c>
      <c r="Q88" s="24" t="e">
        <f t="shared" si="36"/>
        <v>#N/A</v>
      </c>
      <c r="R88" s="24" t="e">
        <f t="shared" si="36"/>
        <v>#N/A</v>
      </c>
      <c r="S88" s="24">
        <f t="shared" si="36"/>
        <v>-0.23295454545454553</v>
      </c>
      <c r="T88" s="24">
        <f t="shared" si="36"/>
        <v>8.5714285714285632E-2</v>
      </c>
    </row>
    <row r="89" spans="1:20" x14ac:dyDescent="0.25">
      <c r="A89" s="53">
        <f>Data1!A48</f>
        <v>28460</v>
      </c>
      <c r="B89">
        <f>IF(ISBLANK(Data1!B48),NA(),Data1!B48)</f>
        <v>20.399999999999999</v>
      </c>
      <c r="C89" t="e">
        <f>IF(ISBLANK(Data1!E48),NA(),Data1!E48)</f>
        <v>#N/A</v>
      </c>
      <c r="D89" t="e">
        <f>IF(ISBLANK(Data1!AJ48),NA(),Data1!AJ48)</f>
        <v>#N/A</v>
      </c>
      <c r="E89">
        <f>IF(ISBLANK(Data1!BJ48),NA(),Data1!BJ48)</f>
        <v>13.4</v>
      </c>
      <c r="F89">
        <f>IF(ISBLANK(Data1!BK48),NA(),Data1!BK48)</f>
        <v>19.3</v>
      </c>
      <c r="H89" s="53">
        <f t="shared" si="0"/>
        <v>28460</v>
      </c>
      <c r="I89">
        <f t="shared" si="1"/>
        <v>188.88888888888886</v>
      </c>
      <c r="J89" t="e" cm="1">
        <f t="array" ref="J89">IF(ISNA(C89),NA(),C89/INDEX($C$52:$C$282,MATCH(TRUE,INDEX(NOT(ISNA($C$52:$C$282)),0),0))*100)</f>
        <v>#N/A</v>
      </c>
      <c r="K89" t="e" cm="1">
        <f t="array" ref="K89">IF(ISNA(D89),NA(),D89/INDEX($D$52:$D$282,MATCH(TRUE,INDEX(NOT(ISNA($D$52:$D$282)),0),0))*100)</f>
        <v>#N/A</v>
      </c>
      <c r="L89">
        <f t="shared" si="2"/>
        <v>74.860335195530737</v>
      </c>
      <c r="M89">
        <f t="shared" si="3"/>
        <v>163.5593220338983</v>
      </c>
      <c r="O89" s="53">
        <f t="shared" si="4"/>
        <v>28460</v>
      </c>
      <c r="P89" s="24">
        <f t="shared" ref="P89:T89" si="37">IFERROR(IF(OR(ISNA(B89),ISNA(B85)),NA(),B89/B85-1),NA())</f>
        <v>0.10270270270270254</v>
      </c>
      <c r="Q89" s="24" t="e">
        <f t="shared" si="37"/>
        <v>#N/A</v>
      </c>
      <c r="R89" s="24" t="e">
        <f t="shared" si="37"/>
        <v>#N/A</v>
      </c>
      <c r="S89" s="24">
        <f t="shared" si="37"/>
        <v>-0.2471910112359551</v>
      </c>
      <c r="T89" s="24">
        <f t="shared" si="37"/>
        <v>9.659090909090895E-2</v>
      </c>
    </row>
    <row r="90" spans="1:20" x14ac:dyDescent="0.25">
      <c r="A90" s="53">
        <f>Data1!A49</f>
        <v>28550</v>
      </c>
      <c r="B90">
        <f>IF(ISBLANK(Data1!B49),NA(),Data1!B49)</f>
        <v>21.1</v>
      </c>
      <c r="C90" t="e">
        <f>IF(ISBLANK(Data1!E49),NA(),Data1!E49)</f>
        <v>#N/A</v>
      </c>
      <c r="D90" t="e">
        <f>IF(ISBLANK(Data1!AJ49),NA(),Data1!AJ49)</f>
        <v>#N/A</v>
      </c>
      <c r="E90">
        <f>IF(ISBLANK(Data1!BJ49),NA(),Data1!BJ49)</f>
        <v>14.3</v>
      </c>
      <c r="F90">
        <f>IF(ISBLANK(Data1!BK49),NA(),Data1!BK49)</f>
        <v>20.3</v>
      </c>
      <c r="H90" s="53">
        <f t="shared" si="0"/>
        <v>28550</v>
      </c>
      <c r="I90">
        <f t="shared" si="1"/>
        <v>195.37037037037038</v>
      </c>
      <c r="J90" t="e" cm="1">
        <f t="array" ref="J90">IF(ISNA(C90),NA(),C90/INDEX($C$52:$C$282,MATCH(TRUE,INDEX(NOT(ISNA($C$52:$C$282)),0),0))*100)</f>
        <v>#N/A</v>
      </c>
      <c r="K90" t="e" cm="1">
        <f t="array" ref="K90">IF(ISNA(D90),NA(),D90/INDEX($D$52:$D$282,MATCH(TRUE,INDEX(NOT(ISNA($D$52:$D$282)),0),0))*100)</f>
        <v>#N/A</v>
      </c>
      <c r="L90">
        <f t="shared" si="2"/>
        <v>79.888268156424587</v>
      </c>
      <c r="M90">
        <f t="shared" si="3"/>
        <v>172.03389830508473</v>
      </c>
      <c r="O90" s="53">
        <f t="shared" si="4"/>
        <v>28550</v>
      </c>
      <c r="P90" s="24">
        <f t="shared" ref="P90:T90" si="38">IFERROR(IF(OR(ISNA(B90),ISNA(B86)),NA(),B90/B86-1),NA())</f>
        <v>6.5656565656565746E-2</v>
      </c>
      <c r="Q90" s="24" t="e">
        <f t="shared" si="38"/>
        <v>#N/A</v>
      </c>
      <c r="R90" s="24" t="e">
        <f t="shared" si="38"/>
        <v>#N/A</v>
      </c>
      <c r="S90" s="24">
        <f t="shared" si="38"/>
        <v>-9.4936708860759444E-2</v>
      </c>
      <c r="T90" s="24">
        <f t="shared" si="38"/>
        <v>5.7291666666666741E-2</v>
      </c>
    </row>
    <row r="91" spans="1:20" x14ac:dyDescent="0.25">
      <c r="A91" s="53">
        <f>Data1!A50</f>
        <v>28642</v>
      </c>
      <c r="B91">
        <f>IF(ISBLANK(Data1!B50),NA(),Data1!B50)</f>
        <v>21.9</v>
      </c>
      <c r="C91" t="e">
        <f>IF(ISBLANK(Data1!E50),NA(),Data1!E50)</f>
        <v>#N/A</v>
      </c>
      <c r="D91" t="e">
        <f>IF(ISBLANK(Data1!AJ50),NA(),Data1!AJ50)</f>
        <v>#N/A</v>
      </c>
      <c r="E91">
        <f>IF(ISBLANK(Data1!BJ50),NA(),Data1!BJ50)</f>
        <v>14.2</v>
      </c>
      <c r="F91">
        <f>IF(ISBLANK(Data1!BK50),NA(),Data1!BK50)</f>
        <v>20.7</v>
      </c>
      <c r="H91" s="53">
        <f t="shared" si="0"/>
        <v>28642</v>
      </c>
      <c r="I91">
        <f t="shared" si="1"/>
        <v>202.77777777777777</v>
      </c>
      <c r="J91" t="e" cm="1">
        <f t="array" ref="J91">IF(ISNA(C91),NA(),C91/INDEX($C$52:$C$282,MATCH(TRUE,INDEX(NOT(ISNA($C$52:$C$282)),0),0))*100)</f>
        <v>#N/A</v>
      </c>
      <c r="K91" t="e" cm="1">
        <f t="array" ref="K91">IF(ISNA(D91),NA(),D91/INDEX($D$52:$D$282,MATCH(TRUE,INDEX(NOT(ISNA($D$52:$D$282)),0),0))*100)</f>
        <v>#N/A</v>
      </c>
      <c r="L91">
        <f t="shared" si="2"/>
        <v>79.329608938547494</v>
      </c>
      <c r="M91">
        <f t="shared" si="3"/>
        <v>175.42372881355931</v>
      </c>
      <c r="O91" s="53">
        <f t="shared" si="4"/>
        <v>28642</v>
      </c>
      <c r="P91" s="24">
        <f t="shared" ref="P91:T91" si="39">IFERROR(IF(OR(ISNA(B91),ISNA(B87)),NA(),B91/B87-1),NA())</f>
        <v>7.3529411764705843E-2</v>
      </c>
      <c r="Q91" s="24" t="e">
        <f t="shared" si="39"/>
        <v>#N/A</v>
      </c>
      <c r="R91" s="24" t="e">
        <f t="shared" si="39"/>
        <v>#N/A</v>
      </c>
      <c r="S91" s="24">
        <f t="shared" si="39"/>
        <v>5.9701492537313383E-2</v>
      </c>
      <c r="T91" s="24">
        <f t="shared" si="39"/>
        <v>8.9473684210526372E-2</v>
      </c>
    </row>
    <row r="92" spans="1:20" x14ac:dyDescent="0.25">
      <c r="A92" s="53">
        <f>Data1!A51</f>
        <v>28734</v>
      </c>
      <c r="B92">
        <f>IF(ISBLANK(Data1!B51),NA(),Data1!B51)</f>
        <v>23.4</v>
      </c>
      <c r="C92" t="e">
        <f>IF(ISBLANK(Data1!E51),NA(),Data1!E51)</f>
        <v>#N/A</v>
      </c>
      <c r="D92" t="e">
        <f>IF(ISBLANK(Data1!AJ51),NA(),Data1!AJ51)</f>
        <v>#N/A</v>
      </c>
      <c r="E92">
        <f>IF(ISBLANK(Data1!BJ51),NA(),Data1!BJ51)</f>
        <v>14.3</v>
      </c>
      <c r="F92">
        <f>IF(ISBLANK(Data1!BK51),NA(),Data1!BK51)</f>
        <v>20.8</v>
      </c>
      <c r="H92" s="53">
        <f t="shared" si="0"/>
        <v>28734</v>
      </c>
      <c r="I92">
        <f t="shared" si="1"/>
        <v>216.66666666666666</v>
      </c>
      <c r="J92" t="e" cm="1">
        <f t="array" ref="J92">IF(ISNA(C92),NA(),C92/INDEX($C$52:$C$282,MATCH(TRUE,INDEX(NOT(ISNA($C$52:$C$282)),0),0))*100)</f>
        <v>#N/A</v>
      </c>
      <c r="K92" t="e" cm="1">
        <f t="array" ref="K92">IF(ISNA(D92),NA(),D92/INDEX($D$52:$D$282,MATCH(TRUE,INDEX(NOT(ISNA($D$52:$D$282)),0),0))*100)</f>
        <v>#N/A</v>
      </c>
      <c r="L92">
        <f t="shared" si="2"/>
        <v>79.888268156424587</v>
      </c>
      <c r="M92">
        <f t="shared" si="3"/>
        <v>176.27118644067795</v>
      </c>
      <c r="O92" s="53">
        <f t="shared" si="4"/>
        <v>28734</v>
      </c>
      <c r="P92" s="24">
        <f t="shared" ref="P92:T92" si="40">IFERROR(IF(OR(ISNA(B92),ISNA(B88)),NA(),B92/B88-1),NA())</f>
        <v>0.14146341463414625</v>
      </c>
      <c r="Q92" s="24" t="e">
        <f t="shared" si="40"/>
        <v>#N/A</v>
      </c>
      <c r="R92" s="24" t="e">
        <f t="shared" si="40"/>
        <v>#N/A</v>
      </c>
      <c r="S92" s="24">
        <f t="shared" si="40"/>
        <v>5.9259259259259345E-2</v>
      </c>
      <c r="T92" s="24">
        <f t="shared" si="40"/>
        <v>9.473684210526323E-2</v>
      </c>
    </row>
    <row r="93" spans="1:20" x14ac:dyDescent="0.25">
      <c r="A93" s="53">
        <f>Data1!A52</f>
        <v>28825</v>
      </c>
      <c r="B93">
        <f>IF(ISBLANK(Data1!B52),NA(),Data1!B52)</f>
        <v>24.6</v>
      </c>
      <c r="C93" t="e">
        <f>IF(ISBLANK(Data1!E52),NA(),Data1!E52)</f>
        <v>#N/A</v>
      </c>
      <c r="D93" t="e">
        <f>IF(ISBLANK(Data1!AJ52),NA(),Data1!AJ52)</f>
        <v>#N/A</v>
      </c>
      <c r="E93">
        <f>IF(ISBLANK(Data1!BJ52),NA(),Data1!BJ52)</f>
        <v>14.6</v>
      </c>
      <c r="F93">
        <f>IF(ISBLANK(Data1!BK52),NA(),Data1!BK52)</f>
        <v>21.1</v>
      </c>
      <c r="H93" s="53">
        <f t="shared" si="0"/>
        <v>28825</v>
      </c>
      <c r="I93">
        <f t="shared" si="1"/>
        <v>227.77777777777777</v>
      </c>
      <c r="J93" t="e" cm="1">
        <f t="array" ref="J93">IF(ISNA(C93),NA(),C93/INDEX($C$52:$C$282,MATCH(TRUE,INDEX(NOT(ISNA($C$52:$C$282)),0),0))*100)</f>
        <v>#N/A</v>
      </c>
      <c r="K93" t="e" cm="1">
        <f t="array" ref="K93">IF(ISNA(D93),NA(),D93/INDEX($D$52:$D$282,MATCH(TRUE,INDEX(NOT(ISNA($D$52:$D$282)),0),0))*100)</f>
        <v>#N/A</v>
      </c>
      <c r="L93">
        <f t="shared" si="2"/>
        <v>81.564245810055866</v>
      </c>
      <c r="M93">
        <f t="shared" si="3"/>
        <v>178.81355932203391</v>
      </c>
      <c r="O93" s="53">
        <f t="shared" si="4"/>
        <v>28825</v>
      </c>
      <c r="P93" s="24">
        <f t="shared" ref="P93:T93" si="41">IFERROR(IF(OR(ISNA(B93),ISNA(B89)),NA(),B93/B89-1),NA())</f>
        <v>0.20588235294117663</v>
      </c>
      <c r="Q93" s="24" t="e">
        <f t="shared" si="41"/>
        <v>#N/A</v>
      </c>
      <c r="R93" s="24" t="e">
        <f t="shared" si="41"/>
        <v>#N/A</v>
      </c>
      <c r="S93" s="24">
        <f t="shared" si="41"/>
        <v>8.9552238805970186E-2</v>
      </c>
      <c r="T93" s="24">
        <f t="shared" si="41"/>
        <v>9.3264248704663322E-2</v>
      </c>
    </row>
    <row r="94" spans="1:20" x14ac:dyDescent="0.25">
      <c r="A94" s="53">
        <f>Data1!A53</f>
        <v>28915</v>
      </c>
      <c r="B94">
        <f>IF(ISBLANK(Data1!B53),NA(),Data1!B53)</f>
        <v>26.8</v>
      </c>
      <c r="C94" t="e">
        <f>IF(ISBLANK(Data1!E53),NA(),Data1!E53)</f>
        <v>#N/A</v>
      </c>
      <c r="D94" t="e">
        <f>IF(ISBLANK(Data1!AJ53),NA(),Data1!AJ53)</f>
        <v>#N/A</v>
      </c>
      <c r="E94">
        <f>IF(ISBLANK(Data1!BJ53),NA(),Data1!BJ53)</f>
        <v>15</v>
      </c>
      <c r="F94">
        <f>IF(ISBLANK(Data1!BK53),NA(),Data1!BK53)</f>
        <v>21.9</v>
      </c>
      <c r="H94" s="53">
        <f t="shared" si="0"/>
        <v>28915</v>
      </c>
      <c r="I94">
        <f t="shared" si="1"/>
        <v>248.14814814814815</v>
      </c>
      <c r="J94" t="e" cm="1">
        <f t="array" ref="J94">IF(ISNA(C94),NA(),C94/INDEX($C$52:$C$282,MATCH(TRUE,INDEX(NOT(ISNA($C$52:$C$282)),0),0))*100)</f>
        <v>#N/A</v>
      </c>
      <c r="K94" t="e" cm="1">
        <f t="array" ref="K94">IF(ISNA(D94),NA(),D94/INDEX($D$52:$D$282,MATCH(TRUE,INDEX(NOT(ISNA($D$52:$D$282)),0),0))*100)</f>
        <v>#N/A</v>
      </c>
      <c r="L94">
        <f t="shared" si="2"/>
        <v>83.798882681564251</v>
      </c>
      <c r="M94">
        <f t="shared" si="3"/>
        <v>185.59322033898303</v>
      </c>
      <c r="O94" s="53">
        <f t="shared" si="4"/>
        <v>28915</v>
      </c>
      <c r="P94" s="24">
        <f t="shared" ref="P94:T94" si="42">IFERROR(IF(OR(ISNA(B94),ISNA(B90)),NA(),B94/B90-1),NA())</f>
        <v>0.27014218009478674</v>
      </c>
      <c r="Q94" s="24" t="e">
        <f t="shared" si="42"/>
        <v>#N/A</v>
      </c>
      <c r="R94" s="24" t="e">
        <f t="shared" si="42"/>
        <v>#N/A</v>
      </c>
      <c r="S94" s="24">
        <f t="shared" si="42"/>
        <v>4.8951048951048959E-2</v>
      </c>
      <c r="T94" s="24">
        <f t="shared" si="42"/>
        <v>7.8817733990147687E-2</v>
      </c>
    </row>
    <row r="95" spans="1:20" x14ac:dyDescent="0.25">
      <c r="A95" s="53">
        <f>Data1!A54</f>
        <v>29007</v>
      </c>
      <c r="B95">
        <f>IF(ISBLANK(Data1!B54),NA(),Data1!B54)</f>
        <v>30.2</v>
      </c>
      <c r="C95" t="e">
        <f>IF(ISBLANK(Data1!E54),NA(),Data1!E54)</f>
        <v>#N/A</v>
      </c>
      <c r="D95" t="e">
        <f>IF(ISBLANK(Data1!AJ54),NA(),Data1!AJ54)</f>
        <v>#N/A</v>
      </c>
      <c r="E95">
        <f>IF(ISBLANK(Data1!BJ54),NA(),Data1!BJ54)</f>
        <v>15</v>
      </c>
      <c r="F95">
        <f>IF(ISBLANK(Data1!BK54),NA(),Data1!BK54)</f>
        <v>21.8</v>
      </c>
      <c r="H95" s="53">
        <f t="shared" si="0"/>
        <v>29007</v>
      </c>
      <c r="I95">
        <f t="shared" si="1"/>
        <v>279.62962962962956</v>
      </c>
      <c r="J95" t="e" cm="1">
        <f t="array" ref="J95">IF(ISNA(C95),NA(),C95/INDEX($C$52:$C$282,MATCH(TRUE,INDEX(NOT(ISNA($C$52:$C$282)),0),0))*100)</f>
        <v>#N/A</v>
      </c>
      <c r="K95" t="e" cm="1">
        <f t="array" ref="K95">IF(ISNA(D95),NA(),D95/INDEX($D$52:$D$282,MATCH(TRUE,INDEX(NOT(ISNA($D$52:$D$282)),0),0))*100)</f>
        <v>#N/A</v>
      </c>
      <c r="L95">
        <f t="shared" si="2"/>
        <v>83.798882681564251</v>
      </c>
      <c r="M95">
        <f t="shared" si="3"/>
        <v>184.74576271186442</v>
      </c>
      <c r="O95" s="53">
        <f t="shared" si="4"/>
        <v>29007</v>
      </c>
      <c r="P95" s="24">
        <f t="shared" ref="P95:T95" si="43">IFERROR(IF(OR(ISNA(B95),ISNA(B91)),NA(),B95/B91-1),NA())</f>
        <v>0.37899543378995437</v>
      </c>
      <c r="Q95" s="24" t="e">
        <f t="shared" si="43"/>
        <v>#N/A</v>
      </c>
      <c r="R95" s="24" t="e">
        <f t="shared" si="43"/>
        <v>#N/A</v>
      </c>
      <c r="S95" s="24">
        <f t="shared" si="43"/>
        <v>5.6338028169014231E-2</v>
      </c>
      <c r="T95" s="24">
        <f t="shared" si="43"/>
        <v>5.3140096618357502E-2</v>
      </c>
    </row>
    <row r="96" spans="1:20" x14ac:dyDescent="0.25">
      <c r="A96" s="53">
        <f>Data1!A55</f>
        <v>29099</v>
      </c>
      <c r="B96">
        <f>IF(ISBLANK(Data1!B55),NA(),Data1!B55)</f>
        <v>31.4</v>
      </c>
      <c r="C96" t="e">
        <f>IF(ISBLANK(Data1!E55),NA(),Data1!E55)</f>
        <v>#N/A</v>
      </c>
      <c r="D96" t="e">
        <f>IF(ISBLANK(Data1!AJ55),NA(),Data1!AJ55)</f>
        <v>#N/A</v>
      </c>
      <c r="E96">
        <f>IF(ISBLANK(Data1!BJ55),NA(),Data1!BJ55)</f>
        <v>15.3</v>
      </c>
      <c r="F96">
        <f>IF(ISBLANK(Data1!BK55),NA(),Data1!BK55)</f>
        <v>22.1</v>
      </c>
      <c r="H96" s="53">
        <f t="shared" si="0"/>
        <v>29099</v>
      </c>
      <c r="I96">
        <f t="shared" si="1"/>
        <v>290.7407407407407</v>
      </c>
      <c r="J96" t="e" cm="1">
        <f t="array" ref="J96">IF(ISNA(C96),NA(),C96/INDEX($C$52:$C$282,MATCH(TRUE,INDEX(NOT(ISNA($C$52:$C$282)),0),0))*100)</f>
        <v>#N/A</v>
      </c>
      <c r="K96" t="e" cm="1">
        <f t="array" ref="K96">IF(ISNA(D96),NA(),D96/INDEX($D$52:$D$282,MATCH(TRUE,INDEX(NOT(ISNA($D$52:$D$282)),0),0))*100)</f>
        <v>#N/A</v>
      </c>
      <c r="L96">
        <f t="shared" si="2"/>
        <v>85.474860335195544</v>
      </c>
      <c r="M96">
        <f t="shared" si="3"/>
        <v>187.28813559322035</v>
      </c>
      <c r="O96" s="53">
        <f t="shared" si="4"/>
        <v>29099</v>
      </c>
      <c r="P96" s="24">
        <f t="shared" ref="P96:T96" si="44">IFERROR(IF(OR(ISNA(B96),ISNA(B92)),NA(),B96/B92-1),NA())</f>
        <v>0.341880341880342</v>
      </c>
      <c r="Q96" s="24" t="e">
        <f t="shared" si="44"/>
        <v>#N/A</v>
      </c>
      <c r="R96" s="24" t="e">
        <f t="shared" si="44"/>
        <v>#N/A</v>
      </c>
      <c r="S96" s="24">
        <f t="shared" si="44"/>
        <v>6.9930069930070005E-2</v>
      </c>
      <c r="T96" s="24">
        <f t="shared" si="44"/>
        <v>6.25E-2</v>
      </c>
    </row>
    <row r="97" spans="1:20" x14ac:dyDescent="0.25">
      <c r="A97" s="53">
        <f>Data1!A56</f>
        <v>29190</v>
      </c>
      <c r="B97">
        <f>IF(ISBLANK(Data1!B56),NA(),Data1!B56)</f>
        <v>33</v>
      </c>
      <c r="C97" t="e">
        <f>IF(ISBLANK(Data1!E56),NA(),Data1!E56)</f>
        <v>#N/A</v>
      </c>
      <c r="D97" t="e">
        <f>IF(ISBLANK(Data1!AJ56),NA(),Data1!AJ56)</f>
        <v>#N/A</v>
      </c>
      <c r="E97">
        <f>IF(ISBLANK(Data1!BJ56),NA(),Data1!BJ56)</f>
        <v>15.3</v>
      </c>
      <c r="F97">
        <f>IF(ISBLANK(Data1!BK56),NA(),Data1!BK56)</f>
        <v>22.6</v>
      </c>
      <c r="H97" s="53">
        <f t="shared" si="0"/>
        <v>29190</v>
      </c>
      <c r="I97">
        <f t="shared" si="1"/>
        <v>305.55555555555554</v>
      </c>
      <c r="J97" t="e" cm="1">
        <f t="array" ref="J97">IF(ISNA(C97),NA(),C97/INDEX($C$52:$C$282,MATCH(TRUE,INDEX(NOT(ISNA($C$52:$C$282)),0),0))*100)</f>
        <v>#N/A</v>
      </c>
      <c r="K97" t="e" cm="1">
        <f t="array" ref="K97">IF(ISNA(D97),NA(),D97/INDEX($D$52:$D$282,MATCH(TRUE,INDEX(NOT(ISNA($D$52:$D$282)),0),0))*100)</f>
        <v>#N/A</v>
      </c>
      <c r="L97">
        <f t="shared" si="2"/>
        <v>85.474860335195544</v>
      </c>
      <c r="M97">
        <f t="shared" si="3"/>
        <v>191.52542372881356</v>
      </c>
      <c r="O97" s="53">
        <f t="shared" si="4"/>
        <v>29190</v>
      </c>
      <c r="P97" s="24">
        <f t="shared" ref="P97:T97" si="45">IFERROR(IF(OR(ISNA(B97),ISNA(B93)),NA(),B97/B93-1),NA())</f>
        <v>0.3414634146341462</v>
      </c>
      <c r="Q97" s="24" t="e">
        <f t="shared" si="45"/>
        <v>#N/A</v>
      </c>
      <c r="R97" s="24" t="e">
        <f t="shared" si="45"/>
        <v>#N/A</v>
      </c>
      <c r="S97" s="24">
        <f t="shared" si="45"/>
        <v>4.7945205479452024E-2</v>
      </c>
      <c r="T97" s="24">
        <f t="shared" si="45"/>
        <v>7.1090047393364886E-2</v>
      </c>
    </row>
    <row r="98" spans="1:20" x14ac:dyDescent="0.25">
      <c r="A98" s="53">
        <f>Data1!A57</f>
        <v>29281</v>
      </c>
      <c r="B98">
        <f>IF(ISBLANK(Data1!B57),NA(),Data1!B57)</f>
        <v>36.1</v>
      </c>
      <c r="C98" t="e">
        <f>IF(ISBLANK(Data1!E57),NA(),Data1!E57)</f>
        <v>#N/A</v>
      </c>
      <c r="D98" t="e">
        <f>IF(ISBLANK(Data1!AJ57),NA(),Data1!AJ57)</f>
        <v>#N/A</v>
      </c>
      <c r="E98">
        <f>IF(ISBLANK(Data1!BJ57),NA(),Data1!BJ57)</f>
        <v>16.2</v>
      </c>
      <c r="F98">
        <f>IF(ISBLANK(Data1!BK57),NA(),Data1!BK57)</f>
        <v>23.6</v>
      </c>
      <c r="H98" s="53">
        <f t="shared" si="0"/>
        <v>29281</v>
      </c>
      <c r="I98">
        <f t="shared" si="1"/>
        <v>334.25925925925924</v>
      </c>
      <c r="J98" t="e" cm="1">
        <f t="array" ref="J98">IF(ISNA(C98),NA(),C98/INDEX($C$52:$C$282,MATCH(TRUE,INDEX(NOT(ISNA($C$52:$C$282)),0),0))*100)</f>
        <v>#N/A</v>
      </c>
      <c r="K98" t="e" cm="1">
        <f t="array" ref="K98">IF(ISNA(D98),NA(),D98/INDEX($D$52:$D$282,MATCH(TRUE,INDEX(NOT(ISNA($D$52:$D$282)),0),0))*100)</f>
        <v>#N/A</v>
      </c>
      <c r="L98">
        <f t="shared" si="2"/>
        <v>90.502793296089393</v>
      </c>
      <c r="M98">
        <f t="shared" si="3"/>
        <v>200</v>
      </c>
      <c r="O98" s="53">
        <f t="shared" si="4"/>
        <v>29281</v>
      </c>
      <c r="P98" s="24">
        <f t="shared" ref="P98:T98" si="46">IFERROR(IF(OR(ISNA(B98),ISNA(B94)),NA(),B98/B94-1),NA())</f>
        <v>0.34701492537313428</v>
      </c>
      <c r="Q98" s="24" t="e">
        <f t="shared" si="46"/>
        <v>#N/A</v>
      </c>
      <c r="R98" s="24" t="e">
        <f t="shared" si="46"/>
        <v>#N/A</v>
      </c>
      <c r="S98" s="24">
        <f t="shared" si="46"/>
        <v>7.9999999999999849E-2</v>
      </c>
      <c r="T98" s="24">
        <f t="shared" si="46"/>
        <v>7.762557077625587E-2</v>
      </c>
    </row>
    <row r="99" spans="1:20" x14ac:dyDescent="0.25">
      <c r="A99" s="53">
        <f>Data1!A58</f>
        <v>29373</v>
      </c>
      <c r="B99">
        <f>IF(ISBLANK(Data1!B58),NA(),Data1!B58)</f>
        <v>35.299999999999997</v>
      </c>
      <c r="C99" t="e">
        <f>IF(ISBLANK(Data1!E58),NA(),Data1!E58)</f>
        <v>#N/A</v>
      </c>
      <c r="D99" t="e">
        <f>IF(ISBLANK(Data1!AJ58),NA(),Data1!AJ58)</f>
        <v>#N/A</v>
      </c>
      <c r="E99">
        <f>IF(ISBLANK(Data1!BJ58),NA(),Data1!BJ58)</f>
        <v>16.2</v>
      </c>
      <c r="F99">
        <f>IF(ISBLANK(Data1!BK58),NA(),Data1!BK58)</f>
        <v>23.6</v>
      </c>
      <c r="H99" s="53">
        <f t="shared" si="0"/>
        <v>29373</v>
      </c>
      <c r="I99">
        <f t="shared" si="1"/>
        <v>326.85185185185179</v>
      </c>
      <c r="J99" t="e" cm="1">
        <f t="array" ref="J99">IF(ISNA(C99),NA(),C99/INDEX($C$52:$C$282,MATCH(TRUE,INDEX(NOT(ISNA($C$52:$C$282)),0),0))*100)</f>
        <v>#N/A</v>
      </c>
      <c r="K99" t="e" cm="1">
        <f t="array" ref="K99">IF(ISNA(D99),NA(),D99/INDEX($D$52:$D$282,MATCH(TRUE,INDEX(NOT(ISNA($D$52:$D$282)),0),0))*100)</f>
        <v>#N/A</v>
      </c>
      <c r="L99">
        <f t="shared" si="2"/>
        <v>90.502793296089393</v>
      </c>
      <c r="M99">
        <f t="shared" si="3"/>
        <v>200</v>
      </c>
      <c r="O99" s="53">
        <f t="shared" si="4"/>
        <v>29373</v>
      </c>
      <c r="P99" s="24">
        <f t="shared" ref="P99:T99" si="47">IFERROR(IF(OR(ISNA(B99),ISNA(B95)),NA(),B99/B95-1),NA())</f>
        <v>0.16887417218543033</v>
      </c>
      <c r="Q99" s="24" t="e">
        <f t="shared" si="47"/>
        <v>#N/A</v>
      </c>
      <c r="R99" s="24" t="e">
        <f t="shared" si="47"/>
        <v>#N/A</v>
      </c>
      <c r="S99" s="24">
        <f t="shared" si="47"/>
        <v>7.9999999999999849E-2</v>
      </c>
      <c r="T99" s="24">
        <f t="shared" si="47"/>
        <v>8.256880733944949E-2</v>
      </c>
    </row>
    <row r="100" spans="1:20" x14ac:dyDescent="0.25">
      <c r="A100" s="53">
        <f>Data1!A59</f>
        <v>29465</v>
      </c>
      <c r="B100">
        <f>IF(ISBLANK(Data1!B59),NA(),Data1!B59)</f>
        <v>37</v>
      </c>
      <c r="C100" t="e">
        <f>IF(ISBLANK(Data1!E59),NA(),Data1!E59)</f>
        <v>#N/A</v>
      </c>
      <c r="D100" t="e">
        <f>IF(ISBLANK(Data1!AJ59),NA(),Data1!AJ59)</f>
        <v>#N/A</v>
      </c>
      <c r="E100">
        <f>IF(ISBLANK(Data1!BJ59),NA(),Data1!BJ59)</f>
        <v>17</v>
      </c>
      <c r="F100">
        <f>IF(ISBLANK(Data1!BK59),NA(),Data1!BK59)</f>
        <v>24.4</v>
      </c>
      <c r="H100" s="53">
        <f t="shared" si="0"/>
        <v>29465</v>
      </c>
      <c r="I100">
        <f t="shared" si="1"/>
        <v>342.59259259259255</v>
      </c>
      <c r="J100" t="e" cm="1">
        <f t="array" ref="J100">IF(ISNA(C100),NA(),C100/INDEX($C$52:$C$282,MATCH(TRUE,INDEX(NOT(ISNA($C$52:$C$282)),0),0))*100)</f>
        <v>#N/A</v>
      </c>
      <c r="K100" t="e" cm="1">
        <f t="array" ref="K100">IF(ISNA(D100),NA(),D100/INDEX($D$52:$D$282,MATCH(TRUE,INDEX(NOT(ISNA($D$52:$D$282)),0),0))*100)</f>
        <v>#N/A</v>
      </c>
      <c r="L100">
        <f t="shared" si="2"/>
        <v>94.97206703910615</v>
      </c>
      <c r="M100">
        <f t="shared" si="3"/>
        <v>206.77966101694915</v>
      </c>
      <c r="O100" s="53">
        <f t="shared" si="4"/>
        <v>29465</v>
      </c>
      <c r="P100" s="24">
        <f t="shared" ref="P100:T100" si="48">IFERROR(IF(OR(ISNA(B100),ISNA(B96)),NA(),B100/B96-1),NA())</f>
        <v>0.17834394904458595</v>
      </c>
      <c r="Q100" s="24" t="e">
        <f t="shared" si="48"/>
        <v>#N/A</v>
      </c>
      <c r="R100" s="24" t="e">
        <f t="shared" si="48"/>
        <v>#N/A</v>
      </c>
      <c r="S100" s="24">
        <f t="shared" si="48"/>
        <v>0.11111111111111116</v>
      </c>
      <c r="T100" s="24">
        <f t="shared" si="48"/>
        <v>0.1040723981900451</v>
      </c>
    </row>
    <row r="101" spans="1:20" x14ac:dyDescent="0.25">
      <c r="A101" s="53">
        <f>Data1!A60</f>
        <v>29556</v>
      </c>
      <c r="B101">
        <f>IF(ISBLANK(Data1!B60),NA(),Data1!B60)</f>
        <v>37</v>
      </c>
      <c r="C101" t="e">
        <f>IF(ISBLANK(Data1!E60),NA(),Data1!E60)</f>
        <v>#N/A</v>
      </c>
      <c r="D101" t="e">
        <f>IF(ISBLANK(Data1!AJ60),NA(),Data1!AJ60)</f>
        <v>#N/A</v>
      </c>
      <c r="E101">
        <f>IF(ISBLANK(Data1!BJ60),NA(),Data1!BJ60)</f>
        <v>17</v>
      </c>
      <c r="F101">
        <f>IF(ISBLANK(Data1!BK60),NA(),Data1!BK60)</f>
        <v>24.9</v>
      </c>
      <c r="H101" s="53">
        <f t="shared" si="0"/>
        <v>29556</v>
      </c>
      <c r="I101">
        <f t="shared" si="1"/>
        <v>342.59259259259255</v>
      </c>
      <c r="J101" t="e" cm="1">
        <f t="array" ref="J101">IF(ISNA(C101),NA(),C101/INDEX($C$52:$C$282,MATCH(TRUE,INDEX(NOT(ISNA($C$52:$C$282)),0),0))*100)</f>
        <v>#N/A</v>
      </c>
      <c r="K101" t="e" cm="1">
        <f t="array" ref="K101">IF(ISNA(D101),NA(),D101/INDEX($D$52:$D$282,MATCH(TRUE,INDEX(NOT(ISNA($D$52:$D$282)),0),0))*100)</f>
        <v>#N/A</v>
      </c>
      <c r="L101">
        <f t="shared" si="2"/>
        <v>94.97206703910615</v>
      </c>
      <c r="M101">
        <f t="shared" si="3"/>
        <v>211.01694915254234</v>
      </c>
      <c r="O101" s="53">
        <f t="shared" si="4"/>
        <v>29556</v>
      </c>
      <c r="P101" s="24">
        <f t="shared" ref="P101:T101" si="49">IFERROR(IF(OR(ISNA(B101),ISNA(B97)),NA(),B101/B97-1),NA())</f>
        <v>0.1212121212121211</v>
      </c>
      <c r="Q101" s="24" t="e">
        <f t="shared" si="49"/>
        <v>#N/A</v>
      </c>
      <c r="R101" s="24" t="e">
        <f t="shared" si="49"/>
        <v>#N/A</v>
      </c>
      <c r="S101" s="24">
        <f t="shared" si="49"/>
        <v>0.11111111111111116</v>
      </c>
      <c r="T101" s="24">
        <f t="shared" si="49"/>
        <v>0.1017699115044246</v>
      </c>
    </row>
    <row r="102" spans="1:20" x14ac:dyDescent="0.25">
      <c r="A102" s="53">
        <f>Data1!A61</f>
        <v>29646</v>
      </c>
      <c r="B102">
        <f>IF(ISBLANK(Data1!B61),NA(),Data1!B61)</f>
        <v>37.700000000000003</v>
      </c>
      <c r="C102" t="e">
        <f>IF(ISBLANK(Data1!E61),NA(),Data1!E61)</f>
        <v>#N/A</v>
      </c>
      <c r="D102" t="e">
        <f>IF(ISBLANK(Data1!AJ61),NA(),Data1!AJ61)</f>
        <v>#N/A</v>
      </c>
      <c r="E102">
        <f>IF(ISBLANK(Data1!BJ61),NA(),Data1!BJ61)</f>
        <v>17.399999999999999</v>
      </c>
      <c r="F102">
        <f>IF(ISBLANK(Data1!BK61),NA(),Data1!BK61)</f>
        <v>27</v>
      </c>
      <c r="H102" s="53">
        <f t="shared" si="0"/>
        <v>29646</v>
      </c>
      <c r="I102">
        <f t="shared" si="1"/>
        <v>349.07407407407408</v>
      </c>
      <c r="J102" t="e" cm="1">
        <f t="array" ref="J102">IF(ISNA(C102),NA(),C102/INDEX($C$52:$C$282,MATCH(TRUE,INDEX(NOT(ISNA($C$52:$C$282)),0),0))*100)</f>
        <v>#N/A</v>
      </c>
      <c r="K102" t="e" cm="1">
        <f t="array" ref="K102">IF(ISNA(D102),NA(),D102/INDEX($D$52:$D$282,MATCH(TRUE,INDEX(NOT(ISNA($D$52:$D$282)),0),0))*100)</f>
        <v>#N/A</v>
      </c>
      <c r="L102">
        <f t="shared" si="2"/>
        <v>97.206703910614522</v>
      </c>
      <c r="M102">
        <f t="shared" si="3"/>
        <v>228.81355932203385</v>
      </c>
      <c r="O102" s="53">
        <f t="shared" si="4"/>
        <v>29646</v>
      </c>
      <c r="P102" s="24">
        <f t="shared" ref="P102:T102" si="50">IFERROR(IF(OR(ISNA(B102),ISNA(B98)),NA(),B102/B98-1),NA())</f>
        <v>4.4321329639889218E-2</v>
      </c>
      <c r="Q102" s="24" t="e">
        <f t="shared" si="50"/>
        <v>#N/A</v>
      </c>
      <c r="R102" s="24" t="e">
        <f t="shared" si="50"/>
        <v>#N/A</v>
      </c>
      <c r="S102" s="24">
        <f t="shared" si="50"/>
        <v>7.4074074074073959E-2</v>
      </c>
      <c r="T102" s="24">
        <f t="shared" si="50"/>
        <v>0.14406779661016933</v>
      </c>
    </row>
    <row r="103" spans="1:20" x14ac:dyDescent="0.25">
      <c r="A103" s="53">
        <f>Data1!A62</f>
        <v>29738</v>
      </c>
      <c r="B103">
        <f>IF(ISBLANK(Data1!B62),NA(),Data1!B62)</f>
        <v>37.6</v>
      </c>
      <c r="C103" t="e">
        <f>IF(ISBLANK(Data1!E62),NA(),Data1!E62)</f>
        <v>#N/A</v>
      </c>
      <c r="D103" t="e">
        <f>IF(ISBLANK(Data1!AJ62),NA(),Data1!AJ62)</f>
        <v>#N/A</v>
      </c>
      <c r="E103">
        <f>IF(ISBLANK(Data1!BJ62),NA(),Data1!BJ62)</f>
        <v>17.3</v>
      </c>
      <c r="F103">
        <f>IF(ISBLANK(Data1!BK62),NA(),Data1!BK62)</f>
        <v>27.2</v>
      </c>
      <c r="H103" s="53">
        <f t="shared" si="0"/>
        <v>29738</v>
      </c>
      <c r="I103">
        <f t="shared" si="1"/>
        <v>348.14814814814815</v>
      </c>
      <c r="J103" t="e" cm="1">
        <f t="array" ref="J103">IF(ISNA(C103),NA(),C103/INDEX($C$52:$C$282,MATCH(TRUE,INDEX(NOT(ISNA($C$52:$C$282)),0),0))*100)</f>
        <v>#N/A</v>
      </c>
      <c r="K103" t="e" cm="1">
        <f t="array" ref="K103">IF(ISNA(D103),NA(),D103/INDEX($D$52:$D$282,MATCH(TRUE,INDEX(NOT(ISNA($D$52:$D$282)),0),0))*100)</f>
        <v>#N/A</v>
      </c>
      <c r="L103">
        <f t="shared" si="2"/>
        <v>96.648044692737443</v>
      </c>
      <c r="M103">
        <f t="shared" si="3"/>
        <v>230.50847457627114</v>
      </c>
      <c r="O103" s="53">
        <f t="shared" si="4"/>
        <v>29738</v>
      </c>
      <c r="P103" s="24">
        <f t="shared" ref="P103:T103" si="51">IFERROR(IF(OR(ISNA(B103),ISNA(B99)),NA(),B103/B99-1),NA())</f>
        <v>6.5155807365439244E-2</v>
      </c>
      <c r="Q103" s="24" t="e">
        <f t="shared" si="51"/>
        <v>#N/A</v>
      </c>
      <c r="R103" s="24" t="e">
        <f t="shared" si="51"/>
        <v>#N/A</v>
      </c>
      <c r="S103" s="24">
        <f t="shared" si="51"/>
        <v>6.7901234567901314E-2</v>
      </c>
      <c r="T103" s="24">
        <f t="shared" si="51"/>
        <v>0.15254237288135575</v>
      </c>
    </row>
    <row r="104" spans="1:20" x14ac:dyDescent="0.25">
      <c r="A104" s="53">
        <f>Data1!A63</f>
        <v>29830</v>
      </c>
      <c r="B104">
        <f>IF(ISBLANK(Data1!B63),NA(),Data1!B63)</f>
        <v>37.9</v>
      </c>
      <c r="C104" t="e">
        <f>IF(ISBLANK(Data1!E63),NA(),Data1!E63)</f>
        <v>#N/A</v>
      </c>
      <c r="D104" t="e">
        <f>IF(ISBLANK(Data1!AJ63),NA(),Data1!AJ63)</f>
        <v>#N/A</v>
      </c>
      <c r="E104">
        <f>IF(ISBLANK(Data1!BJ63),NA(),Data1!BJ63)</f>
        <v>18.399999999999999</v>
      </c>
      <c r="F104">
        <f>IF(ISBLANK(Data1!BK63),NA(),Data1!BK63)</f>
        <v>27.9</v>
      </c>
      <c r="H104" s="53">
        <f t="shared" si="0"/>
        <v>29830</v>
      </c>
      <c r="I104">
        <f t="shared" si="1"/>
        <v>350.92592592592592</v>
      </c>
      <c r="J104" t="e" cm="1">
        <f t="array" ref="J104">IF(ISNA(C104),NA(),C104/INDEX($C$52:$C$282,MATCH(TRUE,INDEX(NOT(ISNA($C$52:$C$282)),0),0))*100)</f>
        <v>#N/A</v>
      </c>
      <c r="K104" t="e" cm="1">
        <f t="array" ref="K104">IF(ISNA(D104),NA(),D104/INDEX($D$52:$D$282,MATCH(TRUE,INDEX(NOT(ISNA($D$52:$D$282)),0),0))*100)</f>
        <v>#N/A</v>
      </c>
      <c r="L104">
        <f t="shared" si="2"/>
        <v>102.79329608938548</v>
      </c>
      <c r="M104">
        <f t="shared" si="3"/>
        <v>236.44067796610167</v>
      </c>
      <c r="O104" s="53">
        <f t="shared" si="4"/>
        <v>29830</v>
      </c>
      <c r="P104" s="24">
        <f t="shared" ref="P104:T104" si="52">IFERROR(IF(OR(ISNA(B104),ISNA(B100)),NA(),B104/B100-1),NA())</f>
        <v>2.4324324324324298E-2</v>
      </c>
      <c r="Q104" s="24" t="e">
        <f t="shared" si="52"/>
        <v>#N/A</v>
      </c>
      <c r="R104" s="24" t="e">
        <f t="shared" si="52"/>
        <v>#N/A</v>
      </c>
      <c r="S104" s="24">
        <f t="shared" si="52"/>
        <v>8.2352941176470518E-2</v>
      </c>
      <c r="T104" s="24">
        <f t="shared" si="52"/>
        <v>0.14344262295081966</v>
      </c>
    </row>
    <row r="105" spans="1:20" x14ac:dyDescent="0.25">
      <c r="A105" s="53">
        <f>Data1!A64</f>
        <v>29921</v>
      </c>
      <c r="B105">
        <f>IF(ISBLANK(Data1!B64),NA(),Data1!B64)</f>
        <v>37.1</v>
      </c>
      <c r="C105" t="e">
        <f>IF(ISBLANK(Data1!E64),NA(),Data1!E64)</f>
        <v>#N/A</v>
      </c>
      <c r="D105" t="e">
        <f>IF(ISBLANK(Data1!AJ64),NA(),Data1!AJ64)</f>
        <v>#N/A</v>
      </c>
      <c r="E105">
        <f>IF(ISBLANK(Data1!BJ64),NA(),Data1!BJ64)</f>
        <v>18.8</v>
      </c>
      <c r="F105">
        <f>IF(ISBLANK(Data1!BK64),NA(),Data1!BK64)</f>
        <v>29.5</v>
      </c>
      <c r="H105" s="53">
        <f t="shared" si="0"/>
        <v>29921</v>
      </c>
      <c r="I105">
        <f t="shared" si="1"/>
        <v>343.51851851851853</v>
      </c>
      <c r="J105" t="e" cm="1">
        <f t="array" ref="J105">IF(ISNA(C105),NA(),C105/INDEX($C$52:$C$282,MATCH(TRUE,INDEX(NOT(ISNA($C$52:$C$282)),0),0))*100)</f>
        <v>#N/A</v>
      </c>
      <c r="K105" t="e" cm="1">
        <f t="array" ref="K105">IF(ISNA(D105),NA(),D105/INDEX($D$52:$D$282,MATCH(TRUE,INDEX(NOT(ISNA($D$52:$D$282)),0),0))*100)</f>
        <v>#N/A</v>
      </c>
      <c r="L105">
        <f t="shared" si="2"/>
        <v>105.02793296089388</v>
      </c>
      <c r="M105">
        <f t="shared" si="3"/>
        <v>250</v>
      </c>
      <c r="O105" s="53">
        <f t="shared" si="4"/>
        <v>29921</v>
      </c>
      <c r="P105" s="24">
        <f t="shared" ref="P105:T105" si="53">IFERROR(IF(OR(ISNA(B105),ISNA(B101)),NA(),B105/B101-1),NA())</f>
        <v>2.7027027027026751E-3</v>
      </c>
      <c r="Q105" s="24" t="e">
        <f t="shared" si="53"/>
        <v>#N/A</v>
      </c>
      <c r="R105" s="24" t="e">
        <f t="shared" si="53"/>
        <v>#N/A</v>
      </c>
      <c r="S105" s="24">
        <f t="shared" si="53"/>
        <v>0.10588235294117654</v>
      </c>
      <c r="T105" s="24">
        <f t="shared" si="53"/>
        <v>0.18473895582329325</v>
      </c>
    </row>
    <row r="106" spans="1:20" x14ac:dyDescent="0.25">
      <c r="A106" s="53">
        <f>Data1!A65</f>
        <v>30011</v>
      </c>
      <c r="B106">
        <f>IF(ISBLANK(Data1!B65),NA(),Data1!B65)</f>
        <v>37.700000000000003</v>
      </c>
      <c r="C106" t="e">
        <f>IF(ISBLANK(Data1!E65),NA(),Data1!E65)</f>
        <v>#N/A</v>
      </c>
      <c r="D106" t="e">
        <f>IF(ISBLANK(Data1!AJ65),NA(),Data1!AJ65)</f>
        <v>#N/A</v>
      </c>
      <c r="E106">
        <f>IF(ISBLANK(Data1!BJ65),NA(),Data1!BJ65)</f>
        <v>21.1</v>
      </c>
      <c r="F106">
        <f>IF(ISBLANK(Data1!BK65),NA(),Data1!BK65)</f>
        <v>33.5</v>
      </c>
      <c r="H106" s="53">
        <f t="shared" si="0"/>
        <v>30011</v>
      </c>
      <c r="I106">
        <f t="shared" si="1"/>
        <v>349.07407407407408</v>
      </c>
      <c r="J106" t="e" cm="1">
        <f t="array" ref="J106">IF(ISNA(C106),NA(),C106/INDEX($C$52:$C$282,MATCH(TRUE,INDEX(NOT(ISNA($C$52:$C$282)),0),0))*100)</f>
        <v>#N/A</v>
      </c>
      <c r="K106" t="e" cm="1">
        <f t="array" ref="K106">IF(ISNA(D106),NA(),D106/INDEX($D$52:$D$282,MATCH(TRUE,INDEX(NOT(ISNA($D$52:$D$282)),0),0))*100)</f>
        <v>#N/A</v>
      </c>
      <c r="L106">
        <f t="shared" si="2"/>
        <v>117.87709497206707</v>
      </c>
      <c r="M106">
        <f t="shared" si="3"/>
        <v>283.89830508474574</v>
      </c>
      <c r="O106" s="53">
        <f t="shared" si="4"/>
        <v>30011</v>
      </c>
      <c r="P106" s="24">
        <f t="shared" ref="P106:T106" si="54">IFERROR(IF(OR(ISNA(B106),ISNA(B102)),NA(),B106/B102-1),NA())</f>
        <v>0</v>
      </c>
      <c r="Q106" s="24" t="e">
        <f t="shared" si="54"/>
        <v>#N/A</v>
      </c>
      <c r="R106" s="24" t="e">
        <f t="shared" si="54"/>
        <v>#N/A</v>
      </c>
      <c r="S106" s="24">
        <f t="shared" si="54"/>
        <v>0.21264367816091978</v>
      </c>
      <c r="T106" s="24">
        <f t="shared" si="54"/>
        <v>0.2407407407407407</v>
      </c>
    </row>
    <row r="107" spans="1:20" x14ac:dyDescent="0.25">
      <c r="A107" s="53">
        <f>Data1!A66</f>
        <v>30103</v>
      </c>
      <c r="B107">
        <f>IF(ISBLANK(Data1!B66),NA(),Data1!B66)</f>
        <v>38.9</v>
      </c>
      <c r="C107" t="e">
        <f>IF(ISBLANK(Data1!E66),NA(),Data1!E66)</f>
        <v>#N/A</v>
      </c>
      <c r="D107" t="e">
        <f>IF(ISBLANK(Data1!AJ66),NA(),Data1!AJ66)</f>
        <v>#N/A</v>
      </c>
      <c r="E107">
        <f>IF(ISBLANK(Data1!BJ66),NA(),Data1!BJ66)</f>
        <v>21.4</v>
      </c>
      <c r="F107">
        <f>IF(ISBLANK(Data1!BK66),NA(),Data1!BK66)</f>
        <v>33.9</v>
      </c>
      <c r="H107" s="53">
        <f t="shared" si="0"/>
        <v>30103</v>
      </c>
      <c r="I107">
        <f t="shared" si="1"/>
        <v>360.18518518518516</v>
      </c>
      <c r="J107" t="e" cm="1">
        <f t="array" ref="J107">IF(ISNA(C107),NA(),C107/INDEX($C$52:$C$282,MATCH(TRUE,INDEX(NOT(ISNA($C$52:$C$282)),0),0))*100)</f>
        <v>#N/A</v>
      </c>
      <c r="K107" t="e" cm="1">
        <f t="array" ref="K107">IF(ISNA(D107),NA(),D107/INDEX($D$52:$D$282,MATCH(TRUE,INDEX(NOT(ISNA($D$52:$D$282)),0),0))*100)</f>
        <v>#N/A</v>
      </c>
      <c r="L107">
        <f t="shared" si="2"/>
        <v>119.55307262569832</v>
      </c>
      <c r="M107">
        <f t="shared" si="3"/>
        <v>287.28813559322032</v>
      </c>
      <c r="O107" s="53">
        <f t="shared" si="4"/>
        <v>30103</v>
      </c>
      <c r="P107" s="24">
        <f t="shared" ref="P107:T107" si="55">IFERROR(IF(OR(ISNA(B107),ISNA(B103)),NA(),B107/B103-1),NA())</f>
        <v>3.4574468085106336E-2</v>
      </c>
      <c r="Q107" s="24" t="e">
        <f t="shared" si="55"/>
        <v>#N/A</v>
      </c>
      <c r="R107" s="24" t="e">
        <f t="shared" si="55"/>
        <v>#N/A</v>
      </c>
      <c r="S107" s="24">
        <f t="shared" si="55"/>
        <v>0.23699421965317913</v>
      </c>
      <c r="T107" s="24">
        <f t="shared" si="55"/>
        <v>0.24632352941176472</v>
      </c>
    </row>
    <row r="108" spans="1:20" x14ac:dyDescent="0.25">
      <c r="A108" s="53">
        <f>Data1!A67</f>
        <v>30195</v>
      </c>
      <c r="B108">
        <f>IF(ISBLANK(Data1!B67),NA(),Data1!B67)</f>
        <v>39.4</v>
      </c>
      <c r="C108" t="e">
        <f>IF(ISBLANK(Data1!E67),NA(),Data1!E67)</f>
        <v>#N/A</v>
      </c>
      <c r="D108" t="e">
        <f>IF(ISBLANK(Data1!AJ67),NA(),Data1!AJ67)</f>
        <v>#N/A</v>
      </c>
      <c r="E108">
        <f>IF(ISBLANK(Data1!BJ67),NA(),Data1!BJ67)</f>
        <v>23</v>
      </c>
      <c r="F108">
        <f>IF(ISBLANK(Data1!BK67),NA(),Data1!BK67)</f>
        <v>39.799999999999997</v>
      </c>
      <c r="H108" s="53">
        <f t="shared" si="0"/>
        <v>30195</v>
      </c>
      <c r="I108">
        <f t="shared" si="1"/>
        <v>364.81481481481478</v>
      </c>
      <c r="J108" t="e" cm="1">
        <f t="array" ref="J108">IF(ISNA(C108),NA(),C108/INDEX($C$52:$C$282,MATCH(TRUE,INDEX(NOT(ISNA($C$52:$C$282)),0),0))*100)</f>
        <v>#N/A</v>
      </c>
      <c r="K108" t="e" cm="1">
        <f t="array" ref="K108">IF(ISNA(D108),NA(),D108/INDEX($D$52:$D$282,MATCH(TRUE,INDEX(NOT(ISNA($D$52:$D$282)),0),0))*100)</f>
        <v>#N/A</v>
      </c>
      <c r="L108">
        <f t="shared" si="2"/>
        <v>128.49162011173186</v>
      </c>
      <c r="M108">
        <f t="shared" si="3"/>
        <v>337.28813559322026</v>
      </c>
      <c r="O108" s="53">
        <f t="shared" si="4"/>
        <v>30195</v>
      </c>
      <c r="P108" s="24">
        <f t="shared" ref="P108:T108" si="56">IFERROR(IF(OR(ISNA(B108),ISNA(B104)),NA(),B108/B104-1),NA())</f>
        <v>3.9577836411609502E-2</v>
      </c>
      <c r="Q108" s="24" t="e">
        <f t="shared" si="56"/>
        <v>#N/A</v>
      </c>
      <c r="R108" s="24" t="e">
        <f t="shared" si="56"/>
        <v>#N/A</v>
      </c>
      <c r="S108" s="24">
        <f t="shared" si="56"/>
        <v>0.25</v>
      </c>
      <c r="T108" s="24">
        <f t="shared" si="56"/>
        <v>0.42652329749103934</v>
      </c>
    </row>
    <row r="109" spans="1:20" x14ac:dyDescent="0.25">
      <c r="A109" s="53">
        <f>Data1!A68</f>
        <v>30286</v>
      </c>
      <c r="B109">
        <f>IF(ISBLANK(Data1!B68),NA(),Data1!B68)</f>
        <v>39.700000000000003</v>
      </c>
      <c r="C109" t="e">
        <f>IF(ISBLANK(Data1!E68),NA(),Data1!E68)</f>
        <v>#N/A</v>
      </c>
      <c r="D109" t="e">
        <f>IF(ISBLANK(Data1!AJ68),NA(),Data1!AJ68)</f>
        <v>#N/A</v>
      </c>
      <c r="E109">
        <f>IF(ISBLANK(Data1!BJ68),NA(),Data1!BJ68)</f>
        <v>24.8</v>
      </c>
      <c r="F109">
        <f>IF(ISBLANK(Data1!BK68),NA(),Data1!BK68)</f>
        <v>41.7</v>
      </c>
      <c r="H109" s="53">
        <f t="shared" si="0"/>
        <v>30286</v>
      </c>
      <c r="I109">
        <f t="shared" si="1"/>
        <v>367.59259259259261</v>
      </c>
      <c r="J109" t="e" cm="1">
        <f t="array" ref="J109">IF(ISNA(C109),NA(),C109/INDEX($C$52:$C$282,MATCH(TRUE,INDEX(NOT(ISNA($C$52:$C$282)),0),0))*100)</f>
        <v>#N/A</v>
      </c>
      <c r="K109" t="e" cm="1">
        <f t="array" ref="K109">IF(ISNA(D109),NA(),D109/INDEX($D$52:$D$282,MATCH(TRUE,INDEX(NOT(ISNA($D$52:$D$282)),0),0))*100)</f>
        <v>#N/A</v>
      </c>
      <c r="L109">
        <f t="shared" si="2"/>
        <v>138.54748603351956</v>
      </c>
      <c r="M109">
        <f t="shared" si="3"/>
        <v>353.38983050847457</v>
      </c>
      <c r="O109" s="53">
        <f t="shared" si="4"/>
        <v>30286</v>
      </c>
      <c r="P109" s="24">
        <f t="shared" ref="P109:T109" si="57">IFERROR(IF(OR(ISNA(B109),ISNA(B105)),NA(),B109/B105-1),NA())</f>
        <v>7.0080862533692834E-2</v>
      </c>
      <c r="Q109" s="24" t="e">
        <f t="shared" si="57"/>
        <v>#N/A</v>
      </c>
      <c r="R109" s="24" t="e">
        <f t="shared" si="57"/>
        <v>#N/A</v>
      </c>
      <c r="S109" s="24">
        <f t="shared" si="57"/>
        <v>0.31914893617021267</v>
      </c>
      <c r="T109" s="24">
        <f t="shared" si="57"/>
        <v>0.41355932203389845</v>
      </c>
    </row>
    <row r="110" spans="1:20" x14ac:dyDescent="0.25">
      <c r="A110" s="53">
        <f>Data1!A69</f>
        <v>30376</v>
      </c>
      <c r="B110">
        <f>IF(ISBLANK(Data1!B69),NA(),Data1!B69)</f>
        <v>41.2</v>
      </c>
      <c r="C110" t="e">
        <f>IF(ISBLANK(Data1!E69),NA(),Data1!E69)</f>
        <v>#N/A</v>
      </c>
      <c r="D110" t="e">
        <f>IF(ISBLANK(Data1!AJ69),NA(),Data1!AJ69)</f>
        <v>#N/A</v>
      </c>
      <c r="E110">
        <f>IF(ISBLANK(Data1!BJ69),NA(),Data1!BJ69)</f>
        <v>28</v>
      </c>
      <c r="F110">
        <f>IF(ISBLANK(Data1!BK69),NA(),Data1!BK69)</f>
        <v>41.3</v>
      </c>
      <c r="H110" s="53">
        <f t="shared" si="0"/>
        <v>30376</v>
      </c>
      <c r="I110">
        <f t="shared" si="1"/>
        <v>381.48148148148147</v>
      </c>
      <c r="J110" t="e" cm="1">
        <f t="array" ref="J110">IF(ISNA(C110),NA(),C110/INDEX($C$52:$C$282,MATCH(TRUE,INDEX(NOT(ISNA($C$52:$C$282)),0),0))*100)</f>
        <v>#N/A</v>
      </c>
      <c r="K110" t="e" cm="1">
        <f t="array" ref="K110">IF(ISNA(D110),NA(),D110/INDEX($D$52:$D$282,MATCH(TRUE,INDEX(NOT(ISNA($D$52:$D$282)),0),0))*100)</f>
        <v>#N/A</v>
      </c>
      <c r="L110">
        <f t="shared" si="2"/>
        <v>156.42458100558662</v>
      </c>
      <c r="M110">
        <f t="shared" si="3"/>
        <v>349.99999999999994</v>
      </c>
      <c r="O110" s="53">
        <f t="shared" si="4"/>
        <v>30376</v>
      </c>
      <c r="P110" s="24">
        <f t="shared" ref="P110:T110" si="58">IFERROR(IF(OR(ISNA(B110),ISNA(B106)),NA(),B110/B106-1),NA())</f>
        <v>9.2838196286472163E-2</v>
      </c>
      <c r="Q110" s="24" t="e">
        <f t="shared" si="58"/>
        <v>#N/A</v>
      </c>
      <c r="R110" s="24" t="e">
        <f t="shared" si="58"/>
        <v>#N/A</v>
      </c>
      <c r="S110" s="24">
        <f t="shared" si="58"/>
        <v>0.32701421800947861</v>
      </c>
      <c r="T110" s="24">
        <f t="shared" si="58"/>
        <v>0.23283582089552235</v>
      </c>
    </row>
    <row r="111" spans="1:20" x14ac:dyDescent="0.25">
      <c r="A111" s="53">
        <f>Data1!A70</f>
        <v>30468</v>
      </c>
      <c r="B111">
        <f>IF(ISBLANK(Data1!B70),NA(),Data1!B70)</f>
        <v>43.5</v>
      </c>
      <c r="C111" t="e">
        <f>IF(ISBLANK(Data1!E70),NA(),Data1!E70)</f>
        <v>#N/A</v>
      </c>
      <c r="D111" t="e">
        <f>IF(ISBLANK(Data1!AJ70),NA(),Data1!AJ70)</f>
        <v>#N/A</v>
      </c>
      <c r="E111">
        <f>IF(ISBLANK(Data1!BJ70),NA(),Data1!BJ70)</f>
        <v>28.2</v>
      </c>
      <c r="F111">
        <f>IF(ISBLANK(Data1!BK70),NA(),Data1!BK70)</f>
        <v>41.3</v>
      </c>
      <c r="H111" s="53">
        <f t="shared" si="0"/>
        <v>30468</v>
      </c>
      <c r="I111">
        <f t="shared" si="1"/>
        <v>402.77777777777777</v>
      </c>
      <c r="J111" t="e" cm="1">
        <f t="array" ref="J111">IF(ISNA(C111),NA(),C111/INDEX($C$52:$C$282,MATCH(TRUE,INDEX(NOT(ISNA($C$52:$C$282)),0),0))*100)</f>
        <v>#N/A</v>
      </c>
      <c r="K111" t="e" cm="1">
        <f t="array" ref="K111">IF(ISNA(D111),NA(),D111/INDEX($D$52:$D$282,MATCH(TRUE,INDEX(NOT(ISNA($D$52:$D$282)),0),0))*100)</f>
        <v>#N/A</v>
      </c>
      <c r="L111">
        <f t="shared" si="2"/>
        <v>157.54189944134077</v>
      </c>
      <c r="M111">
        <f t="shared" si="3"/>
        <v>349.99999999999994</v>
      </c>
      <c r="O111" s="53">
        <f t="shared" si="4"/>
        <v>30468</v>
      </c>
      <c r="P111" s="24">
        <f t="shared" ref="P111:T111" si="59">IFERROR(IF(OR(ISNA(B111),ISNA(B107)),NA(),B111/B107-1),NA())</f>
        <v>0.11825192802056561</v>
      </c>
      <c r="Q111" s="24" t="e">
        <f t="shared" si="59"/>
        <v>#N/A</v>
      </c>
      <c r="R111" s="24" t="e">
        <f t="shared" si="59"/>
        <v>#N/A</v>
      </c>
      <c r="S111" s="24">
        <f t="shared" si="59"/>
        <v>0.31775700934579443</v>
      </c>
      <c r="T111" s="24">
        <f t="shared" si="59"/>
        <v>0.21828908554572268</v>
      </c>
    </row>
    <row r="112" spans="1:20" x14ac:dyDescent="0.25">
      <c r="A112" s="53">
        <f>Data1!A71</f>
        <v>30560</v>
      </c>
      <c r="B112">
        <f>IF(ISBLANK(Data1!B71),NA(),Data1!B71)</f>
        <v>42.7</v>
      </c>
      <c r="C112" t="e">
        <f>IF(ISBLANK(Data1!E71),NA(),Data1!E71)</f>
        <v>#N/A</v>
      </c>
      <c r="D112" t="e">
        <f>IF(ISBLANK(Data1!AJ71),NA(),Data1!AJ71)</f>
        <v>#N/A</v>
      </c>
      <c r="E112">
        <f>IF(ISBLANK(Data1!BJ71),NA(),Data1!BJ71)</f>
        <v>30.5</v>
      </c>
      <c r="F112">
        <f>IF(ISBLANK(Data1!BK71),NA(),Data1!BK71)</f>
        <v>42.1</v>
      </c>
      <c r="H112" s="53">
        <f t="shared" si="0"/>
        <v>30560</v>
      </c>
      <c r="I112">
        <f t="shared" si="1"/>
        <v>395.37037037037038</v>
      </c>
      <c r="J112" t="e" cm="1">
        <f t="array" ref="J112">IF(ISNA(C112),NA(),C112/INDEX($C$52:$C$282,MATCH(TRUE,INDEX(NOT(ISNA($C$52:$C$282)),0),0))*100)</f>
        <v>#N/A</v>
      </c>
      <c r="K112" t="e" cm="1">
        <f t="array" ref="K112">IF(ISNA(D112),NA(),D112/INDEX($D$52:$D$282,MATCH(TRUE,INDEX(NOT(ISNA($D$52:$D$282)),0),0))*100)</f>
        <v>#N/A</v>
      </c>
      <c r="L112">
        <f t="shared" si="2"/>
        <v>170.39106145251398</v>
      </c>
      <c r="M112">
        <f t="shared" si="3"/>
        <v>356.77966101694915</v>
      </c>
      <c r="O112" s="53">
        <f t="shared" si="4"/>
        <v>30560</v>
      </c>
      <c r="P112" s="24">
        <f t="shared" ref="P112:T112" si="60">IFERROR(IF(OR(ISNA(B112),ISNA(B108)),NA(),B112/B108-1),NA())</f>
        <v>8.3756345177665059E-2</v>
      </c>
      <c r="Q112" s="24" t="e">
        <f t="shared" si="60"/>
        <v>#N/A</v>
      </c>
      <c r="R112" s="24" t="e">
        <f t="shared" si="60"/>
        <v>#N/A</v>
      </c>
      <c r="S112" s="24">
        <f t="shared" si="60"/>
        <v>0.32608695652173902</v>
      </c>
      <c r="T112" s="24">
        <f t="shared" si="60"/>
        <v>5.7788944723618174E-2</v>
      </c>
    </row>
    <row r="113" spans="1:20" x14ac:dyDescent="0.25">
      <c r="A113" s="53">
        <f>Data1!A72</f>
        <v>30651</v>
      </c>
      <c r="B113">
        <f>IF(ISBLANK(Data1!B72),NA(),Data1!B72)</f>
        <v>42</v>
      </c>
      <c r="C113" t="e">
        <f>IF(ISBLANK(Data1!E72),NA(),Data1!E72)</f>
        <v>#N/A</v>
      </c>
      <c r="D113" t="e">
        <f>IF(ISBLANK(Data1!AJ72),NA(),Data1!AJ72)</f>
        <v>#N/A</v>
      </c>
      <c r="E113">
        <f>IF(ISBLANK(Data1!BJ72),NA(),Data1!BJ72)</f>
        <v>31.1</v>
      </c>
      <c r="F113">
        <f>IF(ISBLANK(Data1!BK72),NA(),Data1!BK72)</f>
        <v>43.4</v>
      </c>
      <c r="H113" s="53">
        <f t="shared" si="0"/>
        <v>30651</v>
      </c>
      <c r="I113">
        <f t="shared" si="1"/>
        <v>388.88888888888886</v>
      </c>
      <c r="J113" t="e" cm="1">
        <f t="array" ref="J113">IF(ISNA(C113),NA(),C113/INDEX($C$52:$C$282,MATCH(TRUE,INDEX(NOT(ISNA($C$52:$C$282)),0),0))*100)</f>
        <v>#N/A</v>
      </c>
      <c r="K113" t="e" cm="1">
        <f t="array" ref="K113">IF(ISNA(D113),NA(),D113/INDEX($D$52:$D$282,MATCH(TRUE,INDEX(NOT(ISNA($D$52:$D$282)),0),0))*100)</f>
        <v>#N/A</v>
      </c>
      <c r="L113">
        <f t="shared" si="2"/>
        <v>173.74301675977654</v>
      </c>
      <c r="M113">
        <f t="shared" si="3"/>
        <v>367.79661016949149</v>
      </c>
      <c r="O113" s="53">
        <f t="shared" si="4"/>
        <v>30651</v>
      </c>
      <c r="P113" s="24">
        <f t="shared" ref="P113:T113" si="61">IFERROR(IF(OR(ISNA(B113),ISNA(B109)),NA(),B113/B109-1),NA())</f>
        <v>5.7934508816120722E-2</v>
      </c>
      <c r="Q113" s="24" t="e">
        <f t="shared" si="61"/>
        <v>#N/A</v>
      </c>
      <c r="R113" s="24" t="e">
        <f t="shared" si="61"/>
        <v>#N/A</v>
      </c>
      <c r="S113" s="24">
        <f t="shared" si="61"/>
        <v>0.25403225806451624</v>
      </c>
      <c r="T113" s="24">
        <f t="shared" si="61"/>
        <v>4.0767386091127067E-2</v>
      </c>
    </row>
    <row r="114" spans="1:20" x14ac:dyDescent="0.25">
      <c r="A114" s="53">
        <f>Data1!A73</f>
        <v>30742</v>
      </c>
      <c r="B114">
        <f>IF(ISBLANK(Data1!B73),NA(),Data1!B73)</f>
        <v>42.4</v>
      </c>
      <c r="C114" t="e">
        <f>IF(ISBLANK(Data1!E73),NA(),Data1!E73)</f>
        <v>#N/A</v>
      </c>
      <c r="D114" t="e">
        <f>IF(ISBLANK(Data1!AJ73),NA(),Data1!AJ73)</f>
        <v>#N/A</v>
      </c>
      <c r="E114">
        <f>IF(ISBLANK(Data1!BJ73),NA(),Data1!BJ73)</f>
        <v>33.1</v>
      </c>
      <c r="F114">
        <f>IF(ISBLANK(Data1!BK73),NA(),Data1!BK73)</f>
        <v>43.7</v>
      </c>
      <c r="H114" s="53">
        <f t="shared" si="0"/>
        <v>30742</v>
      </c>
      <c r="I114">
        <f t="shared" si="1"/>
        <v>392.59259259259255</v>
      </c>
      <c r="J114" t="e" cm="1">
        <f t="array" ref="J114">IF(ISNA(C114),NA(),C114/INDEX($C$52:$C$282,MATCH(TRUE,INDEX(NOT(ISNA($C$52:$C$282)),0),0))*100)</f>
        <v>#N/A</v>
      </c>
      <c r="K114" t="e" cm="1">
        <f t="array" ref="K114">IF(ISNA(D114),NA(),D114/INDEX($D$52:$D$282,MATCH(TRUE,INDEX(NOT(ISNA($D$52:$D$282)),0),0))*100)</f>
        <v>#N/A</v>
      </c>
      <c r="L114">
        <f t="shared" si="2"/>
        <v>184.91620111731845</v>
      </c>
      <c r="M114">
        <f t="shared" si="3"/>
        <v>370.33898305084745</v>
      </c>
      <c r="O114" s="53">
        <f t="shared" si="4"/>
        <v>30742</v>
      </c>
      <c r="P114" s="24">
        <f t="shared" ref="P114:T114" si="62">IFERROR(IF(OR(ISNA(B114),ISNA(B110)),NA(),B114/B110-1),NA())</f>
        <v>2.9126213592232997E-2</v>
      </c>
      <c r="Q114" s="24" t="e">
        <f t="shared" si="62"/>
        <v>#N/A</v>
      </c>
      <c r="R114" s="24" t="e">
        <f t="shared" si="62"/>
        <v>#N/A</v>
      </c>
      <c r="S114" s="24">
        <f t="shared" si="62"/>
        <v>0.18214285714285716</v>
      </c>
      <c r="T114" s="24">
        <f t="shared" si="62"/>
        <v>5.8111380145278613E-2</v>
      </c>
    </row>
    <row r="115" spans="1:20" x14ac:dyDescent="0.25">
      <c r="A115" s="53">
        <f>Data1!A74</f>
        <v>30834</v>
      </c>
      <c r="B115">
        <f>IF(ISBLANK(Data1!B74),NA(),Data1!B74)</f>
        <v>42.6</v>
      </c>
      <c r="C115" t="e">
        <f>IF(ISBLANK(Data1!E74),NA(),Data1!E74)</f>
        <v>#N/A</v>
      </c>
      <c r="D115" t="e">
        <f>IF(ISBLANK(Data1!AJ74),NA(),Data1!AJ74)</f>
        <v>#N/A</v>
      </c>
      <c r="E115">
        <f>IF(ISBLANK(Data1!BJ74),NA(),Data1!BJ74)</f>
        <v>33.799999999999997</v>
      </c>
      <c r="F115">
        <f>IF(ISBLANK(Data1!BK74),NA(),Data1!BK74)</f>
        <v>43.7</v>
      </c>
      <c r="H115" s="53">
        <f t="shared" si="0"/>
        <v>30834</v>
      </c>
      <c r="I115">
        <f t="shared" si="1"/>
        <v>394.4444444444444</v>
      </c>
      <c r="J115" t="e" cm="1">
        <f t="array" ref="J115">IF(ISNA(C115),NA(),C115/INDEX($C$52:$C$282,MATCH(TRUE,INDEX(NOT(ISNA($C$52:$C$282)),0),0))*100)</f>
        <v>#N/A</v>
      </c>
      <c r="K115" t="e" cm="1">
        <f t="array" ref="K115">IF(ISNA(D115),NA(),D115/INDEX($D$52:$D$282,MATCH(TRUE,INDEX(NOT(ISNA($D$52:$D$282)),0),0))*100)</f>
        <v>#N/A</v>
      </c>
      <c r="L115">
        <f t="shared" si="2"/>
        <v>188.82681564245809</v>
      </c>
      <c r="M115">
        <f t="shared" si="3"/>
        <v>370.33898305084745</v>
      </c>
      <c r="O115" s="53">
        <f t="shared" si="4"/>
        <v>30834</v>
      </c>
      <c r="P115" s="24">
        <f t="shared" ref="P115:T115" si="63">IFERROR(IF(OR(ISNA(B115),ISNA(B111)),NA(),B115/B111-1),NA())</f>
        <v>-2.0689655172413723E-2</v>
      </c>
      <c r="Q115" s="24" t="e">
        <f t="shared" si="63"/>
        <v>#N/A</v>
      </c>
      <c r="R115" s="24" t="e">
        <f t="shared" si="63"/>
        <v>#N/A</v>
      </c>
      <c r="S115" s="24">
        <f t="shared" si="63"/>
        <v>0.19858156028368779</v>
      </c>
      <c r="T115" s="24">
        <f t="shared" si="63"/>
        <v>5.8111380145278613E-2</v>
      </c>
    </row>
    <row r="116" spans="1:20" x14ac:dyDescent="0.25">
      <c r="A116" s="53">
        <f>Data1!A75</f>
        <v>30926</v>
      </c>
      <c r="B116">
        <f>IF(ISBLANK(Data1!B75),NA(),Data1!B75)</f>
        <v>43.4</v>
      </c>
      <c r="C116" t="e">
        <f>IF(ISBLANK(Data1!E75),NA(),Data1!E75)</f>
        <v>#N/A</v>
      </c>
      <c r="D116" t="e">
        <f>IF(ISBLANK(Data1!AJ75),NA(),Data1!AJ75)</f>
        <v>#N/A</v>
      </c>
      <c r="E116">
        <f>IF(ISBLANK(Data1!BJ75),NA(),Data1!BJ75)</f>
        <v>34</v>
      </c>
      <c r="F116">
        <f>IF(ISBLANK(Data1!BK75),NA(),Data1!BK75)</f>
        <v>44.2</v>
      </c>
      <c r="H116" s="53">
        <f t="shared" si="0"/>
        <v>30926</v>
      </c>
      <c r="I116">
        <f t="shared" si="1"/>
        <v>401.85185185185179</v>
      </c>
      <c r="J116" t="e" cm="1">
        <f t="array" ref="J116">IF(ISNA(C116),NA(),C116/INDEX($C$52:$C$282,MATCH(TRUE,INDEX(NOT(ISNA($C$52:$C$282)),0),0))*100)</f>
        <v>#N/A</v>
      </c>
      <c r="K116" t="e" cm="1">
        <f t="array" ref="K116">IF(ISNA(D116),NA(),D116/INDEX($D$52:$D$282,MATCH(TRUE,INDEX(NOT(ISNA($D$52:$D$282)),0),0))*100)</f>
        <v>#N/A</v>
      </c>
      <c r="L116">
        <f t="shared" si="2"/>
        <v>189.9441340782123</v>
      </c>
      <c r="M116">
        <f t="shared" si="3"/>
        <v>374.57627118644069</v>
      </c>
      <c r="O116" s="53">
        <f t="shared" si="4"/>
        <v>30926</v>
      </c>
      <c r="P116" s="24">
        <f t="shared" ref="P116:T116" si="64">IFERROR(IF(OR(ISNA(B116),ISNA(B112)),NA(),B116/B112-1),NA())</f>
        <v>1.6393442622950616E-2</v>
      </c>
      <c r="Q116" s="24" t="e">
        <f t="shared" si="64"/>
        <v>#N/A</v>
      </c>
      <c r="R116" s="24" t="e">
        <f t="shared" si="64"/>
        <v>#N/A</v>
      </c>
      <c r="S116" s="24">
        <f t="shared" si="64"/>
        <v>0.11475409836065564</v>
      </c>
      <c r="T116" s="24">
        <f t="shared" si="64"/>
        <v>4.9881235154394243E-2</v>
      </c>
    </row>
    <row r="117" spans="1:20" x14ac:dyDescent="0.25">
      <c r="A117" s="53">
        <f>Data1!A76</f>
        <v>31017</v>
      </c>
      <c r="B117">
        <f>IF(ISBLANK(Data1!B76),NA(),Data1!B76)</f>
        <v>43</v>
      </c>
      <c r="C117" t="e">
        <f>IF(ISBLANK(Data1!E76),NA(),Data1!E76)</f>
        <v>#N/A</v>
      </c>
      <c r="D117" t="e">
        <f>IF(ISBLANK(Data1!AJ76),NA(),Data1!AJ76)</f>
        <v>#N/A</v>
      </c>
      <c r="E117">
        <f>IF(ISBLANK(Data1!BJ76),NA(),Data1!BJ76)</f>
        <v>34</v>
      </c>
      <c r="F117">
        <f>IF(ISBLANK(Data1!BK76),NA(),Data1!BK76)</f>
        <v>44.5</v>
      </c>
      <c r="H117" s="53">
        <f t="shared" ref="H117:H180" si="65">A117</f>
        <v>31017</v>
      </c>
      <c r="I117">
        <f t="shared" ref="I117:I180" si="66">IF(ISNA(B117),NA(),B117/$B$58*100)</f>
        <v>398.14814814814815</v>
      </c>
      <c r="J117" t="e" cm="1">
        <f t="array" ref="J117">IF(ISNA(C117),NA(),C117/INDEX($C$52:$C$282,MATCH(TRUE,INDEX(NOT(ISNA($C$52:$C$282)),0),0))*100)</f>
        <v>#N/A</v>
      </c>
      <c r="K117" t="e" cm="1">
        <f t="array" ref="K117">IF(ISNA(D117),NA(),D117/INDEX($D$52:$D$282,MATCH(TRUE,INDEX(NOT(ISNA($D$52:$D$282)),0),0))*100)</f>
        <v>#N/A</v>
      </c>
      <c r="L117">
        <f t="shared" ref="L117:L180" si="67">IF(ISNA(E117),NA(),E117/$E$58*100)</f>
        <v>189.9441340782123</v>
      </c>
      <c r="M117">
        <f t="shared" ref="M117:M180" si="68">IF(ISNA(F117),NA(),F117/$F$58*100)</f>
        <v>377.11864406779659</v>
      </c>
      <c r="O117" s="53">
        <f t="shared" si="4"/>
        <v>31017</v>
      </c>
      <c r="P117" s="24">
        <f t="shared" ref="P117:T117" si="69">IFERROR(IF(OR(ISNA(B117),ISNA(B113)),NA(),B117/B113-1),NA())</f>
        <v>2.3809523809523725E-2</v>
      </c>
      <c r="Q117" s="24" t="e">
        <f t="shared" si="69"/>
        <v>#N/A</v>
      </c>
      <c r="R117" s="24" t="e">
        <f t="shared" si="69"/>
        <v>#N/A</v>
      </c>
      <c r="S117" s="24">
        <f t="shared" si="69"/>
        <v>9.3247588424437255E-2</v>
      </c>
      <c r="T117" s="24">
        <f t="shared" si="69"/>
        <v>2.5345622119815614E-2</v>
      </c>
    </row>
    <row r="118" spans="1:20" x14ac:dyDescent="0.25">
      <c r="A118" s="53">
        <f>Data1!A77</f>
        <v>31107</v>
      </c>
      <c r="B118">
        <f>IF(ISBLANK(Data1!B77),NA(),Data1!B77)</f>
        <v>44.2</v>
      </c>
      <c r="C118" t="e">
        <f>IF(ISBLANK(Data1!E77),NA(),Data1!E77)</f>
        <v>#N/A</v>
      </c>
      <c r="D118" t="e">
        <f>IF(ISBLANK(Data1!AJ77),NA(),Data1!AJ77)</f>
        <v>#N/A</v>
      </c>
      <c r="E118">
        <f>IF(ISBLANK(Data1!BJ77),NA(),Data1!BJ77)</f>
        <v>35</v>
      </c>
      <c r="F118">
        <f>IF(ISBLANK(Data1!BK77),NA(),Data1!BK77)</f>
        <v>44.7</v>
      </c>
      <c r="H118" s="53">
        <f t="shared" si="65"/>
        <v>31107</v>
      </c>
      <c r="I118">
        <f t="shared" si="66"/>
        <v>409.25925925925924</v>
      </c>
      <c r="J118" t="e" cm="1">
        <f t="array" ref="J118">IF(ISNA(C118),NA(),C118/INDEX($C$52:$C$282,MATCH(TRUE,INDEX(NOT(ISNA($C$52:$C$282)),0),0))*100)</f>
        <v>#N/A</v>
      </c>
      <c r="K118" t="e" cm="1">
        <f t="array" ref="K118">IF(ISNA(D118),NA(),D118/INDEX($D$52:$D$282,MATCH(TRUE,INDEX(NOT(ISNA($D$52:$D$282)),0),0))*100)</f>
        <v>#N/A</v>
      </c>
      <c r="L118">
        <f t="shared" si="67"/>
        <v>195.53072625698326</v>
      </c>
      <c r="M118">
        <f t="shared" si="68"/>
        <v>378.81355932203394</v>
      </c>
      <c r="O118" s="53">
        <f t="shared" si="4"/>
        <v>31107</v>
      </c>
      <c r="P118" s="24">
        <f t="shared" ref="P118:T118" si="70">IFERROR(IF(OR(ISNA(B118),ISNA(B114)),NA(),B118/B114-1),NA())</f>
        <v>4.2452830188679291E-2</v>
      </c>
      <c r="Q118" s="24" t="e">
        <f t="shared" si="70"/>
        <v>#N/A</v>
      </c>
      <c r="R118" s="24" t="e">
        <f t="shared" si="70"/>
        <v>#N/A</v>
      </c>
      <c r="S118" s="24">
        <f t="shared" si="70"/>
        <v>5.7401812688821607E-2</v>
      </c>
      <c r="T118" s="24">
        <f t="shared" si="70"/>
        <v>2.2883295194507935E-2</v>
      </c>
    </row>
    <row r="119" spans="1:20" x14ac:dyDescent="0.25">
      <c r="A119" s="53">
        <f>Data1!A78</f>
        <v>31199</v>
      </c>
      <c r="B119">
        <f>IF(ISBLANK(Data1!B78),NA(),Data1!B78)</f>
        <v>47.7</v>
      </c>
      <c r="C119" t="e">
        <f>IF(ISBLANK(Data1!E78),NA(),Data1!E78)</f>
        <v>#N/A</v>
      </c>
      <c r="D119" t="e">
        <f>IF(ISBLANK(Data1!AJ78),NA(),Data1!AJ78)</f>
        <v>#N/A</v>
      </c>
      <c r="E119">
        <f>IF(ISBLANK(Data1!BJ78),NA(),Data1!BJ78)</f>
        <v>35.4</v>
      </c>
      <c r="F119">
        <f>IF(ISBLANK(Data1!BK78),NA(),Data1!BK78)</f>
        <v>44.8</v>
      </c>
      <c r="H119" s="53">
        <f t="shared" si="65"/>
        <v>31199</v>
      </c>
      <c r="I119">
        <f t="shared" si="66"/>
        <v>441.66666666666669</v>
      </c>
      <c r="J119" t="e" cm="1">
        <f t="array" ref="J119">IF(ISNA(C119),NA(),C119/INDEX($C$52:$C$282,MATCH(TRUE,INDEX(NOT(ISNA($C$52:$C$282)),0),0))*100)</f>
        <v>#N/A</v>
      </c>
      <c r="K119" t="e" cm="1">
        <f t="array" ref="K119">IF(ISNA(D119),NA(),D119/INDEX($D$52:$D$282,MATCH(TRUE,INDEX(NOT(ISNA($D$52:$D$282)),0),0))*100)</f>
        <v>#N/A</v>
      </c>
      <c r="L119">
        <f t="shared" si="67"/>
        <v>197.76536312849163</v>
      </c>
      <c r="M119">
        <f t="shared" si="68"/>
        <v>379.6610169491525</v>
      </c>
      <c r="O119" s="53">
        <f t="shared" si="4"/>
        <v>31199</v>
      </c>
      <c r="P119" s="24">
        <f t="shared" ref="P119:T119" si="71">IFERROR(IF(OR(ISNA(B119),ISNA(B115)),NA(),B119/B115-1),NA())</f>
        <v>0.11971830985915499</v>
      </c>
      <c r="Q119" s="24" t="e">
        <f t="shared" si="71"/>
        <v>#N/A</v>
      </c>
      <c r="R119" s="24" t="e">
        <f t="shared" si="71"/>
        <v>#N/A</v>
      </c>
      <c r="S119" s="24">
        <f t="shared" si="71"/>
        <v>4.7337278106508895E-2</v>
      </c>
      <c r="T119" s="24">
        <f t="shared" si="71"/>
        <v>2.5171624713958618E-2</v>
      </c>
    </row>
    <row r="120" spans="1:20" x14ac:dyDescent="0.25">
      <c r="A120" s="53">
        <f>Data1!A79</f>
        <v>31291</v>
      </c>
      <c r="B120">
        <f>IF(ISBLANK(Data1!B79),NA(),Data1!B79)</f>
        <v>49.1</v>
      </c>
      <c r="C120" t="e">
        <f>IF(ISBLANK(Data1!E79),NA(),Data1!E79)</f>
        <v>#N/A</v>
      </c>
      <c r="D120" t="e">
        <f>IF(ISBLANK(Data1!AJ79),NA(),Data1!AJ79)</f>
        <v>#N/A</v>
      </c>
      <c r="E120">
        <f>IF(ISBLANK(Data1!BJ79),NA(),Data1!BJ79)</f>
        <v>36.200000000000003</v>
      </c>
      <c r="F120">
        <f>IF(ISBLANK(Data1!BK79),NA(),Data1!BK79)</f>
        <v>46</v>
      </c>
      <c r="H120" s="53">
        <f t="shared" si="65"/>
        <v>31291</v>
      </c>
      <c r="I120">
        <f t="shared" si="66"/>
        <v>454.62962962962956</v>
      </c>
      <c r="J120" t="e" cm="1">
        <f t="array" ref="J120">IF(ISNA(C120),NA(),C120/INDEX($C$52:$C$282,MATCH(TRUE,INDEX(NOT(ISNA($C$52:$C$282)),0),0))*100)</f>
        <v>#N/A</v>
      </c>
      <c r="K120" t="e" cm="1">
        <f t="array" ref="K120">IF(ISNA(D120),NA(),D120/INDEX($D$52:$D$282,MATCH(TRUE,INDEX(NOT(ISNA($D$52:$D$282)),0),0))*100)</f>
        <v>#N/A</v>
      </c>
      <c r="L120">
        <f t="shared" si="67"/>
        <v>202.2346368715084</v>
      </c>
      <c r="M120">
        <f t="shared" si="68"/>
        <v>389.83050847457628</v>
      </c>
      <c r="O120" s="53">
        <f t="shared" si="4"/>
        <v>31291</v>
      </c>
      <c r="P120" s="24">
        <f t="shared" ref="P120:T120" si="72">IFERROR(IF(OR(ISNA(B120),ISNA(B116)),NA(),B120/B116-1),NA())</f>
        <v>0.13133640552995396</v>
      </c>
      <c r="Q120" s="24" t="e">
        <f t="shared" si="72"/>
        <v>#N/A</v>
      </c>
      <c r="R120" s="24" t="e">
        <f t="shared" si="72"/>
        <v>#N/A</v>
      </c>
      <c r="S120" s="24">
        <f t="shared" si="72"/>
        <v>6.4705882352941169E-2</v>
      </c>
      <c r="T120" s="24">
        <f t="shared" si="72"/>
        <v>4.0723981900452344E-2</v>
      </c>
    </row>
    <row r="121" spans="1:20" x14ac:dyDescent="0.25">
      <c r="A121" s="53">
        <f>Data1!A80</f>
        <v>31382</v>
      </c>
      <c r="B121">
        <f>IF(ISBLANK(Data1!B80),NA(),Data1!B80)</f>
        <v>48.8</v>
      </c>
      <c r="C121" t="e">
        <f>IF(ISBLANK(Data1!E80),NA(),Data1!E80)</f>
        <v>#N/A</v>
      </c>
      <c r="D121" t="e">
        <f>IF(ISBLANK(Data1!AJ80),NA(),Data1!AJ80)</f>
        <v>#N/A</v>
      </c>
      <c r="E121">
        <f>IF(ISBLANK(Data1!BJ80),NA(),Data1!BJ80)</f>
        <v>36.799999999999997</v>
      </c>
      <c r="F121">
        <f>IF(ISBLANK(Data1!BK80),NA(),Data1!BK80)</f>
        <v>45.4</v>
      </c>
      <c r="H121" s="53">
        <f t="shared" si="65"/>
        <v>31382</v>
      </c>
      <c r="I121">
        <f t="shared" si="66"/>
        <v>451.85185185185179</v>
      </c>
      <c r="J121" t="e" cm="1">
        <f t="array" ref="J121">IF(ISNA(C121),NA(),C121/INDEX($C$52:$C$282,MATCH(TRUE,INDEX(NOT(ISNA($C$52:$C$282)),0),0))*100)</f>
        <v>#N/A</v>
      </c>
      <c r="K121" t="e" cm="1">
        <f t="array" ref="K121">IF(ISNA(D121),NA(),D121/INDEX($D$52:$D$282,MATCH(TRUE,INDEX(NOT(ISNA($D$52:$D$282)),0),0))*100)</f>
        <v>#N/A</v>
      </c>
      <c r="L121">
        <f t="shared" si="67"/>
        <v>205.58659217877096</v>
      </c>
      <c r="M121">
        <f t="shared" si="68"/>
        <v>384.74576271186436</v>
      </c>
      <c r="O121" s="53">
        <f t="shared" ref="O121:O184" si="73">A121</f>
        <v>31382</v>
      </c>
      <c r="P121" s="24">
        <f t="shared" ref="P121:T121" si="74">IFERROR(IF(OR(ISNA(B121),ISNA(B117)),NA(),B121/B117-1),NA())</f>
        <v>0.13488372093023249</v>
      </c>
      <c r="Q121" s="24" t="e">
        <f t="shared" si="74"/>
        <v>#N/A</v>
      </c>
      <c r="R121" s="24" t="e">
        <f t="shared" si="74"/>
        <v>#N/A</v>
      </c>
      <c r="S121" s="24">
        <f t="shared" si="74"/>
        <v>8.2352941176470518E-2</v>
      </c>
      <c r="T121" s="24">
        <f t="shared" si="74"/>
        <v>2.0224719101123556E-2</v>
      </c>
    </row>
    <row r="122" spans="1:20" x14ac:dyDescent="0.25">
      <c r="A122" s="53">
        <f>Data1!A81</f>
        <v>31472</v>
      </c>
      <c r="B122">
        <f>IF(ISBLANK(Data1!B81),NA(),Data1!B81)</f>
        <v>47.3</v>
      </c>
      <c r="C122" t="e">
        <f>IF(ISBLANK(Data1!E81),NA(),Data1!E81)</f>
        <v>#N/A</v>
      </c>
      <c r="D122" t="e">
        <f>IF(ISBLANK(Data1!AJ81),NA(),Data1!AJ81)</f>
        <v>#N/A</v>
      </c>
      <c r="E122">
        <f>IF(ISBLANK(Data1!BJ81),NA(),Data1!BJ81)</f>
        <v>37.1</v>
      </c>
      <c r="F122">
        <f>IF(ISBLANK(Data1!BK81),NA(),Data1!BK81)</f>
        <v>45.6</v>
      </c>
      <c r="H122" s="53">
        <f t="shared" si="65"/>
        <v>31472</v>
      </c>
      <c r="I122">
        <f t="shared" si="66"/>
        <v>437.96296296296288</v>
      </c>
      <c r="J122" t="e" cm="1">
        <f t="array" ref="J122">IF(ISNA(C122),NA(),C122/INDEX($C$52:$C$282,MATCH(TRUE,INDEX(NOT(ISNA($C$52:$C$282)),0),0))*100)</f>
        <v>#N/A</v>
      </c>
      <c r="K122" t="e" cm="1">
        <f t="array" ref="K122">IF(ISNA(D122),NA(),D122/INDEX($D$52:$D$282,MATCH(TRUE,INDEX(NOT(ISNA($D$52:$D$282)),0),0))*100)</f>
        <v>#N/A</v>
      </c>
      <c r="L122">
        <f t="shared" si="67"/>
        <v>207.26256983240225</v>
      </c>
      <c r="M122">
        <f t="shared" si="68"/>
        <v>386.4406779661017</v>
      </c>
      <c r="O122" s="53">
        <f t="shared" si="73"/>
        <v>31472</v>
      </c>
      <c r="P122" s="24">
        <f t="shared" ref="P122:T122" si="75">IFERROR(IF(OR(ISNA(B122),ISNA(B118)),NA(),B122/B118-1),NA())</f>
        <v>7.0135746606334815E-2</v>
      </c>
      <c r="Q122" s="24" t="e">
        <f t="shared" si="75"/>
        <v>#N/A</v>
      </c>
      <c r="R122" s="24" t="e">
        <f t="shared" si="75"/>
        <v>#N/A</v>
      </c>
      <c r="S122" s="24">
        <f t="shared" si="75"/>
        <v>6.0000000000000053E-2</v>
      </c>
      <c r="T122" s="24">
        <f t="shared" si="75"/>
        <v>2.0134228187919323E-2</v>
      </c>
    </row>
    <row r="123" spans="1:20" x14ac:dyDescent="0.25">
      <c r="A123" s="53">
        <f>Data1!A82</f>
        <v>31564</v>
      </c>
      <c r="B123">
        <f>IF(ISBLANK(Data1!B82),NA(),Data1!B82)</f>
        <v>42.2</v>
      </c>
      <c r="C123" t="e">
        <f>IF(ISBLANK(Data1!E82),NA(),Data1!E82)</f>
        <v>#N/A</v>
      </c>
      <c r="D123" t="e">
        <f>IF(ISBLANK(Data1!AJ82),NA(),Data1!AJ82)</f>
        <v>#N/A</v>
      </c>
      <c r="E123">
        <f>IF(ISBLANK(Data1!BJ82),NA(),Data1!BJ82)</f>
        <v>38.200000000000003</v>
      </c>
      <c r="F123">
        <f>IF(ISBLANK(Data1!BK82),NA(),Data1!BK82)</f>
        <v>46.3</v>
      </c>
      <c r="H123" s="53">
        <f t="shared" si="65"/>
        <v>31564</v>
      </c>
      <c r="I123">
        <f t="shared" si="66"/>
        <v>390.74074074074076</v>
      </c>
      <c r="J123" t="e" cm="1">
        <f t="array" ref="J123">IF(ISNA(C123),NA(),C123/INDEX($C$52:$C$282,MATCH(TRUE,INDEX(NOT(ISNA($C$52:$C$282)),0),0))*100)</f>
        <v>#N/A</v>
      </c>
      <c r="K123" t="e" cm="1">
        <f t="array" ref="K123">IF(ISNA(D123),NA(),D123/INDEX($D$52:$D$282,MATCH(TRUE,INDEX(NOT(ISNA($D$52:$D$282)),0),0))*100)</f>
        <v>#N/A</v>
      </c>
      <c r="L123">
        <f t="shared" si="67"/>
        <v>213.40782122905031</v>
      </c>
      <c r="M123">
        <f t="shared" si="68"/>
        <v>392.37288135593212</v>
      </c>
      <c r="O123" s="53">
        <f t="shared" si="73"/>
        <v>31564</v>
      </c>
      <c r="P123" s="24">
        <f t="shared" ref="P123:T123" si="76">IFERROR(IF(OR(ISNA(B123),ISNA(B119)),NA(),B123/B119-1),NA())</f>
        <v>-0.11530398322851154</v>
      </c>
      <c r="Q123" s="24" t="e">
        <f t="shared" si="76"/>
        <v>#N/A</v>
      </c>
      <c r="R123" s="24" t="e">
        <f t="shared" si="76"/>
        <v>#N/A</v>
      </c>
      <c r="S123" s="24">
        <f t="shared" si="76"/>
        <v>7.9096045197740272E-2</v>
      </c>
      <c r="T123" s="24">
        <f t="shared" si="76"/>
        <v>3.3482142857142794E-2</v>
      </c>
    </row>
    <row r="124" spans="1:20" x14ac:dyDescent="0.25">
      <c r="A124" s="53">
        <f>Data1!A83</f>
        <v>31656</v>
      </c>
      <c r="B124">
        <f>IF(ISBLANK(Data1!B83),NA(),Data1!B83)</f>
        <v>44.8</v>
      </c>
      <c r="C124" t="e">
        <f>IF(ISBLANK(Data1!E83),NA(),Data1!E83)</f>
        <v>#N/A</v>
      </c>
      <c r="D124" t="e">
        <f>IF(ISBLANK(Data1!AJ83),NA(),Data1!AJ83)</f>
        <v>#N/A</v>
      </c>
      <c r="E124">
        <f>IF(ISBLANK(Data1!BJ83),NA(),Data1!BJ83)</f>
        <v>39.299999999999997</v>
      </c>
      <c r="F124">
        <f>IF(ISBLANK(Data1!BK83),NA(),Data1!BK83)</f>
        <v>47.5</v>
      </c>
      <c r="H124" s="53">
        <f t="shared" si="65"/>
        <v>31656</v>
      </c>
      <c r="I124">
        <f t="shared" si="66"/>
        <v>414.81481481481478</v>
      </c>
      <c r="J124" t="e" cm="1">
        <f t="array" ref="J124">IF(ISNA(C124),NA(),C124/INDEX($C$52:$C$282,MATCH(TRUE,INDEX(NOT(ISNA($C$52:$C$282)),0),0))*100)</f>
        <v>#N/A</v>
      </c>
      <c r="K124" t="e" cm="1">
        <f t="array" ref="K124">IF(ISNA(D124),NA(),D124/INDEX($D$52:$D$282,MATCH(TRUE,INDEX(NOT(ISNA($D$52:$D$282)),0),0))*100)</f>
        <v>#N/A</v>
      </c>
      <c r="L124">
        <f t="shared" si="67"/>
        <v>219.55307262569832</v>
      </c>
      <c r="M124">
        <f t="shared" si="68"/>
        <v>402.5423728813559</v>
      </c>
      <c r="O124" s="53">
        <f t="shared" si="73"/>
        <v>31656</v>
      </c>
      <c r="P124" s="24">
        <f t="shared" ref="P124:T124" si="77">IFERROR(IF(OR(ISNA(B124),ISNA(B120)),NA(),B124/B120-1),NA())</f>
        <v>-8.7576374745417573E-2</v>
      </c>
      <c r="Q124" s="24" t="e">
        <f t="shared" si="77"/>
        <v>#N/A</v>
      </c>
      <c r="R124" s="24" t="e">
        <f t="shared" si="77"/>
        <v>#N/A</v>
      </c>
      <c r="S124" s="24">
        <f t="shared" si="77"/>
        <v>8.5635359116021936E-2</v>
      </c>
      <c r="T124" s="24">
        <f t="shared" si="77"/>
        <v>3.2608695652173836E-2</v>
      </c>
    </row>
    <row r="125" spans="1:20" x14ac:dyDescent="0.25">
      <c r="A125" s="53">
        <f>Data1!A84</f>
        <v>31747</v>
      </c>
      <c r="B125">
        <f>IF(ISBLANK(Data1!B84),NA(),Data1!B84)</f>
        <v>47</v>
      </c>
      <c r="C125" t="e">
        <f>IF(ISBLANK(Data1!E84),NA(),Data1!E84)</f>
        <v>#N/A</v>
      </c>
      <c r="D125" t="e">
        <f>IF(ISBLANK(Data1!AJ84),NA(),Data1!AJ84)</f>
        <v>#N/A</v>
      </c>
      <c r="E125">
        <f>IF(ISBLANK(Data1!BJ84),NA(),Data1!BJ84)</f>
        <v>40</v>
      </c>
      <c r="F125">
        <f>IF(ISBLANK(Data1!BK84),NA(),Data1!BK84)</f>
        <v>47.7</v>
      </c>
      <c r="H125" s="53">
        <f t="shared" si="65"/>
        <v>31747</v>
      </c>
      <c r="I125">
        <f t="shared" si="66"/>
        <v>435.18518518518511</v>
      </c>
      <c r="J125" t="e" cm="1">
        <f t="array" ref="J125">IF(ISNA(C125),NA(),C125/INDEX($C$52:$C$282,MATCH(TRUE,INDEX(NOT(ISNA($C$52:$C$282)),0),0))*100)</f>
        <v>#N/A</v>
      </c>
      <c r="K125" t="e" cm="1">
        <f t="array" ref="K125">IF(ISNA(D125),NA(),D125/INDEX($D$52:$D$282,MATCH(TRUE,INDEX(NOT(ISNA($D$52:$D$282)),0),0))*100)</f>
        <v>#N/A</v>
      </c>
      <c r="L125">
        <f t="shared" si="67"/>
        <v>223.46368715083801</v>
      </c>
      <c r="M125">
        <f t="shared" si="68"/>
        <v>404.23728813559325</v>
      </c>
      <c r="O125" s="53">
        <f t="shared" si="73"/>
        <v>31747</v>
      </c>
      <c r="P125" s="24">
        <f t="shared" ref="P125:T125" si="78">IFERROR(IF(OR(ISNA(B125),ISNA(B121)),NA(),B125/B121-1),NA())</f>
        <v>-3.688524590163933E-2</v>
      </c>
      <c r="Q125" s="24" t="e">
        <f t="shared" si="78"/>
        <v>#N/A</v>
      </c>
      <c r="R125" s="24" t="e">
        <f t="shared" si="78"/>
        <v>#N/A</v>
      </c>
      <c r="S125" s="24">
        <f t="shared" si="78"/>
        <v>8.6956521739130599E-2</v>
      </c>
      <c r="T125" s="24">
        <f t="shared" si="78"/>
        <v>5.0660792951541911E-2</v>
      </c>
    </row>
    <row r="126" spans="1:20" x14ac:dyDescent="0.25">
      <c r="A126" s="53">
        <f>Data1!A85</f>
        <v>31837</v>
      </c>
      <c r="B126">
        <f>IF(ISBLANK(Data1!B85),NA(),Data1!B85)</f>
        <v>48.1</v>
      </c>
      <c r="C126" t="e">
        <f>IF(ISBLANK(Data1!E85),NA(),Data1!E85)</f>
        <v>#N/A</v>
      </c>
      <c r="D126" t="e">
        <f>IF(ISBLANK(Data1!AJ85),NA(),Data1!AJ85)</f>
        <v>#N/A</v>
      </c>
      <c r="E126">
        <f>IF(ISBLANK(Data1!BJ85),NA(),Data1!BJ85)</f>
        <v>40.4</v>
      </c>
      <c r="F126">
        <f>IF(ISBLANK(Data1!BK85),NA(),Data1!BK85)</f>
        <v>47.9</v>
      </c>
      <c r="H126" s="53">
        <f t="shared" si="65"/>
        <v>31837</v>
      </c>
      <c r="I126">
        <f t="shared" si="66"/>
        <v>445.37037037037032</v>
      </c>
      <c r="J126" t="e" cm="1">
        <f t="array" ref="J126">IF(ISNA(C126),NA(),C126/INDEX($C$52:$C$282,MATCH(TRUE,INDEX(NOT(ISNA($C$52:$C$282)),0),0))*100)</f>
        <v>#N/A</v>
      </c>
      <c r="K126" t="e" cm="1">
        <f t="array" ref="K126">IF(ISNA(D126),NA(),D126/INDEX($D$52:$D$282,MATCH(TRUE,INDEX(NOT(ISNA($D$52:$D$282)),0),0))*100)</f>
        <v>#N/A</v>
      </c>
      <c r="L126">
        <f t="shared" si="67"/>
        <v>225.69832402234638</v>
      </c>
      <c r="M126">
        <f t="shared" si="68"/>
        <v>405.93220338983042</v>
      </c>
      <c r="O126" s="53">
        <f t="shared" si="73"/>
        <v>31837</v>
      </c>
      <c r="P126" s="24">
        <f t="shared" ref="P126:T126" si="79">IFERROR(IF(OR(ISNA(B126),ISNA(B122)),NA(),B126/B122-1),NA())</f>
        <v>1.6913319238900826E-2</v>
      </c>
      <c r="Q126" s="24" t="e">
        <f t="shared" si="79"/>
        <v>#N/A</v>
      </c>
      <c r="R126" s="24" t="e">
        <f t="shared" si="79"/>
        <v>#N/A</v>
      </c>
      <c r="S126" s="24">
        <f t="shared" si="79"/>
        <v>8.8948787061994494E-2</v>
      </c>
      <c r="T126" s="24">
        <f t="shared" si="79"/>
        <v>5.0438596491227949E-2</v>
      </c>
    </row>
    <row r="127" spans="1:20" x14ac:dyDescent="0.25">
      <c r="A127" s="53">
        <f>Data1!A86</f>
        <v>31929</v>
      </c>
      <c r="B127">
        <f>IF(ISBLANK(Data1!B86),NA(),Data1!B86)</f>
        <v>48.3</v>
      </c>
      <c r="C127" t="e">
        <f>IF(ISBLANK(Data1!E86),NA(),Data1!E86)</f>
        <v>#N/A</v>
      </c>
      <c r="D127" t="e">
        <f>IF(ISBLANK(Data1!AJ86),NA(),Data1!AJ86)</f>
        <v>#N/A</v>
      </c>
      <c r="E127">
        <f>IF(ISBLANK(Data1!BJ86),NA(),Data1!BJ86)</f>
        <v>43.7</v>
      </c>
      <c r="F127">
        <f>IF(ISBLANK(Data1!BK86),NA(),Data1!BK86)</f>
        <v>48.2</v>
      </c>
      <c r="H127" s="53">
        <f t="shared" si="65"/>
        <v>31929</v>
      </c>
      <c r="I127">
        <f t="shared" si="66"/>
        <v>447.22222222222217</v>
      </c>
      <c r="J127" t="e" cm="1">
        <f t="array" ref="J127">IF(ISNA(C127),NA(),C127/INDEX($C$52:$C$282,MATCH(TRUE,INDEX(NOT(ISNA($C$52:$C$282)),0),0))*100)</f>
        <v>#N/A</v>
      </c>
      <c r="K127" t="e" cm="1">
        <f t="array" ref="K127">IF(ISNA(D127),NA(),D127/INDEX($D$52:$D$282,MATCH(TRUE,INDEX(NOT(ISNA($D$52:$D$282)),0),0))*100)</f>
        <v>#N/A</v>
      </c>
      <c r="L127">
        <f t="shared" si="67"/>
        <v>244.13407821229055</v>
      </c>
      <c r="M127">
        <f t="shared" si="68"/>
        <v>408.47457627118644</v>
      </c>
      <c r="O127" s="53">
        <f t="shared" si="73"/>
        <v>31929</v>
      </c>
      <c r="P127" s="24">
        <f t="shared" ref="P127:T127" si="80">IFERROR(IF(OR(ISNA(B127),ISNA(B123)),NA(),B127/B123-1),NA())</f>
        <v>0.14454976303317513</v>
      </c>
      <c r="Q127" s="24" t="e">
        <f t="shared" si="80"/>
        <v>#N/A</v>
      </c>
      <c r="R127" s="24" t="e">
        <f t="shared" si="80"/>
        <v>#N/A</v>
      </c>
      <c r="S127" s="24">
        <f t="shared" si="80"/>
        <v>0.14397905759162311</v>
      </c>
      <c r="T127" s="24">
        <f t="shared" si="80"/>
        <v>4.103671706263512E-2</v>
      </c>
    </row>
    <row r="128" spans="1:20" x14ac:dyDescent="0.25">
      <c r="A128" s="53">
        <f>Data1!A87</f>
        <v>32021</v>
      </c>
      <c r="B128">
        <f>IF(ISBLANK(Data1!B87),NA(),Data1!B87)</f>
        <v>48.8</v>
      </c>
      <c r="C128">
        <f>IF(ISBLANK(Data1!E87),NA(),Data1!E87)</f>
        <v>52.5</v>
      </c>
      <c r="D128" t="e">
        <f>IF(ISBLANK(Data1!AJ87),NA(),Data1!AJ87)</f>
        <v>#N/A</v>
      </c>
      <c r="E128">
        <f>IF(ISBLANK(Data1!BJ87),NA(),Data1!BJ87)</f>
        <v>42.9</v>
      </c>
      <c r="F128">
        <f>IF(ISBLANK(Data1!BK87),NA(),Data1!BK87)</f>
        <v>49.8</v>
      </c>
      <c r="H128" s="53">
        <f t="shared" si="65"/>
        <v>32021</v>
      </c>
      <c r="I128">
        <f t="shared" si="66"/>
        <v>451.85185185185179</v>
      </c>
      <c r="J128" cm="1">
        <f t="array" ref="J128">IF(ISNA(C128),NA(),C128/INDEX($C$52:$C$282,MATCH(TRUE,INDEX(NOT(ISNA($C$52:$C$282)),0),0))*100)</f>
        <v>100</v>
      </c>
      <c r="K128" t="e" cm="1">
        <f t="array" ref="K128">IF(ISNA(D128),NA(),D128/INDEX($D$52:$D$282,MATCH(TRUE,INDEX(NOT(ISNA($D$52:$D$282)),0),0))*100)</f>
        <v>#N/A</v>
      </c>
      <c r="L128">
        <f t="shared" si="67"/>
        <v>239.66480446927375</v>
      </c>
      <c r="M128">
        <f t="shared" si="68"/>
        <v>422.03389830508468</v>
      </c>
      <c r="O128" s="53">
        <f t="shared" si="73"/>
        <v>32021</v>
      </c>
      <c r="P128" s="24">
        <f t="shared" ref="P128:T128" si="81">IFERROR(IF(OR(ISNA(B128),ISNA(B124)),NA(),B128/B124-1),NA())</f>
        <v>8.9285714285714191E-2</v>
      </c>
      <c r="Q128" s="24" t="e">
        <f t="shared" si="81"/>
        <v>#N/A</v>
      </c>
      <c r="R128" s="24" t="e">
        <f t="shared" si="81"/>
        <v>#N/A</v>
      </c>
      <c r="S128" s="24">
        <f t="shared" si="81"/>
        <v>9.1603053435114656E-2</v>
      </c>
      <c r="T128" s="24">
        <f t="shared" si="81"/>
        <v>4.842105263157892E-2</v>
      </c>
    </row>
    <row r="129" spans="1:20" x14ac:dyDescent="0.25">
      <c r="A129" s="53">
        <f>Data1!A88</f>
        <v>32112</v>
      </c>
      <c r="B129">
        <f>IF(ISBLANK(Data1!B88),NA(),Data1!B88)</f>
        <v>49.1</v>
      </c>
      <c r="C129">
        <f>IF(ISBLANK(Data1!E88),NA(),Data1!E88)</f>
        <v>53.1</v>
      </c>
      <c r="D129" t="e">
        <f>IF(ISBLANK(Data1!AJ88),NA(),Data1!AJ88)</f>
        <v>#N/A</v>
      </c>
      <c r="E129">
        <f>IF(ISBLANK(Data1!BJ88),NA(),Data1!BJ88)</f>
        <v>44.7</v>
      </c>
      <c r="F129">
        <f>IF(ISBLANK(Data1!BK88),NA(),Data1!BK88)</f>
        <v>49.9</v>
      </c>
      <c r="H129" s="53">
        <f t="shared" si="65"/>
        <v>32112</v>
      </c>
      <c r="I129">
        <f t="shared" si="66"/>
        <v>454.62962962962956</v>
      </c>
      <c r="J129" cm="1">
        <f t="array" ref="J129">IF(ISNA(C129),NA(),C129/INDEX($C$52:$C$282,MATCH(TRUE,INDEX(NOT(ISNA($C$52:$C$282)),0),0))*100)</f>
        <v>101.14285714285715</v>
      </c>
      <c r="K129" t="e" cm="1">
        <f t="array" ref="K129">IF(ISNA(D129),NA(),D129/INDEX($D$52:$D$282,MATCH(TRUE,INDEX(NOT(ISNA($D$52:$D$282)),0),0))*100)</f>
        <v>#N/A</v>
      </c>
      <c r="L129">
        <f t="shared" si="67"/>
        <v>249.7206703910615</v>
      </c>
      <c r="M129">
        <f t="shared" si="68"/>
        <v>422.88135593220335</v>
      </c>
      <c r="O129" s="53">
        <f t="shared" si="73"/>
        <v>32112</v>
      </c>
      <c r="P129" s="24">
        <f t="shared" ref="P129:T129" si="82">IFERROR(IF(OR(ISNA(B129),ISNA(B125)),NA(),B129/B125-1),NA())</f>
        <v>4.4680851063829907E-2</v>
      </c>
      <c r="Q129" s="24" t="e">
        <f t="shared" si="82"/>
        <v>#N/A</v>
      </c>
      <c r="R129" s="24" t="e">
        <f t="shared" si="82"/>
        <v>#N/A</v>
      </c>
      <c r="S129" s="24">
        <f t="shared" si="82"/>
        <v>0.11750000000000016</v>
      </c>
      <c r="T129" s="24">
        <f t="shared" si="82"/>
        <v>4.6121593291404528E-2</v>
      </c>
    </row>
    <row r="130" spans="1:20" x14ac:dyDescent="0.25">
      <c r="A130" s="53">
        <f>Data1!A89</f>
        <v>32203</v>
      </c>
      <c r="B130">
        <f>IF(ISBLANK(Data1!B89),NA(),Data1!B89)</f>
        <v>50.1</v>
      </c>
      <c r="C130">
        <f>IF(ISBLANK(Data1!E89),NA(),Data1!E89)</f>
        <v>55.1</v>
      </c>
      <c r="D130" t="e">
        <f>IF(ISBLANK(Data1!AJ89),NA(),Data1!AJ89)</f>
        <v>#N/A</v>
      </c>
      <c r="E130">
        <f>IF(ISBLANK(Data1!BJ89),NA(),Data1!BJ89)</f>
        <v>45.5</v>
      </c>
      <c r="F130">
        <f>IF(ISBLANK(Data1!BK89),NA(),Data1!BK89)</f>
        <v>49.9</v>
      </c>
      <c r="H130" s="53">
        <f t="shared" si="65"/>
        <v>32203</v>
      </c>
      <c r="I130">
        <f t="shared" si="66"/>
        <v>463.88888888888886</v>
      </c>
      <c r="J130" cm="1">
        <f t="array" ref="J130">IF(ISNA(C130),NA(),C130/INDEX($C$52:$C$282,MATCH(TRUE,INDEX(NOT(ISNA($C$52:$C$282)),0),0))*100)</f>
        <v>104.95238095238095</v>
      </c>
      <c r="K130" t="e" cm="1">
        <f t="array" ref="K130">IF(ISNA(D130),NA(),D130/INDEX($D$52:$D$282,MATCH(TRUE,INDEX(NOT(ISNA($D$52:$D$282)),0),0))*100)</f>
        <v>#N/A</v>
      </c>
      <c r="L130">
        <f t="shared" si="67"/>
        <v>254.18994413407825</v>
      </c>
      <c r="M130">
        <f t="shared" si="68"/>
        <v>422.88135593220335</v>
      </c>
      <c r="O130" s="53">
        <f t="shared" si="73"/>
        <v>32203</v>
      </c>
      <c r="P130" s="24">
        <f t="shared" ref="P130:T130" si="83">IFERROR(IF(OR(ISNA(B130),ISNA(B126)),NA(),B130/B126-1),NA())</f>
        <v>4.1580041580041582E-2</v>
      </c>
      <c r="Q130" s="24" t="e">
        <f t="shared" si="83"/>
        <v>#N/A</v>
      </c>
      <c r="R130" s="24" t="e">
        <f t="shared" si="83"/>
        <v>#N/A</v>
      </c>
      <c r="S130" s="24">
        <f t="shared" si="83"/>
        <v>0.12623762376237635</v>
      </c>
      <c r="T130" s="24">
        <f t="shared" si="83"/>
        <v>4.175365344467652E-2</v>
      </c>
    </row>
    <row r="131" spans="1:20" x14ac:dyDescent="0.25">
      <c r="A131" s="53">
        <f>Data1!A90</f>
        <v>32295</v>
      </c>
      <c r="B131">
        <f>IF(ISBLANK(Data1!B90),NA(),Data1!B90)</f>
        <v>50.6</v>
      </c>
      <c r="C131">
        <f>IF(ISBLANK(Data1!E90),NA(),Data1!E90)</f>
        <v>56.6</v>
      </c>
      <c r="D131" t="e">
        <f>IF(ISBLANK(Data1!AJ90),NA(),Data1!AJ90)</f>
        <v>#N/A</v>
      </c>
      <c r="E131">
        <f>IF(ISBLANK(Data1!BJ90),NA(),Data1!BJ90)</f>
        <v>45.4</v>
      </c>
      <c r="F131">
        <f>IF(ISBLANK(Data1!BK90),NA(),Data1!BK90)</f>
        <v>50.5</v>
      </c>
      <c r="H131" s="53">
        <f t="shared" si="65"/>
        <v>32295</v>
      </c>
      <c r="I131">
        <f t="shared" si="66"/>
        <v>468.51851851851853</v>
      </c>
      <c r="J131" cm="1">
        <f t="array" ref="J131">IF(ISNA(C131),NA(),C131/INDEX($C$52:$C$282,MATCH(TRUE,INDEX(NOT(ISNA($C$52:$C$282)),0),0))*100)</f>
        <v>107.80952380952382</v>
      </c>
      <c r="K131" t="e" cm="1">
        <f t="array" ref="K131">IF(ISNA(D131),NA(),D131/INDEX($D$52:$D$282,MATCH(TRUE,INDEX(NOT(ISNA($D$52:$D$282)),0),0))*100)</f>
        <v>#N/A</v>
      </c>
      <c r="L131">
        <f t="shared" si="67"/>
        <v>253.63128491620114</v>
      </c>
      <c r="M131">
        <f t="shared" si="68"/>
        <v>427.96610169491521</v>
      </c>
      <c r="O131" s="53">
        <f t="shared" si="73"/>
        <v>32295</v>
      </c>
      <c r="P131" s="24">
        <f t="shared" ref="P131:T131" si="84">IFERROR(IF(OR(ISNA(B131),ISNA(B127)),NA(),B131/B127-1),NA())</f>
        <v>4.7619047619047672E-2</v>
      </c>
      <c r="Q131" s="24" t="e">
        <f t="shared" si="84"/>
        <v>#N/A</v>
      </c>
      <c r="R131" s="24" t="e">
        <f t="shared" si="84"/>
        <v>#N/A</v>
      </c>
      <c r="S131" s="24">
        <f t="shared" si="84"/>
        <v>3.8901601830663601E-2</v>
      </c>
      <c r="T131" s="24">
        <f t="shared" si="84"/>
        <v>4.7717842323651283E-2</v>
      </c>
    </row>
    <row r="132" spans="1:20" x14ac:dyDescent="0.25">
      <c r="A132" s="53">
        <f>Data1!A91</f>
        <v>32387</v>
      </c>
      <c r="B132">
        <f>IF(ISBLANK(Data1!B91),NA(),Data1!B91)</f>
        <v>50</v>
      </c>
      <c r="C132">
        <f>IF(ISBLANK(Data1!E91),NA(),Data1!E91)</f>
        <v>56.9</v>
      </c>
      <c r="D132" t="e">
        <f>IF(ISBLANK(Data1!AJ91),NA(),Data1!AJ91)</f>
        <v>#N/A</v>
      </c>
      <c r="E132">
        <f>IF(ISBLANK(Data1!BJ91),NA(),Data1!BJ91)</f>
        <v>47.4</v>
      </c>
      <c r="F132">
        <f>IF(ISBLANK(Data1!BK91),NA(),Data1!BK91)</f>
        <v>52.4</v>
      </c>
      <c r="H132" s="53">
        <f t="shared" si="65"/>
        <v>32387</v>
      </c>
      <c r="I132">
        <f t="shared" si="66"/>
        <v>462.96296296296299</v>
      </c>
      <c r="J132" cm="1">
        <f t="array" ref="J132">IF(ISNA(C132),NA(),C132/INDEX($C$52:$C$282,MATCH(TRUE,INDEX(NOT(ISNA($C$52:$C$282)),0),0))*100)</f>
        <v>108.38095238095238</v>
      </c>
      <c r="K132" t="e" cm="1">
        <f t="array" ref="K132">IF(ISNA(D132),NA(),D132/INDEX($D$52:$D$282,MATCH(TRUE,INDEX(NOT(ISNA($D$52:$D$282)),0),0))*100)</f>
        <v>#N/A</v>
      </c>
      <c r="L132">
        <f t="shared" si="67"/>
        <v>264.804469273743</v>
      </c>
      <c r="M132">
        <f t="shared" si="68"/>
        <v>444.06779661016947</v>
      </c>
      <c r="O132" s="53">
        <f t="shared" si="73"/>
        <v>32387</v>
      </c>
      <c r="P132" s="24">
        <f t="shared" ref="P132:T132" si="85">IFERROR(IF(OR(ISNA(B132),ISNA(B128)),NA(),B132/B128-1),NA())</f>
        <v>2.4590163934426368E-2</v>
      </c>
      <c r="Q132" s="24">
        <f t="shared" si="85"/>
        <v>8.3809523809523778E-2</v>
      </c>
      <c r="R132" s="24" t="e">
        <f t="shared" si="85"/>
        <v>#N/A</v>
      </c>
      <c r="S132" s="24">
        <f t="shared" si="85"/>
        <v>0.10489510489510501</v>
      </c>
      <c r="T132" s="24">
        <f t="shared" si="85"/>
        <v>5.2208835341365445E-2</v>
      </c>
    </row>
    <row r="133" spans="1:20" x14ac:dyDescent="0.25">
      <c r="A133" s="53">
        <f>Data1!A92</f>
        <v>32478</v>
      </c>
      <c r="B133">
        <f>IF(ISBLANK(Data1!B92),NA(),Data1!B92)</f>
        <v>48.7</v>
      </c>
      <c r="C133">
        <f>IF(ISBLANK(Data1!E92),NA(),Data1!E92)</f>
        <v>56.9</v>
      </c>
      <c r="D133" t="e">
        <f>IF(ISBLANK(Data1!AJ92),NA(),Data1!AJ92)</f>
        <v>#N/A</v>
      </c>
      <c r="E133">
        <f>IF(ISBLANK(Data1!BJ92),NA(),Data1!BJ92)</f>
        <v>48.7</v>
      </c>
      <c r="F133">
        <f>IF(ISBLANK(Data1!BK92),NA(),Data1!BK92)</f>
        <v>52.5</v>
      </c>
      <c r="H133" s="53">
        <f t="shared" si="65"/>
        <v>32478</v>
      </c>
      <c r="I133">
        <f t="shared" si="66"/>
        <v>450.92592592592598</v>
      </c>
      <c r="J133" cm="1">
        <f t="array" ref="J133">IF(ISNA(C133),NA(),C133/INDEX($C$52:$C$282,MATCH(TRUE,INDEX(NOT(ISNA($C$52:$C$282)),0),0))*100)</f>
        <v>108.38095238095238</v>
      </c>
      <c r="K133" t="e" cm="1">
        <f t="array" ref="K133">IF(ISNA(D133),NA(),D133/INDEX($D$52:$D$282,MATCH(TRUE,INDEX(NOT(ISNA($D$52:$D$282)),0),0))*100)</f>
        <v>#N/A</v>
      </c>
      <c r="L133">
        <f t="shared" si="67"/>
        <v>272.06703910614527</v>
      </c>
      <c r="M133">
        <f t="shared" si="68"/>
        <v>444.91525423728814</v>
      </c>
      <c r="O133" s="53">
        <f t="shared" si="73"/>
        <v>32478</v>
      </c>
      <c r="P133" s="24">
        <f t="shared" ref="P133:T133" si="86">IFERROR(IF(OR(ISNA(B133),ISNA(B129)),NA(),B133/B129-1),NA())</f>
        <v>-8.1466395112016476E-3</v>
      </c>
      <c r="Q133" s="24">
        <f t="shared" si="86"/>
        <v>7.1563088512240913E-2</v>
      </c>
      <c r="R133" s="24" t="e">
        <f t="shared" si="86"/>
        <v>#N/A</v>
      </c>
      <c r="S133" s="24">
        <f t="shared" si="86"/>
        <v>8.948545861297541E-2</v>
      </c>
      <c r="T133" s="24">
        <f t="shared" si="86"/>
        <v>5.2104208416833719E-2</v>
      </c>
    </row>
    <row r="134" spans="1:20" x14ac:dyDescent="0.25">
      <c r="A134" s="53">
        <f>Data1!A93</f>
        <v>32568</v>
      </c>
      <c r="B134">
        <f>IF(ISBLANK(Data1!B93),NA(),Data1!B93)</f>
        <v>50</v>
      </c>
      <c r="C134">
        <f>IF(ISBLANK(Data1!E93),NA(),Data1!E93)</f>
        <v>56.9</v>
      </c>
      <c r="D134" t="e">
        <f>IF(ISBLANK(Data1!AJ93),NA(),Data1!AJ93)</f>
        <v>#N/A</v>
      </c>
      <c r="E134">
        <f>IF(ISBLANK(Data1!BJ93),NA(),Data1!BJ93)</f>
        <v>49.7</v>
      </c>
      <c r="F134">
        <f>IF(ISBLANK(Data1!BK93),NA(),Data1!BK93)</f>
        <v>52.8</v>
      </c>
      <c r="H134" s="53">
        <f t="shared" si="65"/>
        <v>32568</v>
      </c>
      <c r="I134">
        <f t="shared" si="66"/>
        <v>462.96296296296299</v>
      </c>
      <c r="J134" cm="1">
        <f t="array" ref="J134">IF(ISNA(C134),NA(),C134/INDEX($C$52:$C$282,MATCH(TRUE,INDEX(NOT(ISNA($C$52:$C$282)),0),0))*100)</f>
        <v>108.38095238095238</v>
      </c>
      <c r="K134" t="e" cm="1">
        <f t="array" ref="K134">IF(ISNA(D134),NA(),D134/INDEX($D$52:$D$282,MATCH(TRUE,INDEX(NOT(ISNA($D$52:$D$282)),0),0))*100)</f>
        <v>#N/A</v>
      </c>
      <c r="L134">
        <f t="shared" si="67"/>
        <v>277.65363128491623</v>
      </c>
      <c r="M134">
        <f t="shared" si="68"/>
        <v>447.45762711864404</v>
      </c>
      <c r="O134" s="53">
        <f t="shared" si="73"/>
        <v>32568</v>
      </c>
      <c r="P134" s="24">
        <f t="shared" ref="P134:T134" si="87">IFERROR(IF(OR(ISNA(B134),ISNA(B130)),NA(),B134/B130-1),NA())</f>
        <v>-1.9960079840319889E-3</v>
      </c>
      <c r="Q134" s="24">
        <f t="shared" si="87"/>
        <v>3.2667876588021727E-2</v>
      </c>
      <c r="R134" s="24" t="e">
        <f t="shared" si="87"/>
        <v>#N/A</v>
      </c>
      <c r="S134" s="24">
        <f t="shared" si="87"/>
        <v>9.2307692307692424E-2</v>
      </c>
      <c r="T134" s="24">
        <f t="shared" si="87"/>
        <v>5.8116232464929807E-2</v>
      </c>
    </row>
    <row r="135" spans="1:20" x14ac:dyDescent="0.25">
      <c r="A135" s="53">
        <f>Data1!A94</f>
        <v>32660</v>
      </c>
      <c r="B135">
        <f>IF(ISBLANK(Data1!B94),NA(),Data1!B94)</f>
        <v>52.9</v>
      </c>
      <c r="C135">
        <f>IF(ISBLANK(Data1!E94),NA(),Data1!E94)</f>
        <v>59.3</v>
      </c>
      <c r="D135" t="e">
        <f>IF(ISBLANK(Data1!AJ94),NA(),Data1!AJ94)</f>
        <v>#N/A</v>
      </c>
      <c r="E135">
        <f>IF(ISBLANK(Data1!BJ94),NA(),Data1!BJ94)</f>
        <v>49.9</v>
      </c>
      <c r="F135">
        <f>IF(ISBLANK(Data1!BK94),NA(),Data1!BK94)</f>
        <v>53</v>
      </c>
      <c r="H135" s="53">
        <f t="shared" si="65"/>
        <v>32660</v>
      </c>
      <c r="I135">
        <f t="shared" si="66"/>
        <v>489.81481481481478</v>
      </c>
      <c r="J135" cm="1">
        <f t="array" ref="J135">IF(ISNA(C135),NA(),C135/INDEX($C$52:$C$282,MATCH(TRUE,INDEX(NOT(ISNA($C$52:$C$282)),0),0))*100)</f>
        <v>112.95238095238093</v>
      </c>
      <c r="K135" t="e" cm="1">
        <f t="array" ref="K135">IF(ISNA(D135),NA(),D135/INDEX($D$52:$D$282,MATCH(TRUE,INDEX(NOT(ISNA($D$52:$D$282)),0),0))*100)</f>
        <v>#N/A</v>
      </c>
      <c r="L135">
        <f t="shared" si="67"/>
        <v>278.77094972067044</v>
      </c>
      <c r="M135">
        <f t="shared" si="68"/>
        <v>449.15254237288133</v>
      </c>
      <c r="O135" s="53">
        <f t="shared" si="73"/>
        <v>32660</v>
      </c>
      <c r="P135" s="24">
        <f t="shared" ref="P135:T135" si="88">IFERROR(IF(OR(ISNA(B135),ISNA(B131)),NA(),B135/B131-1),NA())</f>
        <v>4.5454545454545414E-2</v>
      </c>
      <c r="Q135" s="24">
        <f t="shared" si="88"/>
        <v>4.7703180212014029E-2</v>
      </c>
      <c r="R135" s="24" t="e">
        <f t="shared" si="88"/>
        <v>#N/A</v>
      </c>
      <c r="S135" s="24">
        <f t="shared" si="88"/>
        <v>9.9118942731277526E-2</v>
      </c>
      <c r="T135" s="24">
        <f t="shared" si="88"/>
        <v>4.9504950495049549E-2</v>
      </c>
    </row>
    <row r="136" spans="1:20" x14ac:dyDescent="0.25">
      <c r="A136" s="53">
        <f>Data1!A95</f>
        <v>32752</v>
      </c>
      <c r="B136">
        <f>IF(ISBLANK(Data1!B95),NA(),Data1!B95)</f>
        <v>53</v>
      </c>
      <c r="C136">
        <f>IF(ISBLANK(Data1!E95),NA(),Data1!E95)</f>
        <v>59.2</v>
      </c>
      <c r="D136" t="e">
        <f>IF(ISBLANK(Data1!AJ95),NA(),Data1!AJ95)</f>
        <v>#N/A</v>
      </c>
      <c r="E136">
        <f>IF(ISBLANK(Data1!BJ95),NA(),Data1!BJ95)</f>
        <v>53.2</v>
      </c>
      <c r="F136">
        <f>IF(ISBLANK(Data1!BK95),NA(),Data1!BK95)</f>
        <v>54.8</v>
      </c>
      <c r="H136" s="53">
        <f t="shared" si="65"/>
        <v>32752</v>
      </c>
      <c r="I136">
        <f t="shared" si="66"/>
        <v>490.74074074074076</v>
      </c>
      <c r="J136" cm="1">
        <f t="array" ref="J136">IF(ISNA(C136),NA(),C136/INDEX($C$52:$C$282,MATCH(TRUE,INDEX(NOT(ISNA($C$52:$C$282)),0),0))*100)</f>
        <v>112.76190476190477</v>
      </c>
      <c r="K136" t="e" cm="1">
        <f t="array" ref="K136">IF(ISNA(D136),NA(),D136/INDEX($D$52:$D$282,MATCH(TRUE,INDEX(NOT(ISNA($D$52:$D$282)),0),0))*100)</f>
        <v>#N/A</v>
      </c>
      <c r="L136">
        <f t="shared" si="67"/>
        <v>297.20670391061452</v>
      </c>
      <c r="M136">
        <f t="shared" si="68"/>
        <v>464.40677966101686</v>
      </c>
      <c r="O136" s="53">
        <f t="shared" si="73"/>
        <v>32752</v>
      </c>
      <c r="P136" s="24">
        <f t="shared" ref="P136:T136" si="89">IFERROR(IF(OR(ISNA(B136),ISNA(B132)),NA(),B136/B132-1),NA())</f>
        <v>6.0000000000000053E-2</v>
      </c>
      <c r="Q136" s="24">
        <f t="shared" si="89"/>
        <v>4.0421792618629215E-2</v>
      </c>
      <c r="R136" s="24" t="e">
        <f t="shared" si="89"/>
        <v>#N/A</v>
      </c>
      <c r="S136" s="24">
        <f t="shared" si="89"/>
        <v>0.1223628691983123</v>
      </c>
      <c r="T136" s="24">
        <f t="shared" si="89"/>
        <v>4.5801526717557328E-2</v>
      </c>
    </row>
    <row r="137" spans="1:20" x14ac:dyDescent="0.25">
      <c r="A137" s="53">
        <f>Data1!A96</f>
        <v>32843</v>
      </c>
      <c r="B137">
        <f>IF(ISBLANK(Data1!B96),NA(),Data1!B96)</f>
        <v>52.6</v>
      </c>
      <c r="C137">
        <f>IF(ISBLANK(Data1!E96),NA(),Data1!E96)</f>
        <v>58.5</v>
      </c>
      <c r="D137" t="e">
        <f>IF(ISBLANK(Data1!AJ96),NA(),Data1!AJ96)</f>
        <v>#N/A</v>
      </c>
      <c r="E137">
        <f>IF(ISBLANK(Data1!BJ96),NA(),Data1!BJ96)</f>
        <v>53.3</v>
      </c>
      <c r="F137">
        <f>IF(ISBLANK(Data1!BK96),NA(),Data1!BK96)</f>
        <v>54.9</v>
      </c>
      <c r="H137" s="53">
        <f t="shared" si="65"/>
        <v>32843</v>
      </c>
      <c r="I137">
        <f t="shared" si="66"/>
        <v>487.03703703703701</v>
      </c>
      <c r="J137" cm="1">
        <f t="array" ref="J137">IF(ISNA(C137),NA(),C137/INDEX($C$52:$C$282,MATCH(TRUE,INDEX(NOT(ISNA($C$52:$C$282)),0),0))*100)</f>
        <v>111.42857142857143</v>
      </c>
      <c r="K137" t="e" cm="1">
        <f t="array" ref="K137">IF(ISNA(D137),NA(),D137/INDEX($D$52:$D$282,MATCH(TRUE,INDEX(NOT(ISNA($D$52:$D$282)),0),0))*100)</f>
        <v>#N/A</v>
      </c>
      <c r="L137">
        <f t="shared" si="67"/>
        <v>297.76536312849163</v>
      </c>
      <c r="M137">
        <f t="shared" si="68"/>
        <v>465.25423728813553</v>
      </c>
      <c r="O137" s="53">
        <f t="shared" si="73"/>
        <v>32843</v>
      </c>
      <c r="P137" s="24">
        <f t="shared" ref="P137:T137" si="90">IFERROR(IF(OR(ISNA(B137),ISNA(B133)),NA(),B137/B133-1),NA())</f>
        <v>8.0082135523613873E-2</v>
      </c>
      <c r="Q137" s="24">
        <f t="shared" si="90"/>
        <v>2.8119507908611618E-2</v>
      </c>
      <c r="R137" s="24" t="e">
        <f t="shared" si="90"/>
        <v>#N/A</v>
      </c>
      <c r="S137" s="24">
        <f t="shared" si="90"/>
        <v>9.4455852156057452E-2</v>
      </c>
      <c r="T137" s="24">
        <f t="shared" si="90"/>
        <v>4.5714285714285596E-2</v>
      </c>
    </row>
    <row r="138" spans="1:20" x14ac:dyDescent="0.25">
      <c r="A138" s="53">
        <f>Data1!A97</f>
        <v>32933</v>
      </c>
      <c r="B138">
        <f>IF(ISBLANK(Data1!B97),NA(),Data1!B97)</f>
        <v>53.7</v>
      </c>
      <c r="C138">
        <f>IF(ISBLANK(Data1!E97),NA(),Data1!E97)</f>
        <v>59.2</v>
      </c>
      <c r="D138" t="e">
        <f>IF(ISBLANK(Data1!AJ97),NA(),Data1!AJ97)</f>
        <v>#N/A</v>
      </c>
      <c r="E138">
        <f>IF(ISBLANK(Data1!BJ97),NA(),Data1!BJ97)</f>
        <v>53.6</v>
      </c>
      <c r="F138">
        <f>IF(ISBLANK(Data1!BK97),NA(),Data1!BK97)</f>
        <v>55.3</v>
      </c>
      <c r="H138" s="53">
        <f t="shared" si="65"/>
        <v>32933</v>
      </c>
      <c r="I138">
        <f t="shared" si="66"/>
        <v>497.22222222222223</v>
      </c>
      <c r="J138" cm="1">
        <f t="array" ref="J138">IF(ISNA(C138),NA(),C138/INDEX($C$52:$C$282,MATCH(TRUE,INDEX(NOT(ISNA($C$52:$C$282)),0),0))*100)</f>
        <v>112.76190476190477</v>
      </c>
      <c r="K138" t="e" cm="1">
        <f t="array" ref="K138">IF(ISNA(D138),NA(),D138/INDEX($D$52:$D$282,MATCH(TRUE,INDEX(NOT(ISNA($D$52:$D$282)),0),0))*100)</f>
        <v>#N/A</v>
      </c>
      <c r="L138">
        <f t="shared" si="67"/>
        <v>299.44134078212295</v>
      </c>
      <c r="M138">
        <f t="shared" si="68"/>
        <v>468.6440677966101</v>
      </c>
      <c r="O138" s="53">
        <f t="shared" si="73"/>
        <v>32933</v>
      </c>
      <c r="P138" s="24">
        <f t="shared" ref="P138:T138" si="91">IFERROR(IF(OR(ISNA(B138),ISNA(B134)),NA(),B138/B134-1),NA())</f>
        <v>7.4000000000000066E-2</v>
      </c>
      <c r="Q138" s="24">
        <f t="shared" si="91"/>
        <v>4.0421792618629215E-2</v>
      </c>
      <c r="R138" s="24" t="e">
        <f t="shared" si="91"/>
        <v>#N/A</v>
      </c>
      <c r="S138" s="24">
        <f t="shared" si="91"/>
        <v>7.8470824949698148E-2</v>
      </c>
      <c r="T138" s="24">
        <f t="shared" si="91"/>
        <v>4.7348484848484862E-2</v>
      </c>
    </row>
    <row r="139" spans="1:20" x14ac:dyDescent="0.25">
      <c r="A139" s="53">
        <f>Data1!A98</f>
        <v>33025</v>
      </c>
      <c r="B139">
        <f>IF(ISBLANK(Data1!B98),NA(),Data1!B98)</f>
        <v>52.8</v>
      </c>
      <c r="C139">
        <f>IF(ISBLANK(Data1!E98),NA(),Data1!E98)</f>
        <v>59.6</v>
      </c>
      <c r="D139" t="e">
        <f>IF(ISBLANK(Data1!AJ98),NA(),Data1!AJ98)</f>
        <v>#N/A</v>
      </c>
      <c r="E139">
        <f>IF(ISBLANK(Data1!BJ98),NA(),Data1!BJ98)</f>
        <v>53.9</v>
      </c>
      <c r="F139">
        <f>IF(ISBLANK(Data1!BK98),NA(),Data1!BK98)</f>
        <v>55.1</v>
      </c>
      <c r="H139" s="53">
        <f t="shared" si="65"/>
        <v>33025</v>
      </c>
      <c r="I139">
        <f t="shared" si="66"/>
        <v>488.88888888888886</v>
      </c>
      <c r="J139" cm="1">
        <f t="array" ref="J139">IF(ISNA(C139),NA(),C139/INDEX($C$52:$C$282,MATCH(TRUE,INDEX(NOT(ISNA($C$52:$C$282)),0),0))*100)</f>
        <v>113.52380952380952</v>
      </c>
      <c r="K139" t="e" cm="1">
        <f t="array" ref="K139">IF(ISNA(D139),NA(),D139/INDEX($D$52:$D$282,MATCH(TRUE,INDEX(NOT(ISNA($D$52:$D$282)),0),0))*100)</f>
        <v>#N/A</v>
      </c>
      <c r="L139">
        <f t="shared" si="67"/>
        <v>301.11731843575421</v>
      </c>
      <c r="M139">
        <f t="shared" si="68"/>
        <v>466.94915254237281</v>
      </c>
      <c r="O139" s="53">
        <f t="shared" si="73"/>
        <v>33025</v>
      </c>
      <c r="P139" s="24">
        <f t="shared" ref="P139:T139" si="92">IFERROR(IF(OR(ISNA(B139),ISNA(B135)),NA(),B139/B135-1),NA())</f>
        <v>-1.890359168241984E-3</v>
      </c>
      <c r="Q139" s="24">
        <f t="shared" si="92"/>
        <v>5.0590219224284638E-3</v>
      </c>
      <c r="R139" s="24" t="e">
        <f t="shared" si="92"/>
        <v>#N/A</v>
      </c>
      <c r="S139" s="24">
        <f t="shared" si="92"/>
        <v>8.0160320641282645E-2</v>
      </c>
      <c r="T139" s="24">
        <f t="shared" si="92"/>
        <v>3.9622641509434064E-2</v>
      </c>
    </row>
    <row r="140" spans="1:20" x14ac:dyDescent="0.25">
      <c r="A140" s="53">
        <f>Data1!A99</f>
        <v>33117</v>
      </c>
      <c r="B140">
        <f>IF(ISBLANK(Data1!B99),NA(),Data1!B99)</f>
        <v>54.5</v>
      </c>
      <c r="C140">
        <f>IF(ISBLANK(Data1!E99),NA(),Data1!E99)</f>
        <v>58.5</v>
      </c>
      <c r="D140" t="e">
        <f>IF(ISBLANK(Data1!AJ99),NA(),Data1!AJ99)</f>
        <v>#N/A</v>
      </c>
      <c r="E140">
        <f>IF(ISBLANK(Data1!BJ99),NA(),Data1!BJ99)</f>
        <v>55.1</v>
      </c>
      <c r="F140">
        <f>IF(ISBLANK(Data1!BK99),NA(),Data1!BK99)</f>
        <v>57.2</v>
      </c>
      <c r="H140" s="53">
        <f t="shared" si="65"/>
        <v>33117</v>
      </c>
      <c r="I140">
        <f t="shared" si="66"/>
        <v>504.62962962962956</v>
      </c>
      <c r="J140" cm="1">
        <f t="array" ref="J140">IF(ISNA(C140),NA(),C140/INDEX($C$52:$C$282,MATCH(TRUE,INDEX(NOT(ISNA($C$52:$C$282)),0),0))*100)</f>
        <v>111.42857142857143</v>
      </c>
      <c r="K140" t="e" cm="1">
        <f t="array" ref="K140">IF(ISNA(D140),NA(),D140/INDEX($D$52:$D$282,MATCH(TRUE,INDEX(NOT(ISNA($D$52:$D$282)),0),0))*100)</f>
        <v>#N/A</v>
      </c>
      <c r="L140">
        <f t="shared" si="67"/>
        <v>307.82122905027933</v>
      </c>
      <c r="M140">
        <f t="shared" si="68"/>
        <v>484.74576271186436</v>
      </c>
      <c r="O140" s="53">
        <f t="shared" si="73"/>
        <v>33117</v>
      </c>
      <c r="P140" s="24">
        <f t="shared" ref="P140:T140" si="93">IFERROR(IF(OR(ISNA(B140),ISNA(B136)),NA(),B140/B136-1),NA())</f>
        <v>2.8301886792452935E-2</v>
      </c>
      <c r="Q140" s="24">
        <f t="shared" si="93"/>
        <v>-1.1824324324324342E-2</v>
      </c>
      <c r="R140" s="24" t="e">
        <f t="shared" si="93"/>
        <v>#N/A</v>
      </c>
      <c r="S140" s="24">
        <f t="shared" si="93"/>
        <v>3.5714285714285587E-2</v>
      </c>
      <c r="T140" s="24">
        <f t="shared" si="93"/>
        <v>4.3795620437956373E-2</v>
      </c>
    </row>
    <row r="141" spans="1:20" x14ac:dyDescent="0.25">
      <c r="A141" s="53">
        <f>Data1!A100</f>
        <v>33208</v>
      </c>
      <c r="B141">
        <f>IF(ISBLANK(Data1!B100),NA(),Data1!B100)</f>
        <v>58.9</v>
      </c>
      <c r="C141">
        <f>IF(ISBLANK(Data1!E100),NA(),Data1!E100)</f>
        <v>58.2</v>
      </c>
      <c r="D141" t="e">
        <f>IF(ISBLANK(Data1!AJ100),NA(),Data1!AJ100)</f>
        <v>#N/A</v>
      </c>
      <c r="E141">
        <f>IF(ISBLANK(Data1!BJ100),NA(),Data1!BJ100)</f>
        <v>54.6</v>
      </c>
      <c r="F141">
        <f>IF(ISBLANK(Data1!BK100),NA(),Data1!BK100)</f>
        <v>57.5</v>
      </c>
      <c r="H141" s="53">
        <f t="shared" si="65"/>
        <v>33208</v>
      </c>
      <c r="I141">
        <f t="shared" si="66"/>
        <v>545.37037037037032</v>
      </c>
      <c r="J141" cm="1">
        <f t="array" ref="J141">IF(ISNA(C141),NA(),C141/INDEX($C$52:$C$282,MATCH(TRUE,INDEX(NOT(ISNA($C$52:$C$282)),0),0))*100)</f>
        <v>110.85714285714286</v>
      </c>
      <c r="K141" t="e" cm="1">
        <f t="array" ref="K141">IF(ISNA(D141),NA(),D141/INDEX($D$52:$D$282,MATCH(TRUE,INDEX(NOT(ISNA($D$52:$D$282)),0),0))*100)</f>
        <v>#N/A</v>
      </c>
      <c r="L141">
        <f t="shared" si="67"/>
        <v>305.02793296089391</v>
      </c>
      <c r="M141">
        <f t="shared" si="68"/>
        <v>487.28813559322032</v>
      </c>
      <c r="O141" s="53">
        <f t="shared" si="73"/>
        <v>33208</v>
      </c>
      <c r="P141" s="24">
        <f t="shared" ref="P141:T141" si="94">IFERROR(IF(OR(ISNA(B141),ISNA(B137)),NA(),B141/B137-1),NA())</f>
        <v>0.11977186311787058</v>
      </c>
      <c r="Q141" s="24">
        <f t="shared" si="94"/>
        <v>-5.12820512820511E-3</v>
      </c>
      <c r="R141" s="24" t="e">
        <f t="shared" si="94"/>
        <v>#N/A</v>
      </c>
      <c r="S141" s="24">
        <f t="shared" si="94"/>
        <v>2.4390243902439046E-2</v>
      </c>
      <c r="T141" s="24">
        <f t="shared" si="94"/>
        <v>4.7358834244080272E-2</v>
      </c>
    </row>
    <row r="142" spans="1:20" x14ac:dyDescent="0.25">
      <c r="A142" s="53">
        <f>Data1!A101</f>
        <v>33298</v>
      </c>
      <c r="B142">
        <f>IF(ISBLANK(Data1!B101),NA(),Data1!B101)</f>
        <v>54.4</v>
      </c>
      <c r="C142">
        <f>IF(ISBLANK(Data1!E101),NA(),Data1!E101)</f>
        <v>58.6</v>
      </c>
      <c r="D142" t="e">
        <f>IF(ISBLANK(Data1!AJ101),NA(),Data1!AJ101)</f>
        <v>#N/A</v>
      </c>
      <c r="E142">
        <f>IF(ISBLANK(Data1!BJ101),NA(),Data1!BJ101)</f>
        <v>54.4</v>
      </c>
      <c r="F142">
        <f>IF(ISBLANK(Data1!BK101),NA(),Data1!BK101)</f>
        <v>57.4</v>
      </c>
      <c r="H142" s="53">
        <f t="shared" si="65"/>
        <v>33298</v>
      </c>
      <c r="I142">
        <f t="shared" si="66"/>
        <v>503.70370370370364</v>
      </c>
      <c r="J142" cm="1">
        <f t="array" ref="J142">IF(ISNA(C142),NA(),C142/INDEX($C$52:$C$282,MATCH(TRUE,INDEX(NOT(ISNA($C$52:$C$282)),0),0))*100)</f>
        <v>111.61904761904762</v>
      </c>
      <c r="K142" t="e" cm="1">
        <f t="array" ref="K142">IF(ISNA(D142),NA(),D142/INDEX($D$52:$D$282,MATCH(TRUE,INDEX(NOT(ISNA($D$52:$D$282)),0),0))*100)</f>
        <v>#N/A</v>
      </c>
      <c r="L142">
        <f t="shared" si="67"/>
        <v>303.91061452513969</v>
      </c>
      <c r="M142">
        <f t="shared" si="68"/>
        <v>486.44067796610165</v>
      </c>
      <c r="O142" s="53">
        <f t="shared" si="73"/>
        <v>33298</v>
      </c>
      <c r="P142" s="24">
        <f t="shared" ref="P142:T142" si="95">IFERROR(IF(OR(ISNA(B142),ISNA(B138)),NA(),B142/B138-1),NA())</f>
        <v>1.3035381750465369E-2</v>
      </c>
      <c r="Q142" s="24">
        <f t="shared" si="95"/>
        <v>-1.0135135135135198E-2</v>
      </c>
      <c r="R142" s="24" t="e">
        <f t="shared" si="95"/>
        <v>#N/A</v>
      </c>
      <c r="S142" s="24">
        <f t="shared" si="95"/>
        <v>1.4925373134328401E-2</v>
      </c>
      <c r="T142" s="24">
        <f t="shared" si="95"/>
        <v>3.7974683544303778E-2</v>
      </c>
    </row>
    <row r="143" spans="1:20" x14ac:dyDescent="0.25">
      <c r="A143" s="53">
        <f>Data1!A102</f>
        <v>33390</v>
      </c>
      <c r="B143">
        <f>IF(ISBLANK(Data1!B102),NA(),Data1!B102)</f>
        <v>52.9</v>
      </c>
      <c r="C143">
        <f>IF(ISBLANK(Data1!E102),NA(),Data1!E102)</f>
        <v>58.3</v>
      </c>
      <c r="D143" t="e">
        <f>IF(ISBLANK(Data1!AJ102),NA(),Data1!AJ102)</f>
        <v>#N/A</v>
      </c>
      <c r="E143">
        <f>IF(ISBLANK(Data1!BJ102),NA(),Data1!BJ102)</f>
        <v>54.1</v>
      </c>
      <c r="F143">
        <f>IF(ISBLANK(Data1!BK102),NA(),Data1!BK102)</f>
        <v>57.6</v>
      </c>
      <c r="H143" s="53">
        <f t="shared" si="65"/>
        <v>33390</v>
      </c>
      <c r="I143">
        <f t="shared" si="66"/>
        <v>489.81481481481478</v>
      </c>
      <c r="J143" cm="1">
        <f t="array" ref="J143">IF(ISNA(C143),NA(),C143/INDEX($C$52:$C$282,MATCH(TRUE,INDEX(NOT(ISNA($C$52:$C$282)),0),0))*100)</f>
        <v>111.04761904761904</v>
      </c>
      <c r="K143" t="e" cm="1">
        <f t="array" ref="K143">IF(ISNA(D143),NA(),D143/INDEX($D$52:$D$282,MATCH(TRUE,INDEX(NOT(ISNA($D$52:$D$282)),0),0))*100)</f>
        <v>#N/A</v>
      </c>
      <c r="L143">
        <f t="shared" si="67"/>
        <v>302.23463687150843</v>
      </c>
      <c r="M143">
        <f t="shared" si="68"/>
        <v>488.13559322033893</v>
      </c>
      <c r="O143" s="53">
        <f t="shared" si="73"/>
        <v>33390</v>
      </c>
      <c r="P143" s="24">
        <f t="shared" ref="P143:T143" si="96">IFERROR(IF(OR(ISNA(B143),ISNA(B139)),NA(),B143/B139-1),NA())</f>
        <v>1.8939393939394478E-3</v>
      </c>
      <c r="Q143" s="24">
        <f t="shared" si="96"/>
        <v>-2.1812080536912859E-2</v>
      </c>
      <c r="R143" s="24" t="e">
        <f t="shared" si="96"/>
        <v>#N/A</v>
      </c>
      <c r="S143" s="24">
        <f t="shared" si="96"/>
        <v>3.7105751391466324E-3</v>
      </c>
      <c r="T143" s="24">
        <f t="shared" si="96"/>
        <v>4.5372050816696818E-2</v>
      </c>
    </row>
    <row r="144" spans="1:20" x14ac:dyDescent="0.25">
      <c r="A144" s="53">
        <f>Data1!A103</f>
        <v>33482</v>
      </c>
      <c r="B144">
        <f>IF(ISBLANK(Data1!B103),NA(),Data1!B103)</f>
        <v>53.3</v>
      </c>
      <c r="C144">
        <f>IF(ISBLANK(Data1!E103),NA(),Data1!E103)</f>
        <v>58.3</v>
      </c>
      <c r="D144" t="e">
        <f>IF(ISBLANK(Data1!AJ103),NA(),Data1!AJ103)</f>
        <v>#N/A</v>
      </c>
      <c r="E144">
        <f>IF(ISBLANK(Data1!BJ103),NA(),Data1!BJ103)</f>
        <v>56</v>
      </c>
      <c r="F144">
        <f>IF(ISBLANK(Data1!BK103),NA(),Data1!BK103)</f>
        <v>58.6</v>
      </c>
      <c r="H144" s="53">
        <f t="shared" si="65"/>
        <v>33482</v>
      </c>
      <c r="I144">
        <f t="shared" si="66"/>
        <v>493.51851851851842</v>
      </c>
      <c r="J144" cm="1">
        <f t="array" ref="J144">IF(ISNA(C144),NA(),C144/INDEX($C$52:$C$282,MATCH(TRUE,INDEX(NOT(ISNA($C$52:$C$282)),0),0))*100)</f>
        <v>111.04761904761904</v>
      </c>
      <c r="K144" t="e" cm="1">
        <f t="array" ref="K144">IF(ISNA(D144),NA(),D144/INDEX($D$52:$D$282,MATCH(TRUE,INDEX(NOT(ISNA($D$52:$D$282)),0),0))*100)</f>
        <v>#N/A</v>
      </c>
      <c r="L144">
        <f t="shared" si="67"/>
        <v>312.84916201117323</v>
      </c>
      <c r="M144">
        <f t="shared" si="68"/>
        <v>496.61016949152543</v>
      </c>
      <c r="O144" s="53">
        <f t="shared" si="73"/>
        <v>33482</v>
      </c>
      <c r="P144" s="24">
        <f t="shared" ref="P144:T144" si="97">IFERROR(IF(OR(ISNA(B144),ISNA(B140)),NA(),B144/B140-1),NA())</f>
        <v>-2.2018348623853212E-2</v>
      </c>
      <c r="Q144" s="24">
        <f t="shared" si="97"/>
        <v>-3.4188034188035177E-3</v>
      </c>
      <c r="R144" s="24" t="e">
        <f t="shared" si="97"/>
        <v>#N/A</v>
      </c>
      <c r="S144" s="24">
        <f t="shared" si="97"/>
        <v>1.6333938294010864E-2</v>
      </c>
      <c r="T144" s="24">
        <f t="shared" si="97"/>
        <v>2.4475524475524368E-2</v>
      </c>
    </row>
    <row r="145" spans="1:20" x14ac:dyDescent="0.25">
      <c r="A145" s="53">
        <f>Data1!A104</f>
        <v>33573</v>
      </c>
      <c r="B145">
        <f>IF(ISBLANK(Data1!B104),NA(),Data1!B104)</f>
        <v>53.5</v>
      </c>
      <c r="C145">
        <f>IF(ISBLANK(Data1!E104),NA(),Data1!E104)</f>
        <v>57.7</v>
      </c>
      <c r="D145" t="e">
        <f>IF(ISBLANK(Data1!AJ104),NA(),Data1!AJ104)</f>
        <v>#N/A</v>
      </c>
      <c r="E145">
        <f>IF(ISBLANK(Data1!BJ104),NA(),Data1!BJ104)</f>
        <v>56</v>
      </c>
      <c r="F145">
        <f>IF(ISBLANK(Data1!BK104),NA(),Data1!BK104)</f>
        <v>59.4</v>
      </c>
      <c r="H145" s="53">
        <f t="shared" si="65"/>
        <v>33573</v>
      </c>
      <c r="I145">
        <f t="shared" si="66"/>
        <v>495.37037037037032</v>
      </c>
      <c r="J145" cm="1">
        <f t="array" ref="J145">IF(ISNA(C145),NA(),C145/INDEX($C$52:$C$282,MATCH(TRUE,INDEX(NOT(ISNA($C$52:$C$282)),0),0))*100)</f>
        <v>109.9047619047619</v>
      </c>
      <c r="K145" t="e" cm="1">
        <f t="array" ref="K145">IF(ISNA(D145),NA(),D145/INDEX($D$52:$D$282,MATCH(TRUE,INDEX(NOT(ISNA($D$52:$D$282)),0),0))*100)</f>
        <v>#N/A</v>
      </c>
      <c r="L145">
        <f t="shared" si="67"/>
        <v>312.84916201117323</v>
      </c>
      <c r="M145">
        <f t="shared" si="68"/>
        <v>503.38983050847457</v>
      </c>
      <c r="O145" s="53">
        <f t="shared" si="73"/>
        <v>33573</v>
      </c>
      <c r="P145" s="24">
        <f t="shared" ref="P145:T145" si="98">IFERROR(IF(OR(ISNA(B145),ISNA(B141)),NA(),B145/B141-1),NA())</f>
        <v>-9.1680814940577227E-2</v>
      </c>
      <c r="Q145" s="24">
        <f t="shared" si="98"/>
        <v>-8.5910652920961894E-3</v>
      </c>
      <c r="R145" s="24" t="e">
        <f t="shared" si="98"/>
        <v>#N/A</v>
      </c>
      <c r="S145" s="24">
        <f t="shared" si="98"/>
        <v>2.564102564102555E-2</v>
      </c>
      <c r="T145" s="24">
        <f t="shared" si="98"/>
        <v>3.3043478260869508E-2</v>
      </c>
    </row>
    <row r="146" spans="1:20" x14ac:dyDescent="0.25">
      <c r="A146" s="53">
        <f>Data1!A105</f>
        <v>33664</v>
      </c>
      <c r="B146">
        <f>IF(ISBLANK(Data1!B105),NA(),Data1!B105)</f>
        <v>53.7</v>
      </c>
      <c r="C146">
        <f>IF(ISBLANK(Data1!E105),NA(),Data1!E105)</f>
        <v>59.2</v>
      </c>
      <c r="D146" t="e">
        <f>IF(ISBLANK(Data1!AJ105),NA(),Data1!AJ105)</f>
        <v>#N/A</v>
      </c>
      <c r="E146">
        <f>IF(ISBLANK(Data1!BJ105),NA(),Data1!BJ105)</f>
        <v>55.8</v>
      </c>
      <c r="F146">
        <f>IF(ISBLANK(Data1!BK105),NA(),Data1!BK105)</f>
        <v>59.4</v>
      </c>
      <c r="H146" s="53">
        <f t="shared" si="65"/>
        <v>33664</v>
      </c>
      <c r="I146">
        <f t="shared" si="66"/>
        <v>497.22222222222223</v>
      </c>
      <c r="J146" cm="1">
        <f t="array" ref="J146">IF(ISNA(C146),NA(),C146/INDEX($C$52:$C$282,MATCH(TRUE,INDEX(NOT(ISNA($C$52:$C$282)),0),0))*100)</f>
        <v>112.76190476190477</v>
      </c>
      <c r="K146" t="e" cm="1">
        <f t="array" ref="K146">IF(ISNA(D146),NA(),D146/INDEX($D$52:$D$282,MATCH(TRUE,INDEX(NOT(ISNA($D$52:$D$282)),0),0))*100)</f>
        <v>#N/A</v>
      </c>
      <c r="L146">
        <f t="shared" si="67"/>
        <v>311.73184357541902</v>
      </c>
      <c r="M146">
        <f t="shared" si="68"/>
        <v>503.38983050847457</v>
      </c>
      <c r="O146" s="53">
        <f t="shared" si="73"/>
        <v>33664</v>
      </c>
      <c r="P146" s="24">
        <f t="shared" ref="P146:T146" si="99">IFERROR(IF(OR(ISNA(B146),ISNA(B142)),NA(),B146/B142-1),NA())</f>
        <v>-1.2867647058823484E-2</v>
      </c>
      <c r="Q146" s="24">
        <f t="shared" si="99"/>
        <v>1.0238907849829282E-2</v>
      </c>
      <c r="R146" s="24" t="e">
        <f t="shared" si="99"/>
        <v>#N/A</v>
      </c>
      <c r="S146" s="24">
        <f t="shared" si="99"/>
        <v>2.5735294117646967E-2</v>
      </c>
      <c r="T146" s="24">
        <f t="shared" si="99"/>
        <v>3.4843205574912828E-2</v>
      </c>
    </row>
    <row r="147" spans="1:20" x14ac:dyDescent="0.25">
      <c r="A147" s="53">
        <f>Data1!A106</f>
        <v>33756</v>
      </c>
      <c r="B147">
        <f>IF(ISBLANK(Data1!B106),NA(),Data1!B106)</f>
        <v>54.6</v>
      </c>
      <c r="C147">
        <f>IF(ISBLANK(Data1!E106),NA(),Data1!E106)</f>
        <v>59.8</v>
      </c>
      <c r="D147" t="e">
        <f>IF(ISBLANK(Data1!AJ106),NA(),Data1!AJ106)</f>
        <v>#N/A</v>
      </c>
      <c r="E147">
        <f>IF(ISBLANK(Data1!BJ106),NA(),Data1!BJ106)</f>
        <v>55.7</v>
      </c>
      <c r="F147">
        <f>IF(ISBLANK(Data1!BK106),NA(),Data1!BK106)</f>
        <v>59.6</v>
      </c>
      <c r="H147" s="53">
        <f t="shared" si="65"/>
        <v>33756</v>
      </c>
      <c r="I147">
        <f t="shared" si="66"/>
        <v>505.55555555555554</v>
      </c>
      <c r="J147" cm="1">
        <f t="array" ref="J147">IF(ISNA(C147),NA(),C147/INDEX($C$52:$C$282,MATCH(TRUE,INDEX(NOT(ISNA($C$52:$C$282)),0),0))*100)</f>
        <v>113.90476190476191</v>
      </c>
      <c r="K147" t="e" cm="1">
        <f t="array" ref="K147">IF(ISNA(D147),NA(),D147/INDEX($D$52:$D$282,MATCH(TRUE,INDEX(NOT(ISNA($D$52:$D$282)),0),0))*100)</f>
        <v>#N/A</v>
      </c>
      <c r="L147">
        <f t="shared" si="67"/>
        <v>311.17318435754197</v>
      </c>
      <c r="M147">
        <f t="shared" si="68"/>
        <v>505.08474576271186</v>
      </c>
      <c r="O147" s="53">
        <f t="shared" si="73"/>
        <v>33756</v>
      </c>
      <c r="P147" s="24">
        <f t="shared" ref="P147:T147" si="100">IFERROR(IF(OR(ISNA(B147),ISNA(B143)),NA(),B147/B143-1),NA())</f>
        <v>3.2136105860113506E-2</v>
      </c>
      <c r="Q147" s="24">
        <f t="shared" si="100"/>
        <v>2.572898799313883E-2</v>
      </c>
      <c r="R147" s="24" t="e">
        <f t="shared" si="100"/>
        <v>#N/A</v>
      </c>
      <c r="S147" s="24">
        <f t="shared" si="100"/>
        <v>2.9574861367837268E-2</v>
      </c>
      <c r="T147" s="24">
        <f t="shared" si="100"/>
        <v>3.4722222222222321E-2</v>
      </c>
    </row>
    <row r="148" spans="1:20" x14ac:dyDescent="0.25">
      <c r="A148" s="53">
        <f>Data1!A107</f>
        <v>33848</v>
      </c>
      <c r="B148">
        <f>IF(ISBLANK(Data1!B107),NA(),Data1!B107)</f>
        <v>56.5</v>
      </c>
      <c r="C148">
        <f>IF(ISBLANK(Data1!E107),NA(),Data1!E107)</f>
        <v>60.6</v>
      </c>
      <c r="D148" t="e">
        <f>IF(ISBLANK(Data1!AJ107),NA(),Data1!AJ107)</f>
        <v>#N/A</v>
      </c>
      <c r="E148">
        <f>IF(ISBLANK(Data1!BJ107),NA(),Data1!BJ107)</f>
        <v>56.4</v>
      </c>
      <c r="F148">
        <f>IF(ISBLANK(Data1!BK107),NA(),Data1!BK107)</f>
        <v>59.7</v>
      </c>
      <c r="H148" s="53">
        <f t="shared" si="65"/>
        <v>33848</v>
      </c>
      <c r="I148">
        <f t="shared" si="66"/>
        <v>523.14814814814804</v>
      </c>
      <c r="J148" cm="1">
        <f t="array" ref="J148">IF(ISNA(C148),NA(),C148/INDEX($C$52:$C$282,MATCH(TRUE,INDEX(NOT(ISNA($C$52:$C$282)),0),0))*100)</f>
        <v>115.42857142857143</v>
      </c>
      <c r="K148" t="e" cm="1">
        <f t="array" ref="K148">IF(ISNA(D148),NA(),D148/INDEX($D$52:$D$282,MATCH(TRUE,INDEX(NOT(ISNA($D$52:$D$282)),0),0))*100)</f>
        <v>#N/A</v>
      </c>
      <c r="L148">
        <f t="shared" si="67"/>
        <v>315.08379888268155</v>
      </c>
      <c r="M148">
        <f t="shared" si="68"/>
        <v>505.93220338983053</v>
      </c>
      <c r="O148" s="53">
        <f t="shared" si="73"/>
        <v>33848</v>
      </c>
      <c r="P148" s="24">
        <f t="shared" ref="P148:T148" si="101">IFERROR(IF(OR(ISNA(B148),ISNA(B144)),NA(),B148/B144-1),NA())</f>
        <v>6.0037523452157737E-2</v>
      </c>
      <c r="Q148" s="24">
        <f t="shared" si="101"/>
        <v>3.9451114922813169E-2</v>
      </c>
      <c r="R148" s="24" t="e">
        <f t="shared" si="101"/>
        <v>#N/A</v>
      </c>
      <c r="S148" s="24">
        <f t="shared" si="101"/>
        <v>7.1428571428571175E-3</v>
      </c>
      <c r="T148" s="24">
        <f t="shared" si="101"/>
        <v>1.8771331058020424E-2</v>
      </c>
    </row>
    <row r="149" spans="1:20" x14ac:dyDescent="0.25">
      <c r="A149" s="53">
        <f>Data1!A108</f>
        <v>33939</v>
      </c>
      <c r="B149">
        <f>IF(ISBLANK(Data1!B108),NA(),Data1!B108)</f>
        <v>56.9</v>
      </c>
      <c r="C149">
        <f>IF(ISBLANK(Data1!E108),NA(),Data1!E108)</f>
        <v>61.4</v>
      </c>
      <c r="D149" t="e">
        <f>IF(ISBLANK(Data1!AJ108),NA(),Data1!AJ108)</f>
        <v>#N/A</v>
      </c>
      <c r="E149">
        <f>IF(ISBLANK(Data1!BJ108),NA(),Data1!BJ108)</f>
        <v>56.6</v>
      </c>
      <c r="F149">
        <f>IF(ISBLANK(Data1!BK108),NA(),Data1!BK108)</f>
        <v>59.3</v>
      </c>
      <c r="H149" s="53">
        <f t="shared" si="65"/>
        <v>33939</v>
      </c>
      <c r="I149">
        <f t="shared" si="66"/>
        <v>526.85185185185185</v>
      </c>
      <c r="J149" cm="1">
        <f t="array" ref="J149">IF(ISNA(C149),NA(),C149/INDEX($C$52:$C$282,MATCH(TRUE,INDEX(NOT(ISNA($C$52:$C$282)),0),0))*100)</f>
        <v>116.95238095238093</v>
      </c>
      <c r="K149" t="e" cm="1">
        <f t="array" ref="K149">IF(ISNA(D149),NA(),D149/INDEX($D$52:$D$282,MATCH(TRUE,INDEX(NOT(ISNA($D$52:$D$282)),0),0))*100)</f>
        <v>#N/A</v>
      </c>
      <c r="L149">
        <f t="shared" si="67"/>
        <v>316.20111731843582</v>
      </c>
      <c r="M149">
        <f t="shared" si="68"/>
        <v>502.5423728813559</v>
      </c>
      <c r="O149" s="53">
        <f t="shared" si="73"/>
        <v>33939</v>
      </c>
      <c r="P149" s="24">
        <f t="shared" ref="P149:T149" si="102">IFERROR(IF(OR(ISNA(B149),ISNA(B145)),NA(),B149/B145-1),NA())</f>
        <v>6.3551401869158752E-2</v>
      </c>
      <c r="Q149" s="24">
        <f t="shared" si="102"/>
        <v>6.4124783362218274E-2</v>
      </c>
      <c r="R149" s="24" t="e">
        <f t="shared" si="102"/>
        <v>#N/A</v>
      </c>
      <c r="S149" s="24">
        <f t="shared" si="102"/>
        <v>1.0714285714285676E-2</v>
      </c>
      <c r="T149" s="24">
        <f t="shared" si="102"/>
        <v>-1.6835016835017313E-3</v>
      </c>
    </row>
    <row r="150" spans="1:20" x14ac:dyDescent="0.25">
      <c r="A150" s="53">
        <f>Data1!A109</f>
        <v>34029</v>
      </c>
      <c r="B150">
        <f>IF(ISBLANK(Data1!B109),NA(),Data1!B109)</f>
        <v>56.4</v>
      </c>
      <c r="C150">
        <f>IF(ISBLANK(Data1!E109),NA(),Data1!E109)</f>
        <v>61.5</v>
      </c>
      <c r="D150" t="e">
        <f>IF(ISBLANK(Data1!AJ109),NA(),Data1!AJ109)</f>
        <v>#N/A</v>
      </c>
      <c r="E150">
        <f>IF(ISBLANK(Data1!BJ109),NA(),Data1!BJ109)</f>
        <v>56.6</v>
      </c>
      <c r="F150">
        <f>IF(ISBLANK(Data1!BK109),NA(),Data1!BK109)</f>
        <v>59.1</v>
      </c>
      <c r="H150" s="53">
        <f t="shared" si="65"/>
        <v>34029</v>
      </c>
      <c r="I150">
        <f t="shared" si="66"/>
        <v>522.22222222222217</v>
      </c>
      <c r="J150" cm="1">
        <f t="array" ref="J150">IF(ISNA(C150),NA(),C150/INDEX($C$52:$C$282,MATCH(TRUE,INDEX(NOT(ISNA($C$52:$C$282)),0),0))*100)</f>
        <v>117.14285714285715</v>
      </c>
      <c r="K150" t="e" cm="1">
        <f t="array" ref="K150">IF(ISNA(D150),NA(),D150/INDEX($D$52:$D$282,MATCH(TRUE,INDEX(NOT(ISNA($D$52:$D$282)),0),0))*100)</f>
        <v>#N/A</v>
      </c>
      <c r="L150">
        <f t="shared" si="67"/>
        <v>316.20111731843582</v>
      </c>
      <c r="M150">
        <f t="shared" si="68"/>
        <v>500.84745762711862</v>
      </c>
      <c r="O150" s="53">
        <f t="shared" si="73"/>
        <v>34029</v>
      </c>
      <c r="P150" s="24">
        <f t="shared" ref="P150:T150" si="103">IFERROR(IF(OR(ISNA(B150),ISNA(B146)),NA(),B150/B146-1),NA())</f>
        <v>5.027932960893855E-2</v>
      </c>
      <c r="Q150" s="24">
        <f t="shared" si="103"/>
        <v>3.8851351351351315E-2</v>
      </c>
      <c r="R150" s="24" t="e">
        <f t="shared" si="103"/>
        <v>#N/A</v>
      </c>
      <c r="S150" s="24">
        <f t="shared" si="103"/>
        <v>1.433691756272415E-2</v>
      </c>
      <c r="T150" s="24">
        <f t="shared" si="103"/>
        <v>-5.050505050504972E-3</v>
      </c>
    </row>
    <row r="151" spans="1:20" x14ac:dyDescent="0.25">
      <c r="A151" s="53">
        <f>Data1!A110</f>
        <v>34121</v>
      </c>
      <c r="B151">
        <f>IF(ISBLANK(Data1!B110),NA(),Data1!B110)</f>
        <v>56.1</v>
      </c>
      <c r="C151">
        <f>IF(ISBLANK(Data1!E110),NA(),Data1!E110)</f>
        <v>61.2</v>
      </c>
      <c r="D151" t="e">
        <f>IF(ISBLANK(Data1!AJ110),NA(),Data1!AJ110)</f>
        <v>#N/A</v>
      </c>
      <c r="E151">
        <f>IF(ISBLANK(Data1!BJ110),NA(),Data1!BJ110)</f>
        <v>56.5</v>
      </c>
      <c r="F151">
        <f>IF(ISBLANK(Data1!BK110),NA(),Data1!BK110)</f>
        <v>59.1</v>
      </c>
      <c r="H151" s="53">
        <f t="shared" si="65"/>
        <v>34121</v>
      </c>
      <c r="I151">
        <f t="shared" si="66"/>
        <v>519.44444444444446</v>
      </c>
      <c r="J151" cm="1">
        <f t="array" ref="J151">IF(ISNA(C151),NA(),C151/INDEX($C$52:$C$282,MATCH(TRUE,INDEX(NOT(ISNA($C$52:$C$282)),0),0))*100)</f>
        <v>116.57142857142857</v>
      </c>
      <c r="K151" t="e" cm="1">
        <f t="array" ref="K151">IF(ISNA(D151),NA(),D151/INDEX($D$52:$D$282,MATCH(TRUE,INDEX(NOT(ISNA($D$52:$D$282)),0),0))*100)</f>
        <v>#N/A</v>
      </c>
      <c r="L151">
        <f t="shared" si="67"/>
        <v>315.64245810055866</v>
      </c>
      <c r="M151">
        <f t="shared" si="68"/>
        <v>500.84745762711862</v>
      </c>
      <c r="O151" s="53">
        <f t="shared" si="73"/>
        <v>34121</v>
      </c>
      <c r="P151" s="24">
        <f t="shared" ref="P151:T151" si="104">IFERROR(IF(OR(ISNA(B151),ISNA(B147)),NA(),B151/B147-1),NA())</f>
        <v>2.7472527472527375E-2</v>
      </c>
      <c r="Q151" s="24">
        <f t="shared" si="104"/>
        <v>2.34113712374584E-2</v>
      </c>
      <c r="R151" s="24" t="e">
        <f t="shared" si="104"/>
        <v>#N/A</v>
      </c>
      <c r="S151" s="24">
        <f t="shared" si="104"/>
        <v>1.4362657091561815E-2</v>
      </c>
      <c r="T151" s="24">
        <f t="shared" si="104"/>
        <v>-8.3892617449664586E-3</v>
      </c>
    </row>
    <row r="152" spans="1:20" x14ac:dyDescent="0.25">
      <c r="A152" s="53">
        <f>Data1!A111</f>
        <v>34213</v>
      </c>
      <c r="B152">
        <f>IF(ISBLANK(Data1!B111),NA(),Data1!B111)</f>
        <v>56.8</v>
      </c>
      <c r="C152">
        <f>IF(ISBLANK(Data1!E111),NA(),Data1!E111)</f>
        <v>62.6</v>
      </c>
      <c r="D152" t="e">
        <f>IF(ISBLANK(Data1!AJ111),NA(),Data1!AJ111)</f>
        <v>#N/A</v>
      </c>
      <c r="E152">
        <f>IF(ISBLANK(Data1!BJ111),NA(),Data1!BJ111)</f>
        <v>56.7</v>
      </c>
      <c r="F152">
        <f>IF(ISBLANK(Data1!BK111),NA(),Data1!BK111)</f>
        <v>59.4</v>
      </c>
      <c r="H152" s="53">
        <f t="shared" si="65"/>
        <v>34213</v>
      </c>
      <c r="I152">
        <f t="shared" si="66"/>
        <v>525.92592592592587</v>
      </c>
      <c r="J152" cm="1">
        <f t="array" ref="J152">IF(ISNA(C152),NA(),C152/INDEX($C$52:$C$282,MATCH(TRUE,INDEX(NOT(ISNA($C$52:$C$282)),0),0))*100)</f>
        <v>119.23809523809523</v>
      </c>
      <c r="K152" t="e" cm="1">
        <f t="array" ref="K152">IF(ISNA(D152),NA(),D152/INDEX($D$52:$D$282,MATCH(TRUE,INDEX(NOT(ISNA($D$52:$D$282)),0),0))*100)</f>
        <v>#N/A</v>
      </c>
      <c r="L152">
        <f t="shared" si="67"/>
        <v>316.75977653631293</v>
      </c>
      <c r="M152">
        <f t="shared" si="68"/>
        <v>503.38983050847457</v>
      </c>
      <c r="O152" s="53">
        <f t="shared" si="73"/>
        <v>34213</v>
      </c>
      <c r="P152" s="24">
        <f t="shared" ref="P152:T152" si="105">IFERROR(IF(OR(ISNA(B152),ISNA(B148)),NA(),B152/B148-1),NA())</f>
        <v>5.3097345132742113E-3</v>
      </c>
      <c r="Q152" s="24">
        <f t="shared" si="105"/>
        <v>3.3003300330032959E-2</v>
      </c>
      <c r="R152" s="24" t="e">
        <f t="shared" si="105"/>
        <v>#N/A</v>
      </c>
      <c r="S152" s="24">
        <f t="shared" si="105"/>
        <v>5.3191489361703592E-3</v>
      </c>
      <c r="T152" s="24">
        <f t="shared" si="105"/>
        <v>-5.0251256281407253E-3</v>
      </c>
    </row>
    <row r="153" spans="1:20" x14ac:dyDescent="0.25">
      <c r="A153" s="53">
        <f>Data1!A112</f>
        <v>34304</v>
      </c>
      <c r="B153">
        <f>IF(ISBLANK(Data1!B112),NA(),Data1!B112)</f>
        <v>56.1</v>
      </c>
      <c r="C153">
        <f>IF(ISBLANK(Data1!E112),NA(),Data1!E112)</f>
        <v>62.6</v>
      </c>
      <c r="D153" t="e">
        <f>IF(ISBLANK(Data1!AJ112),NA(),Data1!AJ112)</f>
        <v>#N/A</v>
      </c>
      <c r="E153">
        <f>IF(ISBLANK(Data1!BJ112),NA(),Data1!BJ112)</f>
        <v>56.6</v>
      </c>
      <c r="F153">
        <f>IF(ISBLANK(Data1!BK112),NA(),Data1!BK112)</f>
        <v>59.3</v>
      </c>
      <c r="H153" s="53">
        <f t="shared" si="65"/>
        <v>34304</v>
      </c>
      <c r="I153">
        <f t="shared" si="66"/>
        <v>519.44444444444446</v>
      </c>
      <c r="J153" cm="1">
        <f t="array" ref="J153">IF(ISNA(C153),NA(),C153/INDEX($C$52:$C$282,MATCH(TRUE,INDEX(NOT(ISNA($C$52:$C$282)),0),0))*100)</f>
        <v>119.23809523809523</v>
      </c>
      <c r="K153" t="e" cm="1">
        <f t="array" ref="K153">IF(ISNA(D153),NA(),D153/INDEX($D$52:$D$282,MATCH(TRUE,INDEX(NOT(ISNA($D$52:$D$282)),0),0))*100)</f>
        <v>#N/A</v>
      </c>
      <c r="L153">
        <f t="shared" si="67"/>
        <v>316.20111731843582</v>
      </c>
      <c r="M153">
        <f t="shared" si="68"/>
        <v>502.5423728813559</v>
      </c>
      <c r="O153" s="53">
        <f t="shared" si="73"/>
        <v>34304</v>
      </c>
      <c r="P153" s="24">
        <f t="shared" ref="P153:T153" si="106">IFERROR(IF(OR(ISNA(B153),ISNA(B149)),NA(),B153/B149-1),NA())</f>
        <v>-1.4059753954305698E-2</v>
      </c>
      <c r="Q153" s="24">
        <f t="shared" si="106"/>
        <v>1.9543973941368087E-2</v>
      </c>
      <c r="R153" s="24" t="e">
        <f t="shared" si="106"/>
        <v>#N/A</v>
      </c>
      <c r="S153" s="24">
        <f t="shared" si="106"/>
        <v>0</v>
      </c>
      <c r="T153" s="24">
        <f t="shared" si="106"/>
        <v>0</v>
      </c>
    </row>
    <row r="154" spans="1:20" x14ac:dyDescent="0.25">
      <c r="A154" s="53">
        <f>Data1!A113</f>
        <v>34394</v>
      </c>
      <c r="B154">
        <f>IF(ISBLANK(Data1!B113),NA(),Data1!B113)</f>
        <v>54.4</v>
      </c>
      <c r="C154">
        <f>IF(ISBLANK(Data1!E113),NA(),Data1!E113)</f>
        <v>61.9</v>
      </c>
      <c r="D154" t="e">
        <f>IF(ISBLANK(Data1!AJ113),NA(),Data1!AJ113)</f>
        <v>#N/A</v>
      </c>
      <c r="E154">
        <f>IF(ISBLANK(Data1!BJ113),NA(),Data1!BJ113)</f>
        <v>56.2</v>
      </c>
      <c r="F154">
        <f>IF(ISBLANK(Data1!BK113),NA(),Data1!BK113)</f>
        <v>59</v>
      </c>
      <c r="H154" s="53">
        <f t="shared" si="65"/>
        <v>34394</v>
      </c>
      <c r="I154">
        <f t="shared" si="66"/>
        <v>503.70370370370364</v>
      </c>
      <c r="J154" cm="1">
        <f t="array" ref="J154">IF(ISNA(C154),NA(),C154/INDEX($C$52:$C$282,MATCH(TRUE,INDEX(NOT(ISNA($C$52:$C$282)),0),0))*100)</f>
        <v>117.90476190476191</v>
      </c>
      <c r="K154" t="e" cm="1">
        <f t="array" ref="K154">IF(ISNA(D154),NA(),D154/INDEX($D$52:$D$282,MATCH(TRUE,INDEX(NOT(ISNA($D$52:$D$282)),0),0))*100)</f>
        <v>#N/A</v>
      </c>
      <c r="L154">
        <f t="shared" si="67"/>
        <v>313.96648044692739</v>
      </c>
      <c r="M154">
        <f t="shared" si="68"/>
        <v>500</v>
      </c>
      <c r="O154" s="53">
        <f t="shared" si="73"/>
        <v>34394</v>
      </c>
      <c r="P154" s="24">
        <f t="shared" ref="P154:T154" si="107">IFERROR(IF(OR(ISNA(B154),ISNA(B150)),NA(),B154/B150-1),NA())</f>
        <v>-3.546099290780147E-2</v>
      </c>
      <c r="Q154" s="24">
        <f t="shared" si="107"/>
        <v>6.5040650406504863E-3</v>
      </c>
      <c r="R154" s="24" t="e">
        <f t="shared" si="107"/>
        <v>#N/A</v>
      </c>
      <c r="S154" s="24">
        <f t="shared" si="107"/>
        <v>-7.0671378091872183E-3</v>
      </c>
      <c r="T154" s="24">
        <f t="shared" si="107"/>
        <v>-1.6920473773266442E-3</v>
      </c>
    </row>
    <row r="155" spans="1:20" x14ac:dyDescent="0.25">
      <c r="A155" s="53">
        <f>Data1!A114</f>
        <v>34486</v>
      </c>
      <c r="B155">
        <f>IF(ISBLANK(Data1!B114),NA(),Data1!B114)</f>
        <v>54.8</v>
      </c>
      <c r="C155">
        <f>IF(ISBLANK(Data1!E114),NA(),Data1!E114)</f>
        <v>62.2</v>
      </c>
      <c r="D155" t="e">
        <f>IF(ISBLANK(Data1!AJ114),NA(),Data1!AJ114)</f>
        <v>#N/A</v>
      </c>
      <c r="E155">
        <f>IF(ISBLANK(Data1!BJ114),NA(),Data1!BJ114)</f>
        <v>56.5</v>
      </c>
      <c r="F155">
        <f>IF(ISBLANK(Data1!BK114),NA(),Data1!BK114)</f>
        <v>58.8</v>
      </c>
      <c r="H155" s="53">
        <f t="shared" si="65"/>
        <v>34486</v>
      </c>
      <c r="I155">
        <f t="shared" si="66"/>
        <v>507.40740740740733</v>
      </c>
      <c r="J155" cm="1">
        <f t="array" ref="J155">IF(ISNA(C155),NA(),C155/INDEX($C$52:$C$282,MATCH(TRUE,INDEX(NOT(ISNA($C$52:$C$282)),0),0))*100)</f>
        <v>118.4761904761905</v>
      </c>
      <c r="K155" t="e" cm="1">
        <f t="array" ref="K155">IF(ISNA(D155),NA(),D155/INDEX($D$52:$D$282,MATCH(TRUE,INDEX(NOT(ISNA($D$52:$D$282)),0),0))*100)</f>
        <v>#N/A</v>
      </c>
      <c r="L155">
        <f t="shared" si="67"/>
        <v>315.64245810055866</v>
      </c>
      <c r="M155">
        <f t="shared" si="68"/>
        <v>498.30508474576266</v>
      </c>
      <c r="O155" s="53">
        <f t="shared" si="73"/>
        <v>34486</v>
      </c>
      <c r="P155" s="24">
        <f t="shared" ref="P155:T155" si="108">IFERROR(IF(OR(ISNA(B155),ISNA(B151)),NA(),B155/B151-1),NA())</f>
        <v>-2.3172905525846832E-2</v>
      </c>
      <c r="Q155" s="24">
        <f t="shared" si="108"/>
        <v>1.6339869281045694E-2</v>
      </c>
      <c r="R155" s="24" t="e">
        <f t="shared" si="108"/>
        <v>#N/A</v>
      </c>
      <c r="S155" s="24">
        <f t="shared" si="108"/>
        <v>0</v>
      </c>
      <c r="T155" s="24">
        <f t="shared" si="108"/>
        <v>-5.0761421319798217E-3</v>
      </c>
    </row>
    <row r="156" spans="1:20" x14ac:dyDescent="0.25">
      <c r="A156" s="53">
        <f>Data1!A115</f>
        <v>34578</v>
      </c>
      <c r="B156">
        <f>IF(ISBLANK(Data1!B115),NA(),Data1!B115)</f>
        <v>55.7</v>
      </c>
      <c r="C156">
        <f>IF(ISBLANK(Data1!E115),NA(),Data1!E115)</f>
        <v>62.8</v>
      </c>
      <c r="D156" t="e">
        <f>IF(ISBLANK(Data1!AJ115),NA(),Data1!AJ115)</f>
        <v>#N/A</v>
      </c>
      <c r="E156">
        <f>IF(ISBLANK(Data1!BJ115),NA(),Data1!BJ115)</f>
        <v>56.1</v>
      </c>
      <c r="F156">
        <f>IF(ISBLANK(Data1!BK115),NA(),Data1!BK115)</f>
        <v>57.8</v>
      </c>
      <c r="H156" s="53">
        <f t="shared" si="65"/>
        <v>34578</v>
      </c>
      <c r="I156">
        <f t="shared" si="66"/>
        <v>515.74074074074076</v>
      </c>
      <c r="J156" cm="1">
        <f t="array" ref="J156">IF(ISNA(C156),NA(),C156/INDEX($C$52:$C$282,MATCH(TRUE,INDEX(NOT(ISNA($C$52:$C$282)),0),0))*100)</f>
        <v>119.61904761904761</v>
      </c>
      <c r="K156" t="e" cm="1">
        <f t="array" ref="K156">IF(ISNA(D156),NA(),D156/INDEX($D$52:$D$282,MATCH(TRUE,INDEX(NOT(ISNA($D$52:$D$282)),0),0))*100)</f>
        <v>#N/A</v>
      </c>
      <c r="L156">
        <f t="shared" si="67"/>
        <v>313.40782122905028</v>
      </c>
      <c r="M156">
        <f t="shared" si="68"/>
        <v>489.83050847457622</v>
      </c>
      <c r="O156" s="53">
        <f t="shared" si="73"/>
        <v>34578</v>
      </c>
      <c r="P156" s="24">
        <f t="shared" ref="P156:T156" si="109">IFERROR(IF(OR(ISNA(B156),ISNA(B152)),NA(),B156/B152-1),NA())</f>
        <v>-1.936619718309851E-2</v>
      </c>
      <c r="Q156" s="24">
        <f t="shared" si="109"/>
        <v>3.1948881789136685E-3</v>
      </c>
      <c r="R156" s="24" t="e">
        <f t="shared" si="109"/>
        <v>#N/A</v>
      </c>
      <c r="S156" s="24">
        <f t="shared" si="109"/>
        <v>-1.0582010582010581E-2</v>
      </c>
      <c r="T156" s="24">
        <f t="shared" si="109"/>
        <v>-2.6936026936026924E-2</v>
      </c>
    </row>
    <row r="157" spans="1:20" x14ac:dyDescent="0.25">
      <c r="A157" s="53">
        <f>Data1!A116</f>
        <v>34669</v>
      </c>
      <c r="B157">
        <f>IF(ISBLANK(Data1!B116),NA(),Data1!B116)</f>
        <v>55.7</v>
      </c>
      <c r="C157">
        <f>IF(ISBLANK(Data1!E116),NA(),Data1!E116)</f>
        <v>63.5</v>
      </c>
      <c r="D157" t="e">
        <f>IF(ISBLANK(Data1!AJ116),NA(),Data1!AJ116)</f>
        <v>#N/A</v>
      </c>
      <c r="E157">
        <f>IF(ISBLANK(Data1!BJ116),NA(),Data1!BJ116)</f>
        <v>56.2</v>
      </c>
      <c r="F157">
        <f>IF(ISBLANK(Data1!BK116),NA(),Data1!BK116)</f>
        <v>58.1</v>
      </c>
      <c r="H157" s="53">
        <f t="shared" si="65"/>
        <v>34669</v>
      </c>
      <c r="I157">
        <f t="shared" si="66"/>
        <v>515.74074074074076</v>
      </c>
      <c r="J157" cm="1">
        <f t="array" ref="J157">IF(ISNA(C157),NA(),C157/INDEX($C$52:$C$282,MATCH(TRUE,INDEX(NOT(ISNA($C$52:$C$282)),0),0))*100)</f>
        <v>120.95238095238095</v>
      </c>
      <c r="K157" t="e" cm="1">
        <f t="array" ref="K157">IF(ISNA(D157),NA(),D157/INDEX($D$52:$D$282,MATCH(TRUE,INDEX(NOT(ISNA($D$52:$D$282)),0),0))*100)</f>
        <v>#N/A</v>
      </c>
      <c r="L157">
        <f t="shared" si="67"/>
        <v>313.96648044692739</v>
      </c>
      <c r="M157">
        <f t="shared" si="68"/>
        <v>492.37288135593218</v>
      </c>
      <c r="O157" s="53">
        <f t="shared" si="73"/>
        <v>34669</v>
      </c>
      <c r="P157" s="24">
        <f t="shared" ref="P157:T157" si="110">IFERROR(IF(OR(ISNA(B157),ISNA(B153)),NA(),B157/B153-1),NA())</f>
        <v>-7.1301247771835552E-3</v>
      </c>
      <c r="Q157" s="24">
        <f t="shared" si="110"/>
        <v>1.437699680511173E-2</v>
      </c>
      <c r="R157" s="24" t="e">
        <f t="shared" si="110"/>
        <v>#N/A</v>
      </c>
      <c r="S157" s="24">
        <f t="shared" si="110"/>
        <v>-7.0671378091872183E-3</v>
      </c>
      <c r="T157" s="24">
        <f t="shared" si="110"/>
        <v>-2.02360876897133E-2</v>
      </c>
    </row>
    <row r="158" spans="1:20" x14ac:dyDescent="0.25">
      <c r="A158" s="53">
        <f>Data1!A117</f>
        <v>34759</v>
      </c>
      <c r="B158">
        <f>IF(ISBLANK(Data1!B117),NA(),Data1!B117)</f>
        <v>57.3</v>
      </c>
      <c r="C158">
        <f>IF(ISBLANK(Data1!E117),NA(),Data1!E117)</f>
        <v>64.7</v>
      </c>
      <c r="D158" t="e">
        <f>IF(ISBLANK(Data1!AJ117),NA(),Data1!AJ117)</f>
        <v>#N/A</v>
      </c>
      <c r="E158">
        <f>IF(ISBLANK(Data1!BJ117),NA(),Data1!BJ117)</f>
        <v>56.5</v>
      </c>
      <c r="F158">
        <f>IF(ISBLANK(Data1!BK117),NA(),Data1!BK117)</f>
        <v>58.6</v>
      </c>
      <c r="H158" s="53">
        <f t="shared" si="65"/>
        <v>34759</v>
      </c>
      <c r="I158">
        <f t="shared" si="66"/>
        <v>530.55555555555554</v>
      </c>
      <c r="J158" cm="1">
        <f t="array" ref="J158">IF(ISNA(C158),NA(),C158/INDEX($C$52:$C$282,MATCH(TRUE,INDEX(NOT(ISNA($C$52:$C$282)),0),0))*100)</f>
        <v>123.23809523809524</v>
      </c>
      <c r="K158" t="e" cm="1">
        <f t="array" ref="K158">IF(ISNA(D158),NA(),D158/INDEX($D$52:$D$282,MATCH(TRUE,INDEX(NOT(ISNA($D$52:$D$282)),0),0))*100)</f>
        <v>#N/A</v>
      </c>
      <c r="L158">
        <f t="shared" si="67"/>
        <v>315.64245810055866</v>
      </c>
      <c r="M158">
        <f t="shared" si="68"/>
        <v>496.61016949152543</v>
      </c>
      <c r="O158" s="53">
        <f t="shared" si="73"/>
        <v>34759</v>
      </c>
      <c r="P158" s="24">
        <f t="shared" ref="P158:T158" si="111">IFERROR(IF(OR(ISNA(B158),ISNA(B154)),NA(),B158/B154-1),NA())</f>
        <v>5.3308823529411686E-2</v>
      </c>
      <c r="Q158" s="24">
        <f t="shared" si="111"/>
        <v>4.5234248788368348E-2</v>
      </c>
      <c r="R158" s="24" t="e">
        <f t="shared" si="111"/>
        <v>#N/A</v>
      </c>
      <c r="S158" s="24">
        <f t="shared" si="111"/>
        <v>5.3380782918148739E-3</v>
      </c>
      <c r="T158" s="24">
        <f t="shared" si="111"/>
        <v>-6.7796610169491567E-3</v>
      </c>
    </row>
    <row r="159" spans="1:20" x14ac:dyDescent="0.25">
      <c r="A159" s="53">
        <f>Data1!A118</f>
        <v>34851</v>
      </c>
      <c r="B159">
        <f>IF(ISBLANK(Data1!B118),NA(),Data1!B118)</f>
        <v>59.6</v>
      </c>
      <c r="C159">
        <f>IF(ISBLANK(Data1!E118),NA(),Data1!E118)</f>
        <v>67.3</v>
      </c>
      <c r="D159" t="e">
        <f>IF(ISBLANK(Data1!AJ118),NA(),Data1!AJ118)</f>
        <v>#N/A</v>
      </c>
      <c r="E159">
        <f>IF(ISBLANK(Data1!BJ118),NA(),Data1!BJ118)</f>
        <v>56.9</v>
      </c>
      <c r="F159">
        <f>IF(ISBLANK(Data1!BK118),NA(),Data1!BK118)</f>
        <v>58.4</v>
      </c>
      <c r="H159" s="53">
        <f t="shared" si="65"/>
        <v>34851</v>
      </c>
      <c r="I159">
        <f t="shared" si="66"/>
        <v>551.85185185185185</v>
      </c>
      <c r="J159" cm="1">
        <f t="array" ref="J159">IF(ISNA(C159),NA(),C159/INDEX($C$52:$C$282,MATCH(TRUE,INDEX(NOT(ISNA($C$52:$C$282)),0),0))*100)</f>
        <v>128.19047619047618</v>
      </c>
      <c r="K159" t="e" cm="1">
        <f t="array" ref="K159">IF(ISNA(D159),NA(),D159/INDEX($D$52:$D$282,MATCH(TRUE,INDEX(NOT(ISNA($D$52:$D$282)),0),0))*100)</f>
        <v>#N/A</v>
      </c>
      <c r="L159">
        <f t="shared" si="67"/>
        <v>317.87709497206708</v>
      </c>
      <c r="M159">
        <f t="shared" si="68"/>
        <v>494.91525423728808</v>
      </c>
      <c r="O159" s="53">
        <f t="shared" si="73"/>
        <v>34851</v>
      </c>
      <c r="P159" s="24">
        <f t="shared" ref="P159:T159" si="112">IFERROR(IF(OR(ISNA(B159),ISNA(B155)),NA(),B159/B155-1),NA())</f>
        <v>8.7591240875912524E-2</v>
      </c>
      <c r="Q159" s="24">
        <f t="shared" si="112"/>
        <v>8.1993569131832755E-2</v>
      </c>
      <c r="R159" s="24" t="e">
        <f t="shared" si="112"/>
        <v>#N/A</v>
      </c>
      <c r="S159" s="24">
        <f t="shared" si="112"/>
        <v>7.0796460176991705E-3</v>
      </c>
      <c r="T159" s="24">
        <f t="shared" si="112"/>
        <v>-6.8027210884353817E-3</v>
      </c>
    </row>
    <row r="160" spans="1:20" x14ac:dyDescent="0.25">
      <c r="A160" s="53">
        <f>Data1!A119</f>
        <v>34943</v>
      </c>
      <c r="B160">
        <f>IF(ISBLANK(Data1!B119),NA(),Data1!B119)</f>
        <v>59</v>
      </c>
      <c r="C160">
        <f>IF(ISBLANK(Data1!E119),NA(),Data1!E119)</f>
        <v>67.400000000000006</v>
      </c>
      <c r="D160" t="e">
        <f>IF(ISBLANK(Data1!AJ119),NA(),Data1!AJ119)</f>
        <v>#N/A</v>
      </c>
      <c r="E160">
        <f>IF(ISBLANK(Data1!BJ119),NA(),Data1!BJ119)</f>
        <v>57.6</v>
      </c>
      <c r="F160">
        <f>IF(ISBLANK(Data1!BK119),NA(),Data1!BK119)</f>
        <v>59.2</v>
      </c>
      <c r="H160" s="53">
        <f t="shared" si="65"/>
        <v>34943</v>
      </c>
      <c r="I160">
        <f t="shared" si="66"/>
        <v>546.2962962962963</v>
      </c>
      <c r="J160" cm="1">
        <f t="array" ref="J160">IF(ISNA(C160),NA(),C160/INDEX($C$52:$C$282,MATCH(TRUE,INDEX(NOT(ISNA($C$52:$C$282)),0),0))*100)</f>
        <v>128.38095238095241</v>
      </c>
      <c r="K160" t="e" cm="1">
        <f t="array" ref="K160">IF(ISNA(D160),NA(),D160/INDEX($D$52:$D$282,MATCH(TRUE,INDEX(NOT(ISNA($D$52:$D$282)),0),0))*100)</f>
        <v>#N/A</v>
      </c>
      <c r="L160">
        <f t="shared" si="67"/>
        <v>321.78770949720672</v>
      </c>
      <c r="M160">
        <f t="shared" si="68"/>
        <v>501.69491525423729</v>
      </c>
      <c r="O160" s="53">
        <f t="shared" si="73"/>
        <v>34943</v>
      </c>
      <c r="P160" s="24">
        <f t="shared" ref="P160:T160" si="113">IFERROR(IF(OR(ISNA(B160),ISNA(B156)),NA(),B160/B156-1),NA())</f>
        <v>5.9245960502692929E-2</v>
      </c>
      <c r="Q160" s="24">
        <f t="shared" si="113"/>
        <v>7.3248407643312197E-2</v>
      </c>
      <c r="R160" s="24" t="e">
        <f t="shared" si="113"/>
        <v>#N/A</v>
      </c>
      <c r="S160" s="24">
        <f t="shared" si="113"/>
        <v>2.673796791443861E-2</v>
      </c>
      <c r="T160" s="24">
        <f t="shared" si="113"/>
        <v>2.4221453287197381E-2</v>
      </c>
    </row>
    <row r="161" spans="1:20" x14ac:dyDescent="0.25">
      <c r="A161" s="53">
        <f>Data1!A120</f>
        <v>35034</v>
      </c>
      <c r="B161">
        <f>IF(ISBLANK(Data1!B120),NA(),Data1!B120)</f>
        <v>58.3</v>
      </c>
      <c r="C161">
        <f>IF(ISBLANK(Data1!E120),NA(),Data1!E120)</f>
        <v>66.400000000000006</v>
      </c>
      <c r="D161" t="e">
        <f>IF(ISBLANK(Data1!AJ120),NA(),Data1!AJ120)</f>
        <v>#N/A</v>
      </c>
      <c r="E161">
        <f>IF(ISBLANK(Data1!BJ120),NA(),Data1!BJ120)</f>
        <v>57.5</v>
      </c>
      <c r="F161">
        <f>IF(ISBLANK(Data1!BK120),NA(),Data1!BK120)</f>
        <v>59.6</v>
      </c>
      <c r="H161" s="53">
        <f t="shared" si="65"/>
        <v>35034</v>
      </c>
      <c r="I161">
        <f t="shared" si="66"/>
        <v>539.81481481481478</v>
      </c>
      <c r="J161" cm="1">
        <f t="array" ref="J161">IF(ISNA(C161),NA(),C161/INDEX($C$52:$C$282,MATCH(TRUE,INDEX(NOT(ISNA($C$52:$C$282)),0),0))*100)</f>
        <v>126.4761904761905</v>
      </c>
      <c r="K161" t="e" cm="1">
        <f t="array" ref="K161">IF(ISNA(D161),NA(),D161/INDEX($D$52:$D$282,MATCH(TRUE,INDEX(NOT(ISNA($D$52:$D$282)),0),0))*100)</f>
        <v>#N/A</v>
      </c>
      <c r="L161">
        <f t="shared" si="67"/>
        <v>321.22905027932961</v>
      </c>
      <c r="M161">
        <f t="shared" si="68"/>
        <v>505.08474576271186</v>
      </c>
      <c r="O161" s="53">
        <f t="shared" si="73"/>
        <v>35034</v>
      </c>
      <c r="P161" s="24">
        <f t="shared" ref="P161:T161" si="114">IFERROR(IF(OR(ISNA(B161),ISNA(B157)),NA(),B161/B157-1),NA())</f>
        <v>4.6678635547576119E-2</v>
      </c>
      <c r="Q161" s="24">
        <f t="shared" si="114"/>
        <v>4.5669291338582774E-2</v>
      </c>
      <c r="R161" s="24" t="e">
        <f t="shared" si="114"/>
        <v>#N/A</v>
      </c>
      <c r="S161" s="24">
        <f t="shared" si="114"/>
        <v>2.313167259786475E-2</v>
      </c>
      <c r="T161" s="24">
        <f t="shared" si="114"/>
        <v>2.5817555938037806E-2</v>
      </c>
    </row>
    <row r="162" spans="1:20" x14ac:dyDescent="0.25">
      <c r="A162" s="53">
        <f>Data1!A121</f>
        <v>35125</v>
      </c>
      <c r="B162">
        <f>IF(ISBLANK(Data1!B121),NA(),Data1!B121)</f>
        <v>58.7</v>
      </c>
      <c r="C162">
        <f>IF(ISBLANK(Data1!E121),NA(),Data1!E121)</f>
        <v>65.5</v>
      </c>
      <c r="D162" t="e">
        <f>IF(ISBLANK(Data1!AJ121),NA(),Data1!AJ121)</f>
        <v>#N/A</v>
      </c>
      <c r="E162">
        <f>IF(ISBLANK(Data1!BJ121),NA(),Data1!BJ121)</f>
        <v>57.9</v>
      </c>
      <c r="F162">
        <f>IF(ISBLANK(Data1!BK121),NA(),Data1!BK121)</f>
        <v>59.8</v>
      </c>
      <c r="H162" s="53">
        <f t="shared" si="65"/>
        <v>35125</v>
      </c>
      <c r="I162">
        <f t="shared" si="66"/>
        <v>543.51851851851848</v>
      </c>
      <c r="J162" cm="1">
        <f t="array" ref="J162">IF(ISNA(C162),NA(),C162/INDEX($C$52:$C$282,MATCH(TRUE,INDEX(NOT(ISNA($C$52:$C$282)),0),0))*100)</f>
        <v>124.76190476190476</v>
      </c>
      <c r="K162" t="e" cm="1">
        <f t="array" ref="K162">IF(ISNA(D162),NA(),D162/INDEX($D$52:$D$282,MATCH(TRUE,INDEX(NOT(ISNA($D$52:$D$282)),0),0))*100)</f>
        <v>#N/A</v>
      </c>
      <c r="L162">
        <f t="shared" si="67"/>
        <v>323.46368715083804</v>
      </c>
      <c r="M162">
        <f t="shared" si="68"/>
        <v>506.77966101694915</v>
      </c>
      <c r="O162" s="53">
        <f t="shared" si="73"/>
        <v>35125</v>
      </c>
      <c r="P162" s="24">
        <f t="shared" ref="P162:T162" si="115">IFERROR(IF(OR(ISNA(B162),ISNA(B158)),NA(),B162/B158-1),NA())</f>
        <v>2.443280977312412E-2</v>
      </c>
      <c r="Q162" s="24">
        <f t="shared" si="115"/>
        <v>1.2364760432766575E-2</v>
      </c>
      <c r="R162" s="24" t="e">
        <f t="shared" si="115"/>
        <v>#N/A</v>
      </c>
      <c r="S162" s="24">
        <f t="shared" si="115"/>
        <v>2.4778761061946986E-2</v>
      </c>
      <c r="T162" s="24">
        <f t="shared" si="115"/>
        <v>2.0477815699658564E-2</v>
      </c>
    </row>
    <row r="163" spans="1:20" x14ac:dyDescent="0.25">
      <c r="A163" s="53">
        <f>Data1!A122</f>
        <v>35217</v>
      </c>
      <c r="B163">
        <f>IF(ISBLANK(Data1!B122),NA(),Data1!B122)</f>
        <v>57.4</v>
      </c>
      <c r="C163">
        <f>IF(ISBLANK(Data1!E122),NA(),Data1!E122)</f>
        <v>64.2</v>
      </c>
      <c r="D163" t="e">
        <f>IF(ISBLANK(Data1!AJ122),NA(),Data1!AJ122)</f>
        <v>#N/A</v>
      </c>
      <c r="E163">
        <f>IF(ISBLANK(Data1!BJ122),NA(),Data1!BJ122)</f>
        <v>58.1</v>
      </c>
      <c r="F163">
        <f>IF(ISBLANK(Data1!BK122),NA(),Data1!BK122)</f>
        <v>58.9</v>
      </c>
      <c r="H163" s="53">
        <f t="shared" si="65"/>
        <v>35217</v>
      </c>
      <c r="I163">
        <f t="shared" si="66"/>
        <v>531.48148148148141</v>
      </c>
      <c r="J163" cm="1">
        <f t="array" ref="J163">IF(ISNA(C163),NA(),C163/INDEX($C$52:$C$282,MATCH(TRUE,INDEX(NOT(ISNA($C$52:$C$282)),0),0))*100)</f>
        <v>122.28571428571429</v>
      </c>
      <c r="K163" t="e" cm="1">
        <f t="array" ref="K163">IF(ISNA(D163),NA(),D163/INDEX($D$52:$D$282,MATCH(TRUE,INDEX(NOT(ISNA($D$52:$D$282)),0),0))*100)</f>
        <v>#N/A</v>
      </c>
      <c r="L163">
        <f t="shared" si="67"/>
        <v>324.5810055865922</v>
      </c>
      <c r="M163">
        <f t="shared" si="68"/>
        <v>499.15254237288133</v>
      </c>
      <c r="O163" s="53">
        <f t="shared" si="73"/>
        <v>35217</v>
      </c>
      <c r="P163" s="24">
        <f t="shared" ref="P163:T163" si="116">IFERROR(IF(OR(ISNA(B163),ISNA(B159)),NA(),B163/B159-1),NA())</f>
        <v>-3.6912751677852351E-2</v>
      </c>
      <c r="Q163" s="24">
        <f t="shared" si="116"/>
        <v>-4.6062407132243632E-2</v>
      </c>
      <c r="R163" s="24" t="e">
        <f t="shared" si="116"/>
        <v>#N/A</v>
      </c>
      <c r="S163" s="24">
        <f t="shared" si="116"/>
        <v>2.1089630931458769E-2</v>
      </c>
      <c r="T163" s="24">
        <f t="shared" si="116"/>
        <v>8.5616438356164171E-3</v>
      </c>
    </row>
    <row r="164" spans="1:20" x14ac:dyDescent="0.25">
      <c r="A164" s="53">
        <f>Data1!A123</f>
        <v>35309</v>
      </c>
      <c r="B164">
        <f>IF(ISBLANK(Data1!B123),NA(),Data1!B123)</f>
        <v>56.3</v>
      </c>
      <c r="C164">
        <f>IF(ISBLANK(Data1!E123),NA(),Data1!E123)</f>
        <v>62.5</v>
      </c>
      <c r="D164" t="e">
        <f>IF(ISBLANK(Data1!AJ123),NA(),Data1!AJ123)</f>
        <v>#N/A</v>
      </c>
      <c r="E164">
        <f>IF(ISBLANK(Data1!BJ123),NA(),Data1!BJ123)</f>
        <v>58.6</v>
      </c>
      <c r="F164">
        <f>IF(ISBLANK(Data1!BK123),NA(),Data1!BK123)</f>
        <v>59.5</v>
      </c>
      <c r="H164" s="53">
        <f t="shared" si="65"/>
        <v>35309</v>
      </c>
      <c r="I164">
        <f t="shared" si="66"/>
        <v>521.2962962962963</v>
      </c>
      <c r="J164" cm="1">
        <f t="array" ref="J164">IF(ISNA(C164),NA(),C164/INDEX($C$52:$C$282,MATCH(TRUE,INDEX(NOT(ISNA($C$52:$C$282)),0),0))*100)</f>
        <v>119.04761904761905</v>
      </c>
      <c r="K164" t="e" cm="1">
        <f t="array" ref="K164">IF(ISNA(D164),NA(),D164/INDEX($D$52:$D$282,MATCH(TRUE,INDEX(NOT(ISNA($D$52:$D$282)),0),0))*100)</f>
        <v>#N/A</v>
      </c>
      <c r="L164">
        <f t="shared" si="67"/>
        <v>327.37430167597768</v>
      </c>
      <c r="M164">
        <f t="shared" si="68"/>
        <v>504.23728813559319</v>
      </c>
      <c r="O164" s="53">
        <f t="shared" si="73"/>
        <v>35309</v>
      </c>
      <c r="P164" s="24">
        <f t="shared" ref="P164:T164" si="117">IFERROR(IF(OR(ISNA(B164),ISNA(B160)),NA(),B164/B160-1),NA())</f>
        <v>-4.5762711864406835E-2</v>
      </c>
      <c r="Q164" s="24">
        <f t="shared" si="117"/>
        <v>-7.2700296735905168E-2</v>
      </c>
      <c r="R164" s="24" t="e">
        <f t="shared" si="117"/>
        <v>#N/A</v>
      </c>
      <c r="S164" s="24">
        <f t="shared" si="117"/>
        <v>1.736111111111116E-2</v>
      </c>
      <c r="T164" s="24">
        <f t="shared" si="117"/>
        <v>5.0675675675675436E-3</v>
      </c>
    </row>
    <row r="165" spans="1:20" x14ac:dyDescent="0.25">
      <c r="A165" s="53">
        <f>Data1!A124</f>
        <v>35400</v>
      </c>
      <c r="B165">
        <f>IF(ISBLANK(Data1!B124),NA(),Data1!B124)</f>
        <v>56.3</v>
      </c>
      <c r="C165">
        <f>IF(ISBLANK(Data1!E124),NA(),Data1!E124)</f>
        <v>61.2</v>
      </c>
      <c r="D165" t="e">
        <f>IF(ISBLANK(Data1!AJ124),NA(),Data1!AJ124)</f>
        <v>#N/A</v>
      </c>
      <c r="E165">
        <f>IF(ISBLANK(Data1!BJ124),NA(),Data1!BJ124)</f>
        <v>59</v>
      </c>
      <c r="F165">
        <f>IF(ISBLANK(Data1!BK124),NA(),Data1!BK124)</f>
        <v>59.1</v>
      </c>
      <c r="H165" s="53">
        <f t="shared" si="65"/>
        <v>35400</v>
      </c>
      <c r="I165">
        <f t="shared" si="66"/>
        <v>521.2962962962963</v>
      </c>
      <c r="J165" cm="1">
        <f t="array" ref="J165">IF(ISNA(C165),NA(),C165/INDEX($C$52:$C$282,MATCH(TRUE,INDEX(NOT(ISNA($C$52:$C$282)),0),0))*100)</f>
        <v>116.57142857142857</v>
      </c>
      <c r="K165" t="e" cm="1">
        <f t="array" ref="K165">IF(ISNA(D165),NA(),D165/INDEX($D$52:$D$282,MATCH(TRUE,INDEX(NOT(ISNA($D$52:$D$282)),0),0))*100)</f>
        <v>#N/A</v>
      </c>
      <c r="L165">
        <f t="shared" si="67"/>
        <v>329.60893854748605</v>
      </c>
      <c r="M165">
        <f t="shared" si="68"/>
        <v>500.84745762711862</v>
      </c>
      <c r="O165" s="53">
        <f t="shared" si="73"/>
        <v>35400</v>
      </c>
      <c r="P165" s="24">
        <f t="shared" ref="P165:T165" si="118">IFERROR(IF(OR(ISNA(B165),ISNA(B161)),NA(),B165/B161-1),NA())</f>
        <v>-3.4305317324185292E-2</v>
      </c>
      <c r="Q165" s="24">
        <f t="shared" si="118"/>
        <v>-7.8313253012048278E-2</v>
      </c>
      <c r="R165" s="24" t="e">
        <f t="shared" si="118"/>
        <v>#N/A</v>
      </c>
      <c r="S165" s="24">
        <f t="shared" si="118"/>
        <v>2.6086956521739202E-2</v>
      </c>
      <c r="T165" s="24">
        <f t="shared" si="118"/>
        <v>-8.3892617449664586E-3</v>
      </c>
    </row>
    <row r="166" spans="1:20" x14ac:dyDescent="0.25">
      <c r="A166" s="53">
        <f>Data1!A125</f>
        <v>35490</v>
      </c>
      <c r="B166">
        <f>IF(ISBLANK(Data1!B125),NA(),Data1!B125)</f>
        <v>56.4</v>
      </c>
      <c r="C166">
        <f>IF(ISBLANK(Data1!E125),NA(),Data1!E125)</f>
        <v>61.3</v>
      </c>
      <c r="D166" t="e">
        <f>IF(ISBLANK(Data1!AJ125),NA(),Data1!AJ125)</f>
        <v>#N/A</v>
      </c>
      <c r="E166">
        <f>IF(ISBLANK(Data1!BJ125),NA(),Data1!BJ125)</f>
        <v>58.8</v>
      </c>
      <c r="F166">
        <f>IF(ISBLANK(Data1!BK125),NA(),Data1!BK125)</f>
        <v>59.5</v>
      </c>
      <c r="H166" s="53">
        <f t="shared" si="65"/>
        <v>35490</v>
      </c>
      <c r="I166">
        <f t="shared" si="66"/>
        <v>522.22222222222217</v>
      </c>
      <c r="J166" cm="1">
        <f t="array" ref="J166">IF(ISNA(C166),NA(),C166/INDEX($C$52:$C$282,MATCH(TRUE,INDEX(NOT(ISNA($C$52:$C$282)),0),0))*100)</f>
        <v>116.76190476190476</v>
      </c>
      <c r="K166" t="e" cm="1">
        <f t="array" ref="K166">IF(ISNA(D166),NA(),D166/INDEX($D$52:$D$282,MATCH(TRUE,INDEX(NOT(ISNA($D$52:$D$282)),0),0))*100)</f>
        <v>#N/A</v>
      </c>
      <c r="L166">
        <f t="shared" si="67"/>
        <v>328.49162011173189</v>
      </c>
      <c r="M166">
        <f t="shared" si="68"/>
        <v>504.23728813559319</v>
      </c>
      <c r="O166" s="53">
        <f t="shared" si="73"/>
        <v>35490</v>
      </c>
      <c r="P166" s="24">
        <f t="shared" ref="P166:T166" si="119">IFERROR(IF(OR(ISNA(B166),ISNA(B162)),NA(),B166/B162-1),NA())</f>
        <v>-3.9182282793867151E-2</v>
      </c>
      <c r="Q166" s="24">
        <f t="shared" si="119"/>
        <v>-6.4122137404580171E-2</v>
      </c>
      <c r="R166" s="24" t="e">
        <f t="shared" si="119"/>
        <v>#N/A</v>
      </c>
      <c r="S166" s="24">
        <f t="shared" si="119"/>
        <v>1.5544041450777257E-2</v>
      </c>
      <c r="T166" s="24">
        <f t="shared" si="119"/>
        <v>-5.0167224080267525E-3</v>
      </c>
    </row>
    <row r="167" spans="1:20" x14ac:dyDescent="0.25">
      <c r="A167" s="53">
        <f>Data1!A126</f>
        <v>35582</v>
      </c>
      <c r="B167">
        <f>IF(ISBLANK(Data1!B126),NA(),Data1!B126)</f>
        <v>55.9</v>
      </c>
      <c r="C167">
        <f>IF(ISBLANK(Data1!E126),NA(),Data1!E126)</f>
        <v>62</v>
      </c>
      <c r="D167" t="e">
        <f>IF(ISBLANK(Data1!AJ126),NA(),Data1!AJ126)</f>
        <v>#N/A</v>
      </c>
      <c r="E167">
        <f>IF(ISBLANK(Data1!BJ126),NA(),Data1!BJ126)</f>
        <v>58.2</v>
      </c>
      <c r="F167">
        <f>IF(ISBLANK(Data1!BK126),NA(),Data1!BK126)</f>
        <v>59.7</v>
      </c>
      <c r="H167" s="53">
        <f t="shared" si="65"/>
        <v>35582</v>
      </c>
      <c r="I167">
        <f t="shared" si="66"/>
        <v>517.59259259259261</v>
      </c>
      <c r="J167" cm="1">
        <f t="array" ref="J167">IF(ISNA(C167),NA(),C167/INDEX($C$52:$C$282,MATCH(TRUE,INDEX(NOT(ISNA($C$52:$C$282)),0),0))*100)</f>
        <v>118.0952380952381</v>
      </c>
      <c r="K167" t="e" cm="1">
        <f t="array" ref="K167">IF(ISNA(D167),NA(),D167/INDEX($D$52:$D$282,MATCH(TRUE,INDEX(NOT(ISNA($D$52:$D$282)),0),0))*100)</f>
        <v>#N/A</v>
      </c>
      <c r="L167">
        <f t="shared" si="67"/>
        <v>325.13966480446931</v>
      </c>
      <c r="M167">
        <f t="shared" si="68"/>
        <v>505.93220338983053</v>
      </c>
      <c r="O167" s="53">
        <f t="shared" si="73"/>
        <v>35582</v>
      </c>
      <c r="P167" s="24">
        <f t="shared" ref="P167:T167" si="120">IFERROR(IF(OR(ISNA(B167),ISNA(B163)),NA(),B167/B163-1),NA())</f>
        <v>-2.6132404181184676E-2</v>
      </c>
      <c r="Q167" s="24">
        <f t="shared" si="120"/>
        <v>-3.4267912772585674E-2</v>
      </c>
      <c r="R167" s="24" t="e">
        <f t="shared" si="120"/>
        <v>#N/A</v>
      </c>
      <c r="S167" s="24">
        <f t="shared" si="120"/>
        <v>1.7211703958692759E-3</v>
      </c>
      <c r="T167" s="24">
        <f t="shared" si="120"/>
        <v>1.3582342954159721E-2</v>
      </c>
    </row>
    <row r="168" spans="1:20" x14ac:dyDescent="0.25">
      <c r="A168" s="53">
        <f>Data1!A127</f>
        <v>35674</v>
      </c>
      <c r="B168">
        <f>IF(ISBLANK(Data1!B127),NA(),Data1!B127)</f>
        <v>56.5</v>
      </c>
      <c r="C168">
        <f>IF(ISBLANK(Data1!E127),NA(),Data1!E127)</f>
        <v>62.9</v>
      </c>
      <c r="D168" t="e">
        <f>IF(ISBLANK(Data1!AJ127),NA(),Data1!AJ127)</f>
        <v>#N/A</v>
      </c>
      <c r="E168">
        <f>IF(ISBLANK(Data1!BJ127),NA(),Data1!BJ127)</f>
        <v>58.9</v>
      </c>
      <c r="F168">
        <f>IF(ISBLANK(Data1!BK127),NA(),Data1!BK127)</f>
        <v>59.7</v>
      </c>
      <c r="H168" s="53">
        <f t="shared" si="65"/>
        <v>35674</v>
      </c>
      <c r="I168">
        <f t="shared" si="66"/>
        <v>523.14814814814804</v>
      </c>
      <c r="J168" cm="1">
        <f t="array" ref="J168">IF(ISNA(C168),NA(),C168/INDEX($C$52:$C$282,MATCH(TRUE,INDEX(NOT(ISNA($C$52:$C$282)),0),0))*100)</f>
        <v>119.80952380952381</v>
      </c>
      <c r="K168" t="e" cm="1">
        <f t="array" ref="K168">IF(ISNA(D168),NA(),D168/INDEX($D$52:$D$282,MATCH(TRUE,INDEX(NOT(ISNA($D$52:$D$282)),0),0))*100)</f>
        <v>#N/A</v>
      </c>
      <c r="L168">
        <f t="shared" si="67"/>
        <v>329.050279329609</v>
      </c>
      <c r="M168">
        <f t="shared" si="68"/>
        <v>505.93220338983053</v>
      </c>
      <c r="O168" s="53">
        <f t="shared" si="73"/>
        <v>35674</v>
      </c>
      <c r="P168" s="24">
        <f t="shared" ref="P168:T168" si="121">IFERROR(IF(OR(ISNA(B168),ISNA(B164)),NA(),B168/B164-1),NA())</f>
        <v>3.5523978685614299E-3</v>
      </c>
      <c r="Q168" s="24">
        <f t="shared" si="121"/>
        <v>6.3999999999999613E-3</v>
      </c>
      <c r="R168" s="24" t="e">
        <f t="shared" si="121"/>
        <v>#N/A</v>
      </c>
      <c r="S168" s="24">
        <f t="shared" si="121"/>
        <v>5.1194539249146409E-3</v>
      </c>
      <c r="T168" s="24">
        <f t="shared" si="121"/>
        <v>3.3613445378151141E-3</v>
      </c>
    </row>
    <row r="169" spans="1:20" x14ac:dyDescent="0.25">
      <c r="A169" s="53">
        <f>Data1!A128</f>
        <v>35765</v>
      </c>
      <c r="B169">
        <f>IF(ISBLANK(Data1!B128),NA(),Data1!B128)</f>
        <v>66.2</v>
      </c>
      <c r="C169">
        <f>IF(ISBLANK(Data1!E128),NA(),Data1!E128)</f>
        <v>69.400000000000006</v>
      </c>
      <c r="D169" t="e">
        <f>IF(ISBLANK(Data1!AJ128),NA(),Data1!AJ128)</f>
        <v>#N/A</v>
      </c>
      <c r="E169">
        <f>IF(ISBLANK(Data1!BJ128),NA(),Data1!BJ128)</f>
        <v>59.5</v>
      </c>
      <c r="F169">
        <f>IF(ISBLANK(Data1!BK128),NA(),Data1!BK128)</f>
        <v>58.4</v>
      </c>
      <c r="H169" s="53">
        <f t="shared" si="65"/>
        <v>35765</v>
      </c>
      <c r="I169">
        <f t="shared" si="66"/>
        <v>612.96296296296293</v>
      </c>
      <c r="J169" cm="1">
        <f t="array" ref="J169">IF(ISNA(C169),NA(),C169/INDEX($C$52:$C$282,MATCH(TRUE,INDEX(NOT(ISNA($C$52:$C$282)),0),0))*100)</f>
        <v>132.1904761904762</v>
      </c>
      <c r="K169" t="e" cm="1">
        <f t="array" ref="K169">IF(ISNA(D169),NA(),D169/INDEX($D$52:$D$282,MATCH(TRUE,INDEX(NOT(ISNA($D$52:$D$282)),0),0))*100)</f>
        <v>#N/A</v>
      </c>
      <c r="L169">
        <f t="shared" si="67"/>
        <v>332.40223463687153</v>
      </c>
      <c r="M169">
        <f t="shared" si="68"/>
        <v>494.91525423728808</v>
      </c>
      <c r="O169" s="53">
        <f t="shared" si="73"/>
        <v>35765</v>
      </c>
      <c r="P169" s="24">
        <f t="shared" ref="P169:T169" si="122">IFERROR(IF(OR(ISNA(B169),ISNA(B165)),NA(),B169/B165-1),NA())</f>
        <v>0.17584369449378334</v>
      </c>
      <c r="Q169" s="24">
        <f t="shared" si="122"/>
        <v>0.13398692810457513</v>
      </c>
      <c r="R169" s="24" t="e">
        <f t="shared" si="122"/>
        <v>#N/A</v>
      </c>
      <c r="S169" s="24">
        <f t="shared" si="122"/>
        <v>8.4745762711864181E-3</v>
      </c>
      <c r="T169" s="24">
        <f t="shared" si="122"/>
        <v>-1.1844331641285955E-2</v>
      </c>
    </row>
    <row r="170" spans="1:20" x14ac:dyDescent="0.25">
      <c r="A170" s="53">
        <f>Data1!A129</f>
        <v>35855</v>
      </c>
      <c r="B170">
        <f>IF(ISBLANK(Data1!B129),NA(),Data1!B129)</f>
        <v>65.7</v>
      </c>
      <c r="C170">
        <f>IF(ISBLANK(Data1!E129),NA(),Data1!E129)</f>
        <v>69.7</v>
      </c>
      <c r="D170" t="e">
        <f>IF(ISBLANK(Data1!AJ129),NA(),Data1!AJ129)</f>
        <v>#N/A</v>
      </c>
      <c r="E170">
        <f>IF(ISBLANK(Data1!BJ129),NA(),Data1!BJ129)</f>
        <v>57.3</v>
      </c>
      <c r="F170">
        <f>IF(ISBLANK(Data1!BK129),NA(),Data1!BK129)</f>
        <v>58.4</v>
      </c>
      <c r="H170" s="53">
        <f t="shared" si="65"/>
        <v>35855</v>
      </c>
      <c r="I170">
        <f t="shared" si="66"/>
        <v>608.33333333333326</v>
      </c>
      <c r="J170" cm="1">
        <f t="array" ref="J170">IF(ISNA(C170),NA(),C170/INDEX($C$52:$C$282,MATCH(TRUE,INDEX(NOT(ISNA($C$52:$C$282)),0),0))*100)</f>
        <v>132.76190476190476</v>
      </c>
      <c r="K170" t="e" cm="1">
        <f t="array" ref="K170">IF(ISNA(D170),NA(),D170/INDEX($D$52:$D$282,MATCH(TRUE,INDEX(NOT(ISNA($D$52:$D$282)),0),0))*100)</f>
        <v>#N/A</v>
      </c>
      <c r="L170">
        <f t="shared" si="67"/>
        <v>320.1117318435754</v>
      </c>
      <c r="M170">
        <f t="shared" si="68"/>
        <v>494.91525423728808</v>
      </c>
      <c r="O170" s="53">
        <f t="shared" si="73"/>
        <v>35855</v>
      </c>
      <c r="P170" s="24">
        <f t="shared" ref="P170:T170" si="123">IFERROR(IF(OR(ISNA(B170),ISNA(B166)),NA(),B170/B166-1),NA())</f>
        <v>0.16489361702127669</v>
      </c>
      <c r="Q170" s="24">
        <f t="shared" si="123"/>
        <v>0.137030995106036</v>
      </c>
      <c r="R170" s="24" t="e">
        <f t="shared" si="123"/>
        <v>#N/A</v>
      </c>
      <c r="S170" s="24">
        <f t="shared" si="123"/>
        <v>-2.5510204081632626E-2</v>
      </c>
      <c r="T170" s="24">
        <f t="shared" si="123"/>
        <v>-1.8487394957983239E-2</v>
      </c>
    </row>
    <row r="171" spans="1:20" x14ac:dyDescent="0.25">
      <c r="A171" s="53">
        <f>Data1!A130</f>
        <v>35947</v>
      </c>
      <c r="B171">
        <f>IF(ISBLANK(Data1!B130),NA(),Data1!B130)</f>
        <v>66.3</v>
      </c>
      <c r="C171">
        <f>IF(ISBLANK(Data1!E130),NA(),Data1!E130)</f>
        <v>70.3</v>
      </c>
      <c r="D171" t="e">
        <f>IF(ISBLANK(Data1!AJ130),NA(),Data1!AJ130)</f>
        <v>#N/A</v>
      </c>
      <c r="E171">
        <f>IF(ISBLANK(Data1!BJ130),NA(),Data1!BJ130)</f>
        <v>57.3</v>
      </c>
      <c r="F171">
        <f>IF(ISBLANK(Data1!BK130),NA(),Data1!BK130)</f>
        <v>58.1</v>
      </c>
      <c r="H171" s="53">
        <f t="shared" si="65"/>
        <v>35947</v>
      </c>
      <c r="I171">
        <f t="shared" si="66"/>
        <v>613.8888888888888</v>
      </c>
      <c r="J171" cm="1">
        <f t="array" ref="J171">IF(ISNA(C171),NA(),C171/INDEX($C$52:$C$282,MATCH(TRUE,INDEX(NOT(ISNA($C$52:$C$282)),0),0))*100)</f>
        <v>133.9047619047619</v>
      </c>
      <c r="K171" t="e" cm="1">
        <f t="array" ref="K171">IF(ISNA(D171),NA(),D171/INDEX($D$52:$D$282,MATCH(TRUE,INDEX(NOT(ISNA($D$52:$D$282)),0),0))*100)</f>
        <v>#N/A</v>
      </c>
      <c r="L171">
        <f t="shared" si="67"/>
        <v>320.1117318435754</v>
      </c>
      <c r="M171">
        <f t="shared" si="68"/>
        <v>492.37288135593218</v>
      </c>
      <c r="O171" s="53">
        <f t="shared" si="73"/>
        <v>35947</v>
      </c>
      <c r="P171" s="24">
        <f t="shared" ref="P171:T171" si="124">IFERROR(IF(OR(ISNA(B171),ISNA(B167)),NA(),B171/B167-1),NA())</f>
        <v>0.18604651162790686</v>
      </c>
      <c r="Q171" s="24">
        <f t="shared" si="124"/>
        <v>0.13387096774193541</v>
      </c>
      <c r="R171" s="24" t="e">
        <f t="shared" si="124"/>
        <v>#N/A</v>
      </c>
      <c r="S171" s="24">
        <f t="shared" si="124"/>
        <v>-1.5463917525773252E-2</v>
      </c>
      <c r="T171" s="24">
        <f t="shared" si="124"/>
        <v>-2.6800670016750461E-2</v>
      </c>
    </row>
    <row r="172" spans="1:20" x14ac:dyDescent="0.25">
      <c r="A172" s="53">
        <f>Data1!A131</f>
        <v>36039</v>
      </c>
      <c r="B172">
        <f>IF(ISBLANK(Data1!B131),NA(),Data1!B131)</f>
        <v>66.8</v>
      </c>
      <c r="C172">
        <f>IF(ISBLANK(Data1!E131),NA(),Data1!E131)</f>
        <v>71.099999999999994</v>
      </c>
      <c r="D172" t="e">
        <f>IF(ISBLANK(Data1!AJ131),NA(),Data1!AJ131)</f>
        <v>#N/A</v>
      </c>
      <c r="E172">
        <f>IF(ISBLANK(Data1!BJ131),NA(),Data1!BJ131)</f>
        <v>57</v>
      </c>
      <c r="F172">
        <f>IF(ISBLANK(Data1!BK131),NA(),Data1!BK131)</f>
        <v>56.2</v>
      </c>
      <c r="H172" s="53">
        <f t="shared" si="65"/>
        <v>36039</v>
      </c>
      <c r="I172">
        <f t="shared" si="66"/>
        <v>618.51851851851848</v>
      </c>
      <c r="J172" cm="1">
        <f t="array" ref="J172">IF(ISNA(C172),NA(),C172/INDEX($C$52:$C$282,MATCH(TRUE,INDEX(NOT(ISNA($C$52:$C$282)),0),0))*100)</f>
        <v>135.42857142857142</v>
      </c>
      <c r="K172" t="e" cm="1">
        <f t="array" ref="K172">IF(ISNA(D172),NA(),D172/INDEX($D$52:$D$282,MATCH(TRUE,INDEX(NOT(ISNA($D$52:$D$282)),0),0))*100)</f>
        <v>#N/A</v>
      </c>
      <c r="L172">
        <f t="shared" si="67"/>
        <v>318.43575418994419</v>
      </c>
      <c r="M172">
        <f t="shared" si="68"/>
        <v>476.27118644067792</v>
      </c>
      <c r="O172" s="53">
        <f t="shared" si="73"/>
        <v>36039</v>
      </c>
      <c r="P172" s="24">
        <f t="shared" ref="P172:T172" si="125">IFERROR(IF(OR(ISNA(B172),ISNA(B168)),NA(),B172/B168-1),NA())</f>
        <v>0.18230088495575214</v>
      </c>
      <c r="Q172" s="24">
        <f t="shared" si="125"/>
        <v>0.13036565977742431</v>
      </c>
      <c r="R172" s="24" t="e">
        <f t="shared" si="125"/>
        <v>#N/A</v>
      </c>
      <c r="S172" s="24">
        <f t="shared" si="125"/>
        <v>-3.2258064516129004E-2</v>
      </c>
      <c r="T172" s="24">
        <f t="shared" si="125"/>
        <v>-5.8626465661641536E-2</v>
      </c>
    </row>
    <row r="173" spans="1:20" x14ac:dyDescent="0.25">
      <c r="A173" s="53">
        <f>Data1!A132</f>
        <v>36130</v>
      </c>
      <c r="B173">
        <f>IF(ISBLANK(Data1!B132),NA(),Data1!B132)</f>
        <v>65.900000000000006</v>
      </c>
      <c r="C173">
        <f>IF(ISBLANK(Data1!E132),NA(),Data1!E132)</f>
        <v>70</v>
      </c>
      <c r="D173" t="e">
        <f>IF(ISBLANK(Data1!AJ132),NA(),Data1!AJ132)</f>
        <v>#N/A</v>
      </c>
      <c r="E173">
        <f>IF(ISBLANK(Data1!BJ132),NA(),Data1!BJ132)</f>
        <v>57.6</v>
      </c>
      <c r="F173">
        <f>IF(ISBLANK(Data1!BK132),NA(),Data1!BK132)</f>
        <v>55.1</v>
      </c>
      <c r="H173" s="53">
        <f t="shared" si="65"/>
        <v>36130</v>
      </c>
      <c r="I173">
        <f t="shared" si="66"/>
        <v>610.18518518518522</v>
      </c>
      <c r="J173" cm="1">
        <f t="array" ref="J173">IF(ISNA(C173),NA(),C173/INDEX($C$52:$C$282,MATCH(TRUE,INDEX(NOT(ISNA($C$52:$C$282)),0),0))*100)</f>
        <v>133.33333333333331</v>
      </c>
      <c r="K173" t="e" cm="1">
        <f t="array" ref="K173">IF(ISNA(D173),NA(),D173/INDEX($D$52:$D$282,MATCH(TRUE,INDEX(NOT(ISNA($D$52:$D$282)),0),0))*100)</f>
        <v>#N/A</v>
      </c>
      <c r="L173">
        <f t="shared" si="67"/>
        <v>321.78770949720672</v>
      </c>
      <c r="M173">
        <f t="shared" si="68"/>
        <v>466.94915254237281</v>
      </c>
      <c r="O173" s="53">
        <f t="shared" si="73"/>
        <v>36130</v>
      </c>
      <c r="P173" s="24">
        <f t="shared" ref="P173:T173" si="126">IFERROR(IF(OR(ISNA(B173),ISNA(B169)),NA(),B173/B169-1),NA())</f>
        <v>-4.5317220543805714E-3</v>
      </c>
      <c r="Q173" s="24">
        <f t="shared" si="126"/>
        <v>8.6455331412103043E-3</v>
      </c>
      <c r="R173" s="24" t="e">
        <f t="shared" si="126"/>
        <v>#N/A</v>
      </c>
      <c r="S173" s="24">
        <f t="shared" si="126"/>
        <v>-3.1932773109243695E-2</v>
      </c>
      <c r="T173" s="24">
        <f t="shared" si="126"/>
        <v>-5.6506849315068441E-2</v>
      </c>
    </row>
    <row r="174" spans="1:20" x14ac:dyDescent="0.25">
      <c r="A174" s="53">
        <f>Data1!A133</f>
        <v>36220</v>
      </c>
      <c r="B174">
        <f>IF(ISBLANK(Data1!B133),NA(),Data1!B133)</f>
        <v>64.900000000000006</v>
      </c>
      <c r="C174">
        <f>IF(ISBLANK(Data1!E133),NA(),Data1!E133)</f>
        <v>69.3</v>
      </c>
      <c r="D174" t="e">
        <f>IF(ISBLANK(Data1!AJ133),NA(),Data1!AJ133)</f>
        <v>#N/A</v>
      </c>
      <c r="E174">
        <f>IF(ISBLANK(Data1!BJ133),NA(),Data1!BJ133)</f>
        <v>57.2</v>
      </c>
      <c r="F174">
        <f>IF(ISBLANK(Data1!BK133),NA(),Data1!BK133)</f>
        <v>53.4</v>
      </c>
      <c r="H174" s="53">
        <f t="shared" si="65"/>
        <v>36220</v>
      </c>
      <c r="I174">
        <f t="shared" si="66"/>
        <v>600.92592592592598</v>
      </c>
      <c r="J174" cm="1">
        <f t="array" ref="J174">IF(ISNA(C174),NA(),C174/INDEX($C$52:$C$282,MATCH(TRUE,INDEX(NOT(ISNA($C$52:$C$282)),0),0))*100)</f>
        <v>131.99999999999997</v>
      </c>
      <c r="K174" t="e" cm="1">
        <f t="array" ref="K174">IF(ISNA(D174),NA(),D174/INDEX($D$52:$D$282,MATCH(TRUE,INDEX(NOT(ISNA($D$52:$D$282)),0),0))*100)</f>
        <v>#N/A</v>
      </c>
      <c r="L174">
        <f t="shared" si="67"/>
        <v>319.55307262569835</v>
      </c>
      <c r="M174">
        <f t="shared" si="68"/>
        <v>452.5423728813559</v>
      </c>
      <c r="O174" s="53">
        <f t="shared" si="73"/>
        <v>36220</v>
      </c>
      <c r="P174" s="24">
        <f t="shared" ref="P174:T174" si="127">IFERROR(IF(OR(ISNA(B174),ISNA(B170)),NA(),B174/B170-1),NA())</f>
        <v>-1.2176560121765601E-2</v>
      </c>
      <c r="Q174" s="24">
        <f t="shared" si="127"/>
        <v>-5.7388809182210565E-3</v>
      </c>
      <c r="R174" s="24" t="e">
        <f t="shared" si="127"/>
        <v>#N/A</v>
      </c>
      <c r="S174" s="24">
        <f t="shared" si="127"/>
        <v>-1.7452006980801515E-3</v>
      </c>
      <c r="T174" s="24">
        <f t="shared" si="127"/>
        <v>-8.5616438356164393E-2</v>
      </c>
    </row>
    <row r="175" spans="1:20" x14ac:dyDescent="0.25">
      <c r="A175" s="53">
        <f>Data1!A134</f>
        <v>36312</v>
      </c>
      <c r="B175">
        <f>IF(ISBLANK(Data1!B134),NA(),Data1!B134)</f>
        <v>64.7</v>
      </c>
      <c r="C175">
        <f>IF(ISBLANK(Data1!E134),NA(),Data1!E134)</f>
        <v>68.400000000000006</v>
      </c>
      <c r="D175" t="e">
        <f>IF(ISBLANK(Data1!AJ134),NA(),Data1!AJ134)</f>
        <v>#N/A</v>
      </c>
      <c r="E175">
        <f>IF(ISBLANK(Data1!BJ134),NA(),Data1!BJ134)</f>
        <v>57.7</v>
      </c>
      <c r="F175">
        <f>IF(ISBLANK(Data1!BK134),NA(),Data1!BK134)</f>
        <v>53.6</v>
      </c>
      <c r="H175" s="53">
        <f t="shared" si="65"/>
        <v>36312</v>
      </c>
      <c r="I175">
        <f t="shared" si="66"/>
        <v>599.07407407407402</v>
      </c>
      <c r="J175" cm="1">
        <f t="array" ref="J175">IF(ISNA(C175),NA(),C175/INDEX($C$52:$C$282,MATCH(TRUE,INDEX(NOT(ISNA($C$52:$C$282)),0),0))*100)</f>
        <v>130.28571428571431</v>
      </c>
      <c r="K175" t="e" cm="1">
        <f t="array" ref="K175">IF(ISNA(D175),NA(),D175/INDEX($D$52:$D$282,MATCH(TRUE,INDEX(NOT(ISNA($D$52:$D$282)),0),0))*100)</f>
        <v>#N/A</v>
      </c>
      <c r="L175">
        <f t="shared" si="67"/>
        <v>322.34636871508383</v>
      </c>
      <c r="M175">
        <f t="shared" si="68"/>
        <v>454.23728813559319</v>
      </c>
      <c r="O175" s="53">
        <f t="shared" si="73"/>
        <v>36312</v>
      </c>
      <c r="P175" s="24">
        <f t="shared" ref="P175:T175" si="128">IFERROR(IF(OR(ISNA(B175),ISNA(B171)),NA(),B175/B171-1),NA())</f>
        <v>-2.4132730015082871E-2</v>
      </c>
      <c r="Q175" s="24">
        <f t="shared" si="128"/>
        <v>-2.7027027027026862E-2</v>
      </c>
      <c r="R175" s="24" t="e">
        <f t="shared" si="128"/>
        <v>#N/A</v>
      </c>
      <c r="S175" s="24">
        <f t="shared" si="128"/>
        <v>6.9808027923212723E-3</v>
      </c>
      <c r="T175" s="24">
        <f t="shared" si="128"/>
        <v>-7.745266781411364E-2</v>
      </c>
    </row>
    <row r="176" spans="1:20" x14ac:dyDescent="0.25">
      <c r="A176" s="53">
        <f>Data1!A135</f>
        <v>36404</v>
      </c>
      <c r="B176">
        <f>IF(ISBLANK(Data1!B135),NA(),Data1!B135)</f>
        <v>65.099999999999994</v>
      </c>
      <c r="C176">
        <f>IF(ISBLANK(Data1!E135),NA(),Data1!E135)</f>
        <v>67.8</v>
      </c>
      <c r="D176" t="e">
        <f>IF(ISBLANK(Data1!AJ135),NA(),Data1!AJ135)</f>
        <v>#N/A</v>
      </c>
      <c r="E176">
        <f>IF(ISBLANK(Data1!BJ135),NA(),Data1!BJ135)</f>
        <v>57.9</v>
      </c>
      <c r="F176">
        <f>IF(ISBLANK(Data1!BK135),NA(),Data1!BK135)</f>
        <v>57</v>
      </c>
      <c r="H176" s="53">
        <f t="shared" si="65"/>
        <v>36404</v>
      </c>
      <c r="I176">
        <f t="shared" si="66"/>
        <v>602.77777777777771</v>
      </c>
      <c r="J176" cm="1">
        <f t="array" ref="J176">IF(ISNA(C176),NA(),C176/INDEX($C$52:$C$282,MATCH(TRUE,INDEX(NOT(ISNA($C$52:$C$282)),0),0))*100)</f>
        <v>129.14285714285714</v>
      </c>
      <c r="K176" t="e" cm="1">
        <f t="array" ref="K176">IF(ISNA(D176),NA(),D176/INDEX($D$52:$D$282,MATCH(TRUE,INDEX(NOT(ISNA($D$52:$D$282)),0),0))*100)</f>
        <v>#N/A</v>
      </c>
      <c r="L176">
        <f t="shared" si="67"/>
        <v>323.46368715083804</v>
      </c>
      <c r="M176">
        <f t="shared" si="68"/>
        <v>483.05084745762707</v>
      </c>
      <c r="O176" s="53">
        <f t="shared" si="73"/>
        <v>36404</v>
      </c>
      <c r="P176" s="24">
        <f t="shared" ref="P176:T176" si="129">IFERROR(IF(OR(ISNA(B176),ISNA(B172)),NA(),B176/B172-1),NA())</f>
        <v>-2.5449101796407247E-2</v>
      </c>
      <c r="Q176" s="24">
        <f t="shared" si="129"/>
        <v>-4.641350210970463E-2</v>
      </c>
      <c r="R176" s="24" t="e">
        <f t="shared" si="129"/>
        <v>#N/A</v>
      </c>
      <c r="S176" s="24">
        <f t="shared" si="129"/>
        <v>1.5789473684210575E-2</v>
      </c>
      <c r="T176" s="24">
        <f t="shared" si="129"/>
        <v>1.4234875444839812E-2</v>
      </c>
    </row>
    <row r="177" spans="1:20" x14ac:dyDescent="0.25">
      <c r="A177" s="53">
        <f>Data1!A136</f>
        <v>36495</v>
      </c>
      <c r="B177">
        <f>IF(ISBLANK(Data1!B136),NA(),Data1!B136)</f>
        <v>67.3</v>
      </c>
      <c r="C177">
        <f>IF(ISBLANK(Data1!E136),NA(),Data1!E136)</f>
        <v>69.400000000000006</v>
      </c>
      <c r="D177" t="e">
        <f>IF(ISBLANK(Data1!AJ136),NA(),Data1!AJ136)</f>
        <v>#N/A</v>
      </c>
      <c r="E177">
        <f>IF(ISBLANK(Data1!BJ136),NA(),Data1!BJ136)</f>
        <v>61.4</v>
      </c>
      <c r="F177">
        <f>IF(ISBLANK(Data1!BK136),NA(),Data1!BK136)</f>
        <v>58.9</v>
      </c>
      <c r="H177" s="53">
        <f t="shared" si="65"/>
        <v>36495</v>
      </c>
      <c r="I177">
        <f t="shared" si="66"/>
        <v>623.14814814814804</v>
      </c>
      <c r="J177" cm="1">
        <f t="array" ref="J177">IF(ISNA(C177),NA(),C177/INDEX($C$52:$C$282,MATCH(TRUE,INDEX(NOT(ISNA($C$52:$C$282)),0),0))*100)</f>
        <v>132.1904761904762</v>
      </c>
      <c r="K177" t="e" cm="1">
        <f t="array" ref="K177">IF(ISNA(D177),NA(),D177/INDEX($D$52:$D$282,MATCH(TRUE,INDEX(NOT(ISNA($D$52:$D$282)),0),0))*100)</f>
        <v>#N/A</v>
      </c>
      <c r="L177">
        <f t="shared" si="67"/>
        <v>343.01675977653633</v>
      </c>
      <c r="M177">
        <f t="shared" si="68"/>
        <v>499.15254237288133</v>
      </c>
      <c r="O177" s="53">
        <f t="shared" si="73"/>
        <v>36495</v>
      </c>
      <c r="P177" s="24">
        <f t="shared" ref="P177:T177" si="130">IFERROR(IF(OR(ISNA(B177),ISNA(B173)),NA(),B177/B173-1),NA())</f>
        <v>2.1244309559939278E-2</v>
      </c>
      <c r="Q177" s="24">
        <f t="shared" si="130"/>
        <v>-8.5714285714284522E-3</v>
      </c>
      <c r="R177" s="24" t="e">
        <f t="shared" si="130"/>
        <v>#N/A</v>
      </c>
      <c r="S177" s="24">
        <f t="shared" si="130"/>
        <v>6.5972222222222099E-2</v>
      </c>
      <c r="T177" s="24">
        <f t="shared" si="130"/>
        <v>6.8965517241379226E-2</v>
      </c>
    </row>
    <row r="178" spans="1:20" x14ac:dyDescent="0.25">
      <c r="A178" s="53">
        <f>Data1!A137</f>
        <v>36586</v>
      </c>
      <c r="B178">
        <f>IF(ISBLANK(Data1!B137),NA(),Data1!B137)</f>
        <v>69.2</v>
      </c>
      <c r="C178">
        <f>IF(ISBLANK(Data1!E137),NA(),Data1!E137)</f>
        <v>70.900000000000006</v>
      </c>
      <c r="D178" t="e">
        <f>IF(ISBLANK(Data1!AJ137),NA(),Data1!AJ137)</f>
        <v>#N/A</v>
      </c>
      <c r="E178">
        <f>IF(ISBLANK(Data1!BJ137),NA(),Data1!BJ137)</f>
        <v>64.599999999999994</v>
      </c>
      <c r="F178">
        <f>IF(ISBLANK(Data1!BK137),NA(),Data1!BK137)</f>
        <v>57.9</v>
      </c>
      <c r="H178" s="53">
        <f t="shared" si="65"/>
        <v>36586</v>
      </c>
      <c r="I178">
        <f t="shared" si="66"/>
        <v>640.74074074074076</v>
      </c>
      <c r="J178" cm="1">
        <f t="array" ref="J178">IF(ISNA(C178),NA(),C178/INDEX($C$52:$C$282,MATCH(TRUE,INDEX(NOT(ISNA($C$52:$C$282)),0),0))*100)</f>
        <v>135.04761904761907</v>
      </c>
      <c r="K178" t="e" cm="1">
        <f t="array" ref="K178">IF(ISNA(D178),NA(),D178/INDEX($D$52:$D$282,MATCH(TRUE,INDEX(NOT(ISNA($D$52:$D$282)),0),0))*100)</f>
        <v>#N/A</v>
      </c>
      <c r="L178">
        <f t="shared" si="67"/>
        <v>360.89385474860336</v>
      </c>
      <c r="M178">
        <f t="shared" si="68"/>
        <v>490.67796610169489</v>
      </c>
      <c r="O178" s="53">
        <f t="shared" si="73"/>
        <v>36586</v>
      </c>
      <c r="P178" s="24">
        <f t="shared" ref="P178:T178" si="131">IFERROR(IF(OR(ISNA(B178),ISNA(B174)),NA(),B178/B174-1),NA())</f>
        <v>6.6255778120184905E-2</v>
      </c>
      <c r="Q178" s="24">
        <f t="shared" si="131"/>
        <v>2.3088023088023268E-2</v>
      </c>
      <c r="R178" s="24" t="e">
        <f t="shared" si="131"/>
        <v>#N/A</v>
      </c>
      <c r="S178" s="24">
        <f t="shared" si="131"/>
        <v>0.12937062937062915</v>
      </c>
      <c r="T178" s="24">
        <f t="shared" si="131"/>
        <v>8.4269662921348409E-2</v>
      </c>
    </row>
    <row r="179" spans="1:20" x14ac:dyDescent="0.25">
      <c r="A179" s="53">
        <f>Data1!A138</f>
        <v>36678</v>
      </c>
      <c r="B179">
        <f>IF(ISBLANK(Data1!B138),NA(),Data1!B138)</f>
        <v>72.099999999999994</v>
      </c>
      <c r="C179">
        <f>IF(ISBLANK(Data1!E138),NA(),Data1!E138)</f>
        <v>73.099999999999994</v>
      </c>
      <c r="D179" t="e">
        <f>IF(ISBLANK(Data1!AJ138),NA(),Data1!AJ138)</f>
        <v>#N/A</v>
      </c>
      <c r="E179">
        <f>IF(ISBLANK(Data1!BJ138),NA(),Data1!BJ138)</f>
        <v>65.5</v>
      </c>
      <c r="F179">
        <f>IF(ISBLANK(Data1!BK138),NA(),Data1!BK138)</f>
        <v>55.7</v>
      </c>
      <c r="H179" s="53">
        <f t="shared" si="65"/>
        <v>36678</v>
      </c>
      <c r="I179">
        <f t="shared" si="66"/>
        <v>667.5925925925925</v>
      </c>
      <c r="J179" cm="1">
        <f t="array" ref="J179">IF(ISNA(C179),NA(),C179/INDEX($C$52:$C$282,MATCH(TRUE,INDEX(NOT(ISNA($C$52:$C$282)),0),0))*100)</f>
        <v>139.23809523809524</v>
      </c>
      <c r="K179" t="e" cm="1">
        <f t="array" ref="K179">IF(ISNA(D179),NA(),D179/INDEX($D$52:$D$282,MATCH(TRUE,INDEX(NOT(ISNA($D$52:$D$282)),0),0))*100)</f>
        <v>#N/A</v>
      </c>
      <c r="L179">
        <f t="shared" si="67"/>
        <v>365.92178770949721</v>
      </c>
      <c r="M179">
        <f t="shared" si="68"/>
        <v>472.03389830508479</v>
      </c>
      <c r="O179" s="53">
        <f t="shared" si="73"/>
        <v>36678</v>
      </c>
      <c r="P179" s="24">
        <f t="shared" ref="P179:T179" si="132">IFERROR(IF(OR(ISNA(B179),ISNA(B175)),NA(),B179/B175-1),NA())</f>
        <v>0.11437403400309099</v>
      </c>
      <c r="Q179" s="24">
        <f t="shared" si="132"/>
        <v>6.8713450292397393E-2</v>
      </c>
      <c r="R179" s="24" t="e">
        <f t="shared" si="132"/>
        <v>#N/A</v>
      </c>
      <c r="S179" s="24">
        <f t="shared" si="132"/>
        <v>0.13518197573656843</v>
      </c>
      <c r="T179" s="24">
        <f t="shared" si="132"/>
        <v>3.917910447761197E-2</v>
      </c>
    </row>
    <row r="180" spans="1:20" x14ac:dyDescent="0.25">
      <c r="A180" s="53">
        <f>Data1!A139</f>
        <v>36770</v>
      </c>
      <c r="B180">
        <f>IF(ISBLANK(Data1!B139),NA(),Data1!B139)</f>
        <v>73.5</v>
      </c>
      <c r="C180">
        <f>IF(ISBLANK(Data1!E139),NA(),Data1!E139)</f>
        <v>74.099999999999994</v>
      </c>
      <c r="D180" t="e">
        <f>IF(ISBLANK(Data1!AJ139),NA(),Data1!AJ139)</f>
        <v>#N/A</v>
      </c>
      <c r="E180">
        <f>IF(ISBLANK(Data1!BJ139),NA(),Data1!BJ139)</f>
        <v>64.099999999999994</v>
      </c>
      <c r="F180">
        <f>IF(ISBLANK(Data1!BK139),NA(),Data1!BK139)</f>
        <v>53.5</v>
      </c>
      <c r="H180" s="53">
        <f t="shared" si="65"/>
        <v>36770</v>
      </c>
      <c r="I180">
        <f t="shared" si="66"/>
        <v>680.55555555555554</v>
      </c>
      <c r="J180" cm="1">
        <f t="array" ref="J180">IF(ISNA(C180),NA(),C180/INDEX($C$52:$C$282,MATCH(TRUE,INDEX(NOT(ISNA($C$52:$C$282)),0),0))*100)</f>
        <v>141.14285714285714</v>
      </c>
      <c r="K180" t="e" cm="1">
        <f t="array" ref="K180">IF(ISNA(D180),NA(),D180/INDEX($D$52:$D$282,MATCH(TRUE,INDEX(NOT(ISNA($D$52:$D$282)),0),0))*100)</f>
        <v>#N/A</v>
      </c>
      <c r="L180">
        <f t="shared" si="67"/>
        <v>358.10055865921788</v>
      </c>
      <c r="M180">
        <f t="shared" si="68"/>
        <v>453.38983050847457</v>
      </c>
      <c r="O180" s="53">
        <f t="shared" si="73"/>
        <v>36770</v>
      </c>
      <c r="P180" s="24">
        <f t="shared" ref="P180:T180" si="133">IFERROR(IF(OR(ISNA(B180),ISNA(B176)),NA(),B180/B176-1),NA())</f>
        <v>0.12903225806451624</v>
      </c>
      <c r="Q180" s="24">
        <f t="shared" si="133"/>
        <v>9.2920353982300918E-2</v>
      </c>
      <c r="R180" s="24" t="e">
        <f t="shared" si="133"/>
        <v>#N/A</v>
      </c>
      <c r="S180" s="24">
        <f t="shared" si="133"/>
        <v>0.10708117443868725</v>
      </c>
      <c r="T180" s="24">
        <f t="shared" si="133"/>
        <v>-6.1403508771929793E-2</v>
      </c>
    </row>
    <row r="181" spans="1:20" x14ac:dyDescent="0.25">
      <c r="A181" s="53">
        <f>Data1!A140</f>
        <v>36861</v>
      </c>
      <c r="B181">
        <f>IF(ISBLANK(Data1!B140),NA(),Data1!B140)</f>
        <v>76.5</v>
      </c>
      <c r="C181">
        <f>IF(ISBLANK(Data1!E140),NA(),Data1!E140)</f>
        <v>76.2</v>
      </c>
      <c r="D181" t="e">
        <f>IF(ISBLANK(Data1!AJ140),NA(),Data1!AJ140)</f>
        <v>#N/A</v>
      </c>
      <c r="E181">
        <f>IF(ISBLANK(Data1!BJ140),NA(),Data1!BJ140)</f>
        <v>64.900000000000006</v>
      </c>
      <c r="F181">
        <f>IF(ISBLANK(Data1!BK140),NA(),Data1!BK140)</f>
        <v>54.5</v>
      </c>
      <c r="H181" s="53">
        <f t="shared" ref="H181:H244" si="134">A181</f>
        <v>36861</v>
      </c>
      <c r="I181">
        <f t="shared" ref="I181:I244" si="135">IF(ISNA(B181),NA(),B181/$B$58*100)</f>
        <v>708.33333333333326</v>
      </c>
      <c r="J181" cm="1">
        <f t="array" ref="J181">IF(ISNA(C181),NA(),C181/INDEX($C$52:$C$282,MATCH(TRUE,INDEX(NOT(ISNA($C$52:$C$282)),0),0))*100)</f>
        <v>145.14285714285714</v>
      </c>
      <c r="K181" t="e" cm="1">
        <f t="array" ref="K181">IF(ISNA(D181),NA(),D181/INDEX($D$52:$D$282,MATCH(TRUE,INDEX(NOT(ISNA($D$52:$D$282)),0),0))*100)</f>
        <v>#N/A</v>
      </c>
      <c r="L181">
        <f t="shared" ref="L181:L244" si="136">IF(ISNA(E181),NA(),E181/$E$58*100)</f>
        <v>362.56983240223468</v>
      </c>
      <c r="M181">
        <f t="shared" ref="M181:M244" si="137">IF(ISNA(F181),NA(),F181/$F$58*100)</f>
        <v>461.86440677966101</v>
      </c>
      <c r="O181" s="53">
        <f t="shared" si="73"/>
        <v>36861</v>
      </c>
      <c r="P181" s="24">
        <f t="shared" ref="P181:T181" si="138">IFERROR(IF(OR(ISNA(B181),ISNA(B177)),NA(),B181/B177-1),NA())</f>
        <v>0.13670133729569089</v>
      </c>
      <c r="Q181" s="24">
        <f t="shared" si="138"/>
        <v>9.7982708933717522E-2</v>
      </c>
      <c r="R181" s="24" t="e">
        <f t="shared" si="138"/>
        <v>#N/A</v>
      </c>
      <c r="S181" s="24">
        <f t="shared" si="138"/>
        <v>5.7003257328990253E-2</v>
      </c>
      <c r="T181" s="24">
        <f t="shared" si="138"/>
        <v>-7.4702886247877687E-2</v>
      </c>
    </row>
    <row r="182" spans="1:20" x14ac:dyDescent="0.25">
      <c r="A182" s="53">
        <f>Data1!A141</f>
        <v>36951</v>
      </c>
      <c r="B182">
        <f>IF(ISBLANK(Data1!B141),NA(),Data1!B141)</f>
        <v>75.900000000000006</v>
      </c>
      <c r="C182">
        <f>IF(ISBLANK(Data1!E141),NA(),Data1!E141)</f>
        <v>77</v>
      </c>
      <c r="D182" t="e">
        <f>IF(ISBLANK(Data1!AJ141),NA(),Data1!AJ141)</f>
        <v>#N/A</v>
      </c>
      <c r="E182">
        <f>IF(ISBLANK(Data1!BJ141),NA(),Data1!BJ141)</f>
        <v>64.400000000000006</v>
      </c>
      <c r="F182">
        <f>IF(ISBLANK(Data1!BK141),NA(),Data1!BK141)</f>
        <v>55.4</v>
      </c>
      <c r="H182" s="53">
        <f t="shared" si="134"/>
        <v>36951</v>
      </c>
      <c r="I182">
        <f t="shared" si="135"/>
        <v>702.77777777777771</v>
      </c>
      <c r="J182" cm="1">
        <f t="array" ref="J182">IF(ISNA(C182),NA(),C182/INDEX($C$52:$C$282,MATCH(TRUE,INDEX(NOT(ISNA($C$52:$C$282)),0),0))*100)</f>
        <v>146.66666666666666</v>
      </c>
      <c r="K182" t="e" cm="1">
        <f t="array" ref="K182">IF(ISNA(D182),NA(),D182/INDEX($D$52:$D$282,MATCH(TRUE,INDEX(NOT(ISNA($D$52:$D$282)),0),0))*100)</f>
        <v>#N/A</v>
      </c>
      <c r="L182">
        <f t="shared" si="136"/>
        <v>359.7765363128492</v>
      </c>
      <c r="M182">
        <f t="shared" si="137"/>
        <v>469.49152542372883</v>
      </c>
      <c r="O182" s="53">
        <f t="shared" si="73"/>
        <v>36951</v>
      </c>
      <c r="P182" s="24">
        <f t="shared" ref="P182:T182" si="139">IFERROR(IF(OR(ISNA(B182),ISNA(B178)),NA(),B182/B178-1),NA())</f>
        <v>9.6820809248554962E-2</v>
      </c>
      <c r="Q182" s="24">
        <f t="shared" si="139"/>
        <v>8.6036671368123985E-2</v>
      </c>
      <c r="R182" s="24" t="e">
        <f t="shared" si="139"/>
        <v>#N/A</v>
      </c>
      <c r="S182" s="24">
        <f t="shared" si="139"/>
        <v>-3.0959752321979561E-3</v>
      </c>
      <c r="T182" s="24">
        <f t="shared" si="139"/>
        <v>-4.3177892918825567E-2</v>
      </c>
    </row>
    <row r="183" spans="1:20" x14ac:dyDescent="0.25">
      <c r="A183" s="53">
        <f>Data1!A142</f>
        <v>37043</v>
      </c>
      <c r="B183">
        <f>IF(ISBLANK(Data1!B142),NA(),Data1!B142)</f>
        <v>78.099999999999994</v>
      </c>
      <c r="C183">
        <f>IF(ISBLANK(Data1!E142),NA(),Data1!E142)</f>
        <v>78.900000000000006</v>
      </c>
      <c r="D183" t="e">
        <f>IF(ISBLANK(Data1!AJ142),NA(),Data1!AJ142)</f>
        <v>#N/A</v>
      </c>
      <c r="E183">
        <f>IF(ISBLANK(Data1!BJ142),NA(),Data1!BJ142)</f>
        <v>65.099999999999994</v>
      </c>
      <c r="F183">
        <f>IF(ISBLANK(Data1!BK142),NA(),Data1!BK142)</f>
        <v>55.8</v>
      </c>
      <c r="H183" s="53">
        <f t="shared" si="134"/>
        <v>37043</v>
      </c>
      <c r="I183">
        <f t="shared" si="135"/>
        <v>723.14814814814804</v>
      </c>
      <c r="J183" cm="1">
        <f t="array" ref="J183">IF(ISNA(C183),NA(),C183/INDEX($C$52:$C$282,MATCH(TRUE,INDEX(NOT(ISNA($C$52:$C$282)),0),0))*100)</f>
        <v>150.28571428571428</v>
      </c>
      <c r="K183" t="e" cm="1">
        <f t="array" ref="K183">IF(ISNA(D183),NA(),D183/INDEX($D$52:$D$282,MATCH(TRUE,INDEX(NOT(ISNA($D$52:$D$282)),0),0))*100)</f>
        <v>#N/A</v>
      </c>
      <c r="L183">
        <f t="shared" si="136"/>
        <v>363.68715083798884</v>
      </c>
      <c r="M183">
        <f t="shared" si="137"/>
        <v>472.88135593220335</v>
      </c>
      <c r="O183" s="53">
        <f t="shared" si="73"/>
        <v>37043</v>
      </c>
      <c r="P183" s="24">
        <f t="shared" ref="P183:T183" si="140">IFERROR(IF(OR(ISNA(B183),ISNA(B179)),NA(),B183/B179-1),NA())</f>
        <v>8.3217753120665705E-2</v>
      </c>
      <c r="Q183" s="24">
        <f t="shared" si="140"/>
        <v>7.9343365253078169E-2</v>
      </c>
      <c r="R183" s="24" t="e">
        <f t="shared" si="140"/>
        <v>#N/A</v>
      </c>
      <c r="S183" s="24">
        <f t="shared" si="140"/>
        <v>-6.1068702290076882E-3</v>
      </c>
      <c r="T183" s="24">
        <f t="shared" si="140"/>
        <v>1.7953321364452268E-3</v>
      </c>
    </row>
    <row r="184" spans="1:20" x14ac:dyDescent="0.25">
      <c r="A184" s="53">
        <f>Data1!A143</f>
        <v>37135</v>
      </c>
      <c r="B184">
        <f>IF(ISBLANK(Data1!B143),NA(),Data1!B143)</f>
        <v>76.400000000000006</v>
      </c>
      <c r="C184">
        <f>IF(ISBLANK(Data1!E143),NA(),Data1!E143)</f>
        <v>78</v>
      </c>
      <c r="D184">
        <f>IF(ISBLANK(Data1!AJ143),NA(),Data1!AJ143)</f>
        <v>63.4</v>
      </c>
      <c r="E184">
        <f>IF(ISBLANK(Data1!BJ143),NA(),Data1!BJ143)</f>
        <v>65.5</v>
      </c>
      <c r="F184">
        <f>IF(ISBLANK(Data1!BK143),NA(),Data1!BK143)</f>
        <v>54.1</v>
      </c>
      <c r="H184" s="53">
        <f t="shared" si="134"/>
        <v>37135</v>
      </c>
      <c r="I184">
        <f t="shared" si="135"/>
        <v>707.40740740740739</v>
      </c>
      <c r="J184" cm="1">
        <f t="array" ref="J184">IF(ISNA(C184),NA(),C184/INDEX($C$52:$C$282,MATCH(TRUE,INDEX(NOT(ISNA($C$52:$C$282)),0),0))*100)</f>
        <v>148.57142857142858</v>
      </c>
      <c r="K184" cm="1">
        <f t="array" ref="K184">IF(ISNA(D184),NA(),D184/INDEX($D$52:$D$282,MATCH(TRUE,INDEX(NOT(ISNA($D$52:$D$282)),0),0))*100)</f>
        <v>100</v>
      </c>
      <c r="L184">
        <f t="shared" si="136"/>
        <v>365.92178770949721</v>
      </c>
      <c r="M184">
        <f t="shared" si="137"/>
        <v>458.47457627118644</v>
      </c>
      <c r="O184" s="53">
        <f t="shared" si="73"/>
        <v>37135</v>
      </c>
      <c r="P184" s="24">
        <f t="shared" ref="P184:T184" si="141">IFERROR(IF(OR(ISNA(B184),ISNA(B180)),NA(),B184/B180-1),NA())</f>
        <v>3.9455782312925347E-2</v>
      </c>
      <c r="Q184" s="24">
        <f t="shared" si="141"/>
        <v>5.2631578947368585E-2</v>
      </c>
      <c r="R184" s="24" t="e">
        <f t="shared" si="141"/>
        <v>#N/A</v>
      </c>
      <c r="S184" s="24">
        <f t="shared" si="141"/>
        <v>2.1840873634945579E-2</v>
      </c>
      <c r="T184" s="24">
        <f t="shared" si="141"/>
        <v>1.1214953271028172E-2</v>
      </c>
    </row>
    <row r="185" spans="1:20" x14ac:dyDescent="0.25">
      <c r="A185" s="53">
        <f>Data1!A144</f>
        <v>37226</v>
      </c>
      <c r="B185">
        <f>IF(ISBLANK(Data1!B144),NA(),Data1!B144)</f>
        <v>75.7</v>
      </c>
      <c r="C185">
        <f>IF(ISBLANK(Data1!E144),NA(),Data1!E144)</f>
        <v>78.400000000000006</v>
      </c>
      <c r="D185">
        <f>IF(ISBLANK(Data1!AJ144),NA(),Data1!AJ144)</f>
        <v>62.2</v>
      </c>
      <c r="E185">
        <f>IF(ISBLANK(Data1!BJ144),NA(),Data1!BJ144)</f>
        <v>63.6</v>
      </c>
      <c r="F185">
        <f>IF(ISBLANK(Data1!BK144),NA(),Data1!BK144)</f>
        <v>55.2</v>
      </c>
      <c r="H185" s="53">
        <f t="shared" si="134"/>
        <v>37226</v>
      </c>
      <c r="I185">
        <f t="shared" si="135"/>
        <v>700.92592592592587</v>
      </c>
      <c r="J185" cm="1">
        <f t="array" ref="J185">IF(ISNA(C185),NA(),C185/INDEX($C$52:$C$282,MATCH(TRUE,INDEX(NOT(ISNA($C$52:$C$282)),0),0))*100)</f>
        <v>149.33333333333334</v>
      </c>
      <c r="K185" cm="1">
        <f t="array" ref="K185">IF(ISNA(D185),NA(),D185/INDEX($D$52:$D$282,MATCH(TRUE,INDEX(NOT(ISNA($D$52:$D$282)),0),0))*100)</f>
        <v>98.107255520504737</v>
      </c>
      <c r="L185">
        <f t="shared" si="136"/>
        <v>355.30726256983246</v>
      </c>
      <c r="M185">
        <f t="shared" si="137"/>
        <v>467.79661016949154</v>
      </c>
      <c r="O185" s="53">
        <f t="shared" ref="O185:O248" si="142">A185</f>
        <v>37226</v>
      </c>
      <c r="P185" s="24">
        <f t="shared" ref="P185:T185" si="143">IFERROR(IF(OR(ISNA(B185),ISNA(B181)),NA(),B185/B181-1),NA())</f>
        <v>-1.0457516339869244E-2</v>
      </c>
      <c r="Q185" s="24">
        <f t="shared" si="143"/>
        <v>2.8871391076115582E-2</v>
      </c>
      <c r="R185" s="24" t="e">
        <f t="shared" si="143"/>
        <v>#N/A</v>
      </c>
      <c r="S185" s="24">
        <f t="shared" si="143"/>
        <v>-2.003081664098616E-2</v>
      </c>
      <c r="T185" s="24">
        <f t="shared" si="143"/>
        <v>1.2844036697247763E-2</v>
      </c>
    </row>
    <row r="186" spans="1:20" x14ac:dyDescent="0.25">
      <c r="A186" s="53">
        <f>Data1!A145</f>
        <v>37316</v>
      </c>
      <c r="B186">
        <f>IF(ISBLANK(Data1!B145),NA(),Data1!B145)</f>
        <v>74.900000000000006</v>
      </c>
      <c r="C186">
        <f>IF(ISBLANK(Data1!E145),NA(),Data1!E145)</f>
        <v>77.900000000000006</v>
      </c>
      <c r="D186">
        <f>IF(ISBLANK(Data1!AJ145),NA(),Data1!AJ145)</f>
        <v>61.5</v>
      </c>
      <c r="E186">
        <f>IF(ISBLANK(Data1!BJ145),NA(),Data1!BJ145)</f>
        <v>64.599999999999994</v>
      </c>
      <c r="F186">
        <f>IF(ISBLANK(Data1!BK145),NA(),Data1!BK145)</f>
        <v>56.3</v>
      </c>
      <c r="H186" s="53">
        <f t="shared" si="134"/>
        <v>37316</v>
      </c>
      <c r="I186">
        <f t="shared" si="135"/>
        <v>693.51851851851848</v>
      </c>
      <c r="J186" cm="1">
        <f t="array" ref="J186">IF(ISNA(C186),NA(),C186/INDEX($C$52:$C$282,MATCH(TRUE,INDEX(NOT(ISNA($C$52:$C$282)),0),0))*100)</f>
        <v>148.38095238095238</v>
      </c>
      <c r="K186" cm="1">
        <f t="array" ref="K186">IF(ISNA(D186),NA(),D186/INDEX($D$52:$D$282,MATCH(TRUE,INDEX(NOT(ISNA($D$52:$D$282)),0),0))*100)</f>
        <v>97.003154574132495</v>
      </c>
      <c r="L186">
        <f t="shared" si="136"/>
        <v>360.89385474860336</v>
      </c>
      <c r="M186">
        <f t="shared" si="137"/>
        <v>477.11864406779654</v>
      </c>
      <c r="O186" s="53">
        <f t="shared" si="142"/>
        <v>37316</v>
      </c>
      <c r="P186" s="24">
        <f t="shared" ref="P186:T186" si="144">IFERROR(IF(OR(ISNA(B186),ISNA(B182)),NA(),B186/B182-1),NA())</f>
        <v>-1.3175230566534912E-2</v>
      </c>
      <c r="Q186" s="24">
        <f t="shared" si="144"/>
        <v>1.1688311688311748E-2</v>
      </c>
      <c r="R186" s="24" t="e">
        <f t="shared" si="144"/>
        <v>#N/A</v>
      </c>
      <c r="S186" s="24">
        <f t="shared" si="144"/>
        <v>3.1055900621115295E-3</v>
      </c>
      <c r="T186" s="24">
        <f t="shared" si="144"/>
        <v>1.6245487364620947E-2</v>
      </c>
    </row>
    <row r="187" spans="1:20" x14ac:dyDescent="0.25">
      <c r="A187" s="53">
        <f>Data1!A146</f>
        <v>37408</v>
      </c>
      <c r="B187">
        <f>IF(ISBLANK(Data1!B146),NA(),Data1!B146)</f>
        <v>75.400000000000006</v>
      </c>
      <c r="C187">
        <f>IF(ISBLANK(Data1!E146),NA(),Data1!E146)</f>
        <v>77.5</v>
      </c>
      <c r="D187">
        <f>IF(ISBLANK(Data1!AJ146),NA(),Data1!AJ146)</f>
        <v>62.4</v>
      </c>
      <c r="E187">
        <f>IF(ISBLANK(Data1!BJ146),NA(),Data1!BJ146)</f>
        <v>66.5</v>
      </c>
      <c r="F187">
        <f>IF(ISBLANK(Data1!BK146),NA(),Data1!BK146)</f>
        <v>58.9</v>
      </c>
      <c r="H187" s="53">
        <f t="shared" si="134"/>
        <v>37408</v>
      </c>
      <c r="I187">
        <f t="shared" si="135"/>
        <v>698.14814814814815</v>
      </c>
      <c r="J187" cm="1">
        <f t="array" ref="J187">IF(ISNA(C187),NA(),C187/INDEX($C$52:$C$282,MATCH(TRUE,INDEX(NOT(ISNA($C$52:$C$282)),0),0))*100)</f>
        <v>147.61904761904762</v>
      </c>
      <c r="K187" cm="1">
        <f t="array" ref="K187">IF(ISNA(D187),NA(),D187/INDEX($D$52:$D$282,MATCH(TRUE,INDEX(NOT(ISNA($D$52:$D$282)),0),0))*100)</f>
        <v>98.422712933753942</v>
      </c>
      <c r="L187">
        <f t="shared" si="136"/>
        <v>371.50837988826817</v>
      </c>
      <c r="M187">
        <f t="shared" si="137"/>
        <v>499.15254237288133</v>
      </c>
      <c r="O187" s="53">
        <f t="shared" si="142"/>
        <v>37408</v>
      </c>
      <c r="P187" s="24">
        <f t="shared" ref="P187:T187" si="145">IFERROR(IF(OR(ISNA(B187),ISNA(B183)),NA(),B187/B183-1),NA())</f>
        <v>-3.4571062740076708E-2</v>
      </c>
      <c r="Q187" s="24">
        <f t="shared" si="145"/>
        <v>-1.7743979721166148E-2</v>
      </c>
      <c r="R187" s="24" t="e">
        <f t="shared" si="145"/>
        <v>#N/A</v>
      </c>
      <c r="S187" s="24">
        <f t="shared" si="145"/>
        <v>2.1505376344086002E-2</v>
      </c>
      <c r="T187" s="24">
        <f t="shared" si="145"/>
        <v>5.555555555555558E-2</v>
      </c>
    </row>
    <row r="188" spans="1:20" x14ac:dyDescent="0.25">
      <c r="A188" s="53">
        <f>Data1!A147</f>
        <v>37500</v>
      </c>
      <c r="B188">
        <f>IF(ISBLANK(Data1!B147),NA(),Data1!B147)</f>
        <v>75.2</v>
      </c>
      <c r="C188">
        <f>IF(ISBLANK(Data1!E147),NA(),Data1!E147)</f>
        <v>76.8</v>
      </c>
      <c r="D188">
        <f>IF(ISBLANK(Data1!AJ147),NA(),Data1!AJ147)</f>
        <v>61.5</v>
      </c>
      <c r="E188">
        <f>IF(ISBLANK(Data1!BJ147),NA(),Data1!BJ147)</f>
        <v>66.2</v>
      </c>
      <c r="F188">
        <f>IF(ISBLANK(Data1!BK147),NA(),Data1!BK147)</f>
        <v>60.7</v>
      </c>
      <c r="H188" s="53">
        <f t="shared" si="134"/>
        <v>37500</v>
      </c>
      <c r="I188">
        <f t="shared" si="135"/>
        <v>696.2962962962963</v>
      </c>
      <c r="J188" cm="1">
        <f t="array" ref="J188">IF(ISNA(C188),NA(),C188/INDEX($C$52:$C$282,MATCH(TRUE,INDEX(NOT(ISNA($C$52:$C$282)),0),0))*100)</f>
        <v>146.28571428571428</v>
      </c>
      <c r="K188" cm="1">
        <f t="array" ref="K188">IF(ISNA(D188),NA(),D188/INDEX($D$52:$D$282,MATCH(TRUE,INDEX(NOT(ISNA($D$52:$D$282)),0),0))*100)</f>
        <v>97.003154574132495</v>
      </c>
      <c r="L188">
        <f t="shared" si="136"/>
        <v>369.8324022346369</v>
      </c>
      <c r="M188">
        <f t="shared" si="137"/>
        <v>514.40677966101691</v>
      </c>
      <c r="O188" s="53">
        <f t="shared" si="142"/>
        <v>37500</v>
      </c>
      <c r="P188" s="24">
        <f t="shared" ref="P188:T188" si="146">IFERROR(IF(OR(ISNA(B188),ISNA(B184)),NA(),B188/B184-1),NA())</f>
        <v>-1.5706806282722585E-2</v>
      </c>
      <c r="Q188" s="24">
        <f t="shared" si="146"/>
        <v>-1.5384615384615441E-2</v>
      </c>
      <c r="R188" s="24">
        <f t="shared" si="146"/>
        <v>-2.9968454258675004E-2</v>
      </c>
      <c r="S188" s="24">
        <f t="shared" si="146"/>
        <v>1.0687022900763399E-2</v>
      </c>
      <c r="T188" s="24">
        <f t="shared" si="146"/>
        <v>0.12199630314232901</v>
      </c>
    </row>
    <row r="189" spans="1:20" x14ac:dyDescent="0.25">
      <c r="A189" s="53">
        <f>Data1!A148</f>
        <v>37591</v>
      </c>
      <c r="B189">
        <f>IF(ISBLANK(Data1!B148),NA(),Data1!B148)</f>
        <v>75.400000000000006</v>
      </c>
      <c r="C189">
        <f>IF(ISBLANK(Data1!E148),NA(),Data1!E148)</f>
        <v>77.400000000000006</v>
      </c>
      <c r="D189">
        <f>IF(ISBLANK(Data1!AJ148),NA(),Data1!AJ148)</f>
        <v>61.9</v>
      </c>
      <c r="E189">
        <f>IF(ISBLANK(Data1!BJ148),NA(),Data1!BJ148)</f>
        <v>63.8</v>
      </c>
      <c r="F189">
        <f>IF(ISBLANK(Data1!BK148),NA(),Data1!BK148)</f>
        <v>60.3</v>
      </c>
      <c r="H189" s="53">
        <f t="shared" si="134"/>
        <v>37591</v>
      </c>
      <c r="I189">
        <f t="shared" si="135"/>
        <v>698.14814814814815</v>
      </c>
      <c r="J189" cm="1">
        <f t="array" ref="J189">IF(ISNA(C189),NA(),C189/INDEX($C$52:$C$282,MATCH(TRUE,INDEX(NOT(ISNA($C$52:$C$282)),0),0))*100)</f>
        <v>147.42857142857144</v>
      </c>
      <c r="K189" cm="1">
        <f t="array" ref="K189">IF(ISNA(D189),NA(),D189/INDEX($D$52:$D$282,MATCH(TRUE,INDEX(NOT(ISNA($D$52:$D$282)),0),0))*100)</f>
        <v>97.634069400630921</v>
      </c>
      <c r="L189">
        <f t="shared" si="136"/>
        <v>356.42458100558662</v>
      </c>
      <c r="M189">
        <f t="shared" si="137"/>
        <v>511.01694915254228</v>
      </c>
      <c r="O189" s="53">
        <f t="shared" si="142"/>
        <v>37591</v>
      </c>
      <c r="P189" s="24">
        <f t="shared" ref="P189:T189" si="147">IFERROR(IF(OR(ISNA(B189),ISNA(B185)),NA(),B189/B185-1),NA())</f>
        <v>-3.9630118890355837E-3</v>
      </c>
      <c r="Q189" s="24">
        <f t="shared" si="147"/>
        <v>-1.2755102040816313E-2</v>
      </c>
      <c r="R189" s="24">
        <f t="shared" si="147"/>
        <v>-4.8231511254019921E-3</v>
      </c>
      <c r="S189" s="24">
        <f t="shared" si="147"/>
        <v>3.1446540880502027E-3</v>
      </c>
      <c r="T189" s="24">
        <f t="shared" si="147"/>
        <v>9.2391304347825942E-2</v>
      </c>
    </row>
    <row r="190" spans="1:20" x14ac:dyDescent="0.25">
      <c r="A190" s="53">
        <f>Data1!A149</f>
        <v>37681</v>
      </c>
      <c r="B190">
        <f>IF(ISBLANK(Data1!B149),NA(),Data1!B149)</f>
        <v>76</v>
      </c>
      <c r="C190">
        <f>IF(ISBLANK(Data1!E149),NA(),Data1!E149)</f>
        <v>77.3</v>
      </c>
      <c r="D190">
        <f>IF(ISBLANK(Data1!AJ149),NA(),Data1!AJ149)</f>
        <v>64</v>
      </c>
      <c r="E190">
        <f>IF(ISBLANK(Data1!BJ149),NA(),Data1!BJ149)</f>
        <v>67</v>
      </c>
      <c r="F190">
        <f>IF(ISBLANK(Data1!BK149),NA(),Data1!BK149)</f>
        <v>62.4</v>
      </c>
      <c r="H190" s="53">
        <f t="shared" si="134"/>
        <v>37681</v>
      </c>
      <c r="I190">
        <f t="shared" si="135"/>
        <v>703.70370370370358</v>
      </c>
      <c r="J190" cm="1">
        <f t="array" ref="J190">IF(ISNA(C190),NA(),C190/INDEX($C$52:$C$282,MATCH(TRUE,INDEX(NOT(ISNA($C$52:$C$282)),0),0))*100)</f>
        <v>147.23809523809524</v>
      </c>
      <c r="K190" cm="1">
        <f t="array" ref="K190">IF(ISNA(D190),NA(),D190/INDEX($D$52:$D$282,MATCH(TRUE,INDEX(NOT(ISNA($D$52:$D$282)),0),0))*100)</f>
        <v>100.94637223974763</v>
      </c>
      <c r="L190">
        <f t="shared" si="136"/>
        <v>374.30167597765364</v>
      </c>
      <c r="M190">
        <f t="shared" si="137"/>
        <v>528.81355932203383</v>
      </c>
      <c r="O190" s="53">
        <f t="shared" si="142"/>
        <v>37681</v>
      </c>
      <c r="P190" s="24">
        <f t="shared" ref="P190:T190" si="148">IFERROR(IF(OR(ISNA(B190),ISNA(B186)),NA(),B190/B186-1),NA())</f>
        <v>1.4686248331108098E-2</v>
      </c>
      <c r="Q190" s="24">
        <f t="shared" si="148"/>
        <v>-7.7021822849808741E-3</v>
      </c>
      <c r="R190" s="24">
        <f t="shared" si="148"/>
        <v>4.0650406504065151E-2</v>
      </c>
      <c r="S190" s="24">
        <f t="shared" si="148"/>
        <v>3.7151702786377694E-2</v>
      </c>
      <c r="T190" s="24">
        <f t="shared" si="148"/>
        <v>0.10834813499111906</v>
      </c>
    </row>
    <row r="191" spans="1:20" x14ac:dyDescent="0.25">
      <c r="A191" s="53">
        <f>Data1!A150</f>
        <v>37773</v>
      </c>
      <c r="B191">
        <f>IF(ISBLANK(Data1!B150),NA(),Data1!B150)</f>
        <v>74.599999999999994</v>
      </c>
      <c r="C191">
        <f>IF(ISBLANK(Data1!E150),NA(),Data1!E150)</f>
        <v>76.8</v>
      </c>
      <c r="D191">
        <f>IF(ISBLANK(Data1!AJ150),NA(),Data1!AJ150)</f>
        <v>61.2</v>
      </c>
      <c r="E191">
        <f>IF(ISBLANK(Data1!BJ150),NA(),Data1!BJ150)</f>
        <v>65.8</v>
      </c>
      <c r="F191">
        <f>IF(ISBLANK(Data1!BK150),NA(),Data1!BK150)</f>
        <v>61.8</v>
      </c>
      <c r="H191" s="53">
        <f t="shared" si="134"/>
        <v>37773</v>
      </c>
      <c r="I191">
        <f t="shared" si="135"/>
        <v>690.74074074074065</v>
      </c>
      <c r="J191" cm="1">
        <f t="array" ref="J191">IF(ISNA(C191),NA(),C191/INDEX($C$52:$C$282,MATCH(TRUE,INDEX(NOT(ISNA($C$52:$C$282)),0),0))*100)</f>
        <v>146.28571428571428</v>
      </c>
      <c r="K191" cm="1">
        <f t="array" ref="K191">IF(ISNA(D191),NA(),D191/INDEX($D$52:$D$282,MATCH(TRUE,INDEX(NOT(ISNA($D$52:$D$282)),0),0))*100)</f>
        <v>96.529968454258679</v>
      </c>
      <c r="L191">
        <f t="shared" si="136"/>
        <v>367.59776536312853</v>
      </c>
      <c r="M191">
        <f t="shared" si="137"/>
        <v>523.72881355932202</v>
      </c>
      <c r="O191" s="53">
        <f t="shared" si="142"/>
        <v>37773</v>
      </c>
      <c r="P191" s="24">
        <f t="shared" ref="P191:T191" si="149">IFERROR(IF(OR(ISNA(B191),ISNA(B187)),NA(),B191/B187-1),NA())</f>
        <v>-1.0610079575597009E-2</v>
      </c>
      <c r="Q191" s="24">
        <f t="shared" si="149"/>
        <v>-9.0322580645161299E-3</v>
      </c>
      <c r="R191" s="24">
        <f t="shared" si="149"/>
        <v>-1.9230769230769162E-2</v>
      </c>
      <c r="S191" s="24">
        <f t="shared" si="149"/>
        <v>-1.0526315789473717E-2</v>
      </c>
      <c r="T191" s="24">
        <f t="shared" si="149"/>
        <v>4.9235993208828432E-2</v>
      </c>
    </row>
    <row r="192" spans="1:20" x14ac:dyDescent="0.25">
      <c r="A192" s="53">
        <f>Data1!A151</f>
        <v>37865</v>
      </c>
      <c r="B192">
        <f>IF(ISBLANK(Data1!B151),NA(),Data1!B151)</f>
        <v>72.900000000000006</v>
      </c>
      <c r="C192">
        <f>IF(ISBLANK(Data1!E151),NA(),Data1!E151)</f>
        <v>75.099999999999994</v>
      </c>
      <c r="D192">
        <f>IF(ISBLANK(Data1!AJ151),NA(),Data1!AJ151)</f>
        <v>59.7</v>
      </c>
      <c r="E192">
        <f>IF(ISBLANK(Data1!BJ151),NA(),Data1!BJ151)</f>
        <v>66.400000000000006</v>
      </c>
      <c r="F192">
        <f>IF(ISBLANK(Data1!BK151),NA(),Data1!BK151)</f>
        <v>63.3</v>
      </c>
      <c r="H192" s="53">
        <f t="shared" si="134"/>
        <v>37865</v>
      </c>
      <c r="I192">
        <f t="shared" si="135"/>
        <v>675</v>
      </c>
      <c r="J192" cm="1">
        <f t="array" ref="J192">IF(ISNA(C192),NA(),C192/INDEX($C$52:$C$282,MATCH(TRUE,INDEX(NOT(ISNA($C$52:$C$282)),0),0))*100)</f>
        <v>143.04761904761904</v>
      </c>
      <c r="K192" cm="1">
        <f t="array" ref="K192">IF(ISNA(D192),NA(),D192/INDEX($D$52:$D$282,MATCH(TRUE,INDEX(NOT(ISNA($D$52:$D$282)),0),0))*100)</f>
        <v>94.1640378548896</v>
      </c>
      <c r="L192">
        <f t="shared" si="136"/>
        <v>370.94972067039112</v>
      </c>
      <c r="M192">
        <f t="shared" si="137"/>
        <v>536.44067796610159</v>
      </c>
      <c r="O192" s="53">
        <f t="shared" si="142"/>
        <v>37865</v>
      </c>
      <c r="P192" s="24">
        <f t="shared" ref="P192:T192" si="150">IFERROR(IF(OR(ISNA(B192),ISNA(B188)),NA(),B192/B188-1),NA())</f>
        <v>-3.0585106382978733E-2</v>
      </c>
      <c r="Q192" s="24">
        <f t="shared" si="150"/>
        <v>-2.2135416666666741E-2</v>
      </c>
      <c r="R192" s="24">
        <f t="shared" si="150"/>
        <v>-2.9268292682926744E-2</v>
      </c>
      <c r="S192" s="24">
        <f t="shared" si="150"/>
        <v>3.0211480362538623E-3</v>
      </c>
      <c r="T192" s="24">
        <f t="shared" si="150"/>
        <v>4.2833607907742932E-2</v>
      </c>
    </row>
    <row r="193" spans="1:20" x14ac:dyDescent="0.25">
      <c r="A193" s="53">
        <f>Data1!A152</f>
        <v>37956</v>
      </c>
      <c r="B193">
        <f>IF(ISBLANK(Data1!B152),NA(),Data1!B152)</f>
        <v>72.5</v>
      </c>
      <c r="C193">
        <f>IF(ISBLANK(Data1!E152),NA(),Data1!E152)</f>
        <v>74.5</v>
      </c>
      <c r="D193">
        <f>IF(ISBLANK(Data1!AJ152),NA(),Data1!AJ152)</f>
        <v>59.5</v>
      </c>
      <c r="E193">
        <f>IF(ISBLANK(Data1!BJ152),NA(),Data1!BJ152)</f>
        <v>65.3</v>
      </c>
      <c r="F193">
        <f>IF(ISBLANK(Data1!BK152),NA(),Data1!BK152)</f>
        <v>63.4</v>
      </c>
      <c r="H193" s="53">
        <f t="shared" si="134"/>
        <v>37956</v>
      </c>
      <c r="I193">
        <f t="shared" si="135"/>
        <v>671.2962962962963</v>
      </c>
      <c r="J193" cm="1">
        <f t="array" ref="J193">IF(ISNA(C193),NA(),C193/INDEX($C$52:$C$282,MATCH(TRUE,INDEX(NOT(ISNA($C$52:$C$282)),0),0))*100)</f>
        <v>141.9047619047619</v>
      </c>
      <c r="K193" cm="1">
        <f t="array" ref="K193">IF(ISNA(D193),NA(),D193/INDEX($D$52:$D$282,MATCH(TRUE,INDEX(NOT(ISNA($D$52:$D$282)),0),0))*100)</f>
        <v>93.848580441640379</v>
      </c>
      <c r="L193">
        <f t="shared" si="136"/>
        <v>364.804469273743</v>
      </c>
      <c r="M193">
        <f t="shared" si="137"/>
        <v>537.28813559322032</v>
      </c>
      <c r="O193" s="53">
        <f t="shared" si="142"/>
        <v>37956</v>
      </c>
      <c r="P193" s="24">
        <f t="shared" ref="P193:T193" si="151">IFERROR(IF(OR(ISNA(B193),ISNA(B189)),NA(),B193/B189-1),NA())</f>
        <v>-3.8461538461538547E-2</v>
      </c>
      <c r="Q193" s="24">
        <f t="shared" si="151"/>
        <v>-3.7467700258397962E-2</v>
      </c>
      <c r="R193" s="24">
        <f t="shared" si="151"/>
        <v>-3.8772213247172838E-2</v>
      </c>
      <c r="S193" s="24">
        <f t="shared" si="151"/>
        <v>2.3510971786833812E-2</v>
      </c>
      <c r="T193" s="24">
        <f t="shared" si="151"/>
        <v>5.1409618573797777E-2</v>
      </c>
    </row>
    <row r="194" spans="1:20" x14ac:dyDescent="0.25">
      <c r="A194" s="53">
        <f>Data1!A153</f>
        <v>38047</v>
      </c>
      <c r="B194">
        <f>IF(ISBLANK(Data1!B153),NA(),Data1!B153)</f>
        <v>71.3</v>
      </c>
      <c r="C194">
        <f>IF(ISBLANK(Data1!E153),NA(),Data1!E153)</f>
        <v>73.3</v>
      </c>
      <c r="D194">
        <f>IF(ISBLANK(Data1!AJ153),NA(),Data1!AJ153)</f>
        <v>58.2</v>
      </c>
      <c r="E194">
        <f>IF(ISBLANK(Data1!BJ153),NA(),Data1!BJ153)</f>
        <v>65.2</v>
      </c>
      <c r="F194">
        <f>IF(ISBLANK(Data1!BK153),NA(),Data1!BK153)</f>
        <v>64.099999999999994</v>
      </c>
      <c r="H194" s="53">
        <f t="shared" si="134"/>
        <v>38047</v>
      </c>
      <c r="I194">
        <f t="shared" si="135"/>
        <v>660.18518518518511</v>
      </c>
      <c r="J194" cm="1">
        <f t="array" ref="J194">IF(ISNA(C194),NA(),C194/INDEX($C$52:$C$282,MATCH(TRUE,INDEX(NOT(ISNA($C$52:$C$282)),0),0))*100)</f>
        <v>139.61904761904762</v>
      </c>
      <c r="K194" cm="1">
        <f t="array" ref="K194">IF(ISNA(D194),NA(),D194/INDEX($D$52:$D$282,MATCH(TRUE,INDEX(NOT(ISNA($D$52:$D$282)),0),0))*100)</f>
        <v>91.798107255520506</v>
      </c>
      <c r="L194">
        <f t="shared" si="136"/>
        <v>364.24581005586595</v>
      </c>
      <c r="M194">
        <f t="shared" si="137"/>
        <v>543.22033898305074</v>
      </c>
      <c r="O194" s="53">
        <f t="shared" si="142"/>
        <v>38047</v>
      </c>
      <c r="P194" s="24">
        <f t="shared" ref="P194:T194" si="152">IFERROR(IF(OR(ISNA(B194),ISNA(B190)),NA(),B194/B190-1),NA())</f>
        <v>-6.184210526315792E-2</v>
      </c>
      <c r="Q194" s="24">
        <f t="shared" si="152"/>
        <v>-5.1746442432082818E-2</v>
      </c>
      <c r="R194" s="24">
        <f t="shared" si="152"/>
        <v>-9.0624999999999956E-2</v>
      </c>
      <c r="S194" s="24">
        <f t="shared" si="152"/>
        <v>-2.6865671641790989E-2</v>
      </c>
      <c r="T194" s="24">
        <f t="shared" si="152"/>
        <v>2.7243589743589647E-2</v>
      </c>
    </row>
    <row r="195" spans="1:20" x14ac:dyDescent="0.25">
      <c r="A195" s="53">
        <f>Data1!A154</f>
        <v>38139</v>
      </c>
      <c r="B195">
        <f>IF(ISBLANK(Data1!B154),NA(),Data1!B154)</f>
        <v>73.099999999999994</v>
      </c>
      <c r="C195">
        <f>IF(ISBLANK(Data1!E154),NA(),Data1!E154)</f>
        <v>75</v>
      </c>
      <c r="D195">
        <f>IF(ISBLANK(Data1!AJ154),NA(),Data1!AJ154)</f>
        <v>59.7</v>
      </c>
      <c r="E195">
        <f>IF(ISBLANK(Data1!BJ154),NA(),Data1!BJ154)</f>
        <v>63.7</v>
      </c>
      <c r="F195">
        <f>IF(ISBLANK(Data1!BK154),NA(),Data1!BK154)</f>
        <v>62.8</v>
      </c>
      <c r="H195" s="53">
        <f t="shared" si="134"/>
        <v>38139</v>
      </c>
      <c r="I195">
        <f t="shared" si="135"/>
        <v>676.85185185185173</v>
      </c>
      <c r="J195" cm="1">
        <f t="array" ref="J195">IF(ISNA(C195),NA(),C195/INDEX($C$52:$C$282,MATCH(TRUE,INDEX(NOT(ISNA($C$52:$C$282)),0),0))*100)</f>
        <v>142.85714285714286</v>
      </c>
      <c r="K195" cm="1">
        <f t="array" ref="K195">IF(ISNA(D195),NA(),D195/INDEX($D$52:$D$282,MATCH(TRUE,INDEX(NOT(ISNA($D$52:$D$282)),0),0))*100)</f>
        <v>94.1640378548896</v>
      </c>
      <c r="L195">
        <f t="shared" si="136"/>
        <v>355.86592178770957</v>
      </c>
      <c r="M195">
        <f t="shared" si="137"/>
        <v>532.2033898305084</v>
      </c>
      <c r="O195" s="53">
        <f t="shared" si="142"/>
        <v>38139</v>
      </c>
      <c r="P195" s="24">
        <f t="shared" ref="P195:T195" si="153">IFERROR(IF(OR(ISNA(B195),ISNA(B191)),NA(),B195/B191-1),NA())</f>
        <v>-2.0107238605898137E-2</v>
      </c>
      <c r="Q195" s="24">
        <f t="shared" si="153"/>
        <v>-2.34375E-2</v>
      </c>
      <c r="R195" s="24">
        <f t="shared" si="153"/>
        <v>-2.4509803921568651E-2</v>
      </c>
      <c r="S195" s="24">
        <f t="shared" si="153"/>
        <v>-3.1914893617021156E-2</v>
      </c>
      <c r="T195" s="24">
        <f t="shared" si="153"/>
        <v>1.6181229773462702E-2</v>
      </c>
    </row>
    <row r="196" spans="1:20" x14ac:dyDescent="0.25">
      <c r="A196" s="53">
        <f>Data1!A155</f>
        <v>38231</v>
      </c>
      <c r="B196">
        <f>IF(ISBLANK(Data1!B155),NA(),Data1!B155)</f>
        <v>76.5</v>
      </c>
      <c r="C196">
        <f>IF(ISBLANK(Data1!E155),NA(),Data1!E155)</f>
        <v>77.599999999999994</v>
      </c>
      <c r="D196">
        <f>IF(ISBLANK(Data1!AJ155),NA(),Data1!AJ155)</f>
        <v>64.400000000000006</v>
      </c>
      <c r="E196">
        <f>IF(ISBLANK(Data1!BJ155),NA(),Data1!BJ155)</f>
        <v>66.900000000000006</v>
      </c>
      <c r="F196">
        <f>IF(ISBLANK(Data1!BK155),NA(),Data1!BK155)</f>
        <v>60.9</v>
      </c>
      <c r="H196" s="53">
        <f t="shared" si="134"/>
        <v>38231</v>
      </c>
      <c r="I196">
        <f t="shared" si="135"/>
        <v>708.33333333333326</v>
      </c>
      <c r="J196" cm="1">
        <f t="array" ref="J196">IF(ISNA(C196),NA(),C196/INDEX($C$52:$C$282,MATCH(TRUE,INDEX(NOT(ISNA($C$52:$C$282)),0),0))*100)</f>
        <v>147.8095238095238</v>
      </c>
      <c r="K196" cm="1">
        <f t="array" ref="K196">IF(ISNA(D196),NA(),D196/INDEX($D$52:$D$282,MATCH(TRUE,INDEX(NOT(ISNA($D$52:$D$282)),0),0))*100)</f>
        <v>101.57728706624607</v>
      </c>
      <c r="L196">
        <f t="shared" si="136"/>
        <v>373.74301675977659</v>
      </c>
      <c r="M196">
        <f t="shared" si="137"/>
        <v>516.10169491525414</v>
      </c>
      <c r="O196" s="53">
        <f t="shared" si="142"/>
        <v>38231</v>
      </c>
      <c r="P196" s="24">
        <f t="shared" ref="P196:T196" si="154">IFERROR(IF(OR(ISNA(B196),ISNA(B192)),NA(),B196/B192-1),NA())</f>
        <v>4.9382716049382713E-2</v>
      </c>
      <c r="Q196" s="24">
        <f t="shared" si="154"/>
        <v>3.3288948069241098E-2</v>
      </c>
      <c r="R196" s="24">
        <f t="shared" si="154"/>
        <v>7.8726968174204437E-2</v>
      </c>
      <c r="S196" s="24">
        <f t="shared" si="154"/>
        <v>7.5301204819278045E-3</v>
      </c>
      <c r="T196" s="24">
        <f t="shared" si="154"/>
        <v>-3.7914691943127909E-2</v>
      </c>
    </row>
    <row r="197" spans="1:20" x14ac:dyDescent="0.25">
      <c r="A197" s="53">
        <f>Data1!A156</f>
        <v>38322</v>
      </c>
      <c r="B197">
        <f>IF(ISBLANK(Data1!B156),NA(),Data1!B156)</f>
        <v>77.8</v>
      </c>
      <c r="C197">
        <f>IF(ISBLANK(Data1!E156),NA(),Data1!E156)</f>
        <v>78.5</v>
      </c>
      <c r="D197">
        <f>IF(ISBLANK(Data1!AJ156),NA(),Data1!AJ156)</f>
        <v>65.2</v>
      </c>
      <c r="E197">
        <f>IF(ISBLANK(Data1!BJ156),NA(),Data1!BJ156)</f>
        <v>67.2</v>
      </c>
      <c r="F197">
        <f>IF(ISBLANK(Data1!BK156),NA(),Data1!BK156)</f>
        <v>61.4</v>
      </c>
      <c r="H197" s="53">
        <f t="shared" si="134"/>
        <v>38322</v>
      </c>
      <c r="I197">
        <f t="shared" si="135"/>
        <v>720.37037037037032</v>
      </c>
      <c r="J197" cm="1">
        <f t="array" ref="J197">IF(ISNA(C197),NA(),C197/INDEX($C$52:$C$282,MATCH(TRUE,INDEX(NOT(ISNA($C$52:$C$282)),0),0))*100)</f>
        <v>149.52380952380952</v>
      </c>
      <c r="K197" cm="1">
        <f t="array" ref="K197">IF(ISNA(D197),NA(),D197/INDEX($D$52:$D$282,MATCH(TRUE,INDEX(NOT(ISNA($D$52:$D$282)),0),0))*100)</f>
        <v>102.83911671924291</v>
      </c>
      <c r="L197">
        <f t="shared" si="136"/>
        <v>375.41899441340786</v>
      </c>
      <c r="M197">
        <f t="shared" si="137"/>
        <v>520.33898305084745</v>
      </c>
      <c r="O197" s="53">
        <f t="shared" si="142"/>
        <v>38322</v>
      </c>
      <c r="P197" s="24">
        <f t="shared" ref="P197:T197" si="155">IFERROR(IF(OR(ISNA(B197),ISNA(B193)),NA(),B197/B193-1),NA())</f>
        <v>7.3103448275862126E-2</v>
      </c>
      <c r="Q197" s="24">
        <f t="shared" si="155"/>
        <v>5.3691275167785157E-2</v>
      </c>
      <c r="R197" s="24">
        <f t="shared" si="155"/>
        <v>9.5798319327731196E-2</v>
      </c>
      <c r="S197" s="24">
        <f t="shared" si="155"/>
        <v>2.9096477794793296E-2</v>
      </c>
      <c r="T197" s="24">
        <f t="shared" si="155"/>
        <v>-3.1545741324921162E-2</v>
      </c>
    </row>
    <row r="198" spans="1:20" x14ac:dyDescent="0.25">
      <c r="A198" s="53">
        <f>Data1!A157</f>
        <v>38412</v>
      </c>
      <c r="B198">
        <f>IF(ISBLANK(Data1!B157),NA(),Data1!B157)</f>
        <v>77.099999999999994</v>
      </c>
      <c r="C198">
        <f>IF(ISBLANK(Data1!E157),NA(),Data1!E157)</f>
        <v>78.5</v>
      </c>
      <c r="D198">
        <f>IF(ISBLANK(Data1!AJ157),NA(),Data1!AJ157)</f>
        <v>63.3</v>
      </c>
      <c r="E198">
        <f>IF(ISBLANK(Data1!BJ157),NA(),Data1!BJ157)</f>
        <v>67.400000000000006</v>
      </c>
      <c r="F198">
        <f>IF(ISBLANK(Data1!BK157),NA(),Data1!BK157)</f>
        <v>61.9</v>
      </c>
      <c r="H198" s="53">
        <f t="shared" si="134"/>
        <v>38412</v>
      </c>
      <c r="I198">
        <f t="shared" si="135"/>
        <v>713.8888888888888</v>
      </c>
      <c r="J198" cm="1">
        <f t="array" ref="J198">IF(ISNA(C198),NA(),C198/INDEX($C$52:$C$282,MATCH(TRUE,INDEX(NOT(ISNA($C$52:$C$282)),0),0))*100)</f>
        <v>149.52380952380952</v>
      </c>
      <c r="K198" cm="1">
        <f t="array" ref="K198">IF(ISNA(D198),NA(),D198/INDEX($D$52:$D$282,MATCH(TRUE,INDEX(NOT(ISNA($D$52:$D$282)),0),0))*100)</f>
        <v>99.84227129337539</v>
      </c>
      <c r="L198">
        <f t="shared" si="136"/>
        <v>376.53631284916207</v>
      </c>
      <c r="M198">
        <f t="shared" si="137"/>
        <v>524.57627118644064</v>
      </c>
      <c r="O198" s="53">
        <f t="shared" si="142"/>
        <v>38412</v>
      </c>
      <c r="P198" s="24">
        <f t="shared" ref="P198:T198" si="156">IFERROR(IF(OR(ISNA(B198),ISNA(B194)),NA(),B198/B194-1),NA())</f>
        <v>8.1346423562412395E-2</v>
      </c>
      <c r="Q198" s="24">
        <f t="shared" si="156"/>
        <v>7.0941336971350744E-2</v>
      </c>
      <c r="R198" s="24">
        <f t="shared" si="156"/>
        <v>8.7628865979381354E-2</v>
      </c>
      <c r="S198" s="24">
        <f t="shared" si="156"/>
        <v>3.3742331288343586E-2</v>
      </c>
      <c r="T198" s="24">
        <f t="shared" si="156"/>
        <v>-3.4321372854914101E-2</v>
      </c>
    </row>
    <row r="199" spans="1:20" x14ac:dyDescent="0.25">
      <c r="A199" s="53">
        <f>Data1!A158</f>
        <v>38504</v>
      </c>
      <c r="B199">
        <f>IF(ISBLANK(Data1!B158),NA(),Data1!B158)</f>
        <v>78.400000000000006</v>
      </c>
      <c r="C199">
        <f>IF(ISBLANK(Data1!E158),NA(),Data1!E158)</f>
        <v>79.3</v>
      </c>
      <c r="D199">
        <f>IF(ISBLANK(Data1!AJ158),NA(),Data1!AJ158)</f>
        <v>65.2</v>
      </c>
      <c r="E199">
        <f>IF(ISBLANK(Data1!BJ158),NA(),Data1!BJ158)</f>
        <v>67.5</v>
      </c>
      <c r="F199">
        <f>IF(ISBLANK(Data1!BK158),NA(),Data1!BK158)</f>
        <v>62.7</v>
      </c>
      <c r="H199" s="53">
        <f t="shared" si="134"/>
        <v>38504</v>
      </c>
      <c r="I199">
        <f t="shared" si="135"/>
        <v>725.92592592592598</v>
      </c>
      <c r="J199" cm="1">
        <f t="array" ref="J199">IF(ISNA(C199),NA(),C199/INDEX($C$52:$C$282,MATCH(TRUE,INDEX(NOT(ISNA($C$52:$C$282)),0),0))*100)</f>
        <v>151.04761904761907</v>
      </c>
      <c r="K199" cm="1">
        <f t="array" ref="K199">IF(ISNA(D199),NA(),D199/INDEX($D$52:$D$282,MATCH(TRUE,INDEX(NOT(ISNA($D$52:$D$282)),0),0))*100)</f>
        <v>102.83911671924291</v>
      </c>
      <c r="L199">
        <f t="shared" si="136"/>
        <v>377.09497206703912</v>
      </c>
      <c r="M199">
        <f t="shared" si="137"/>
        <v>531.35593220338978</v>
      </c>
      <c r="O199" s="53">
        <f t="shared" si="142"/>
        <v>38504</v>
      </c>
      <c r="P199" s="24">
        <f t="shared" ref="P199:T199" si="157">IFERROR(IF(OR(ISNA(B199),ISNA(B195)),NA(),B199/B195-1),NA())</f>
        <v>7.2503419972640426E-2</v>
      </c>
      <c r="Q199" s="24">
        <f t="shared" si="157"/>
        <v>5.7333333333333236E-2</v>
      </c>
      <c r="R199" s="24">
        <f t="shared" si="157"/>
        <v>9.2127303182579556E-2</v>
      </c>
      <c r="S199" s="24">
        <f t="shared" si="157"/>
        <v>5.9654631083202458E-2</v>
      </c>
      <c r="T199" s="24">
        <f t="shared" si="157"/>
        <v>-1.5923566878980333E-3</v>
      </c>
    </row>
    <row r="200" spans="1:20" x14ac:dyDescent="0.25">
      <c r="A200" s="53">
        <f>Data1!A159</f>
        <v>38596</v>
      </c>
      <c r="B200">
        <f>IF(ISBLANK(Data1!B159),NA(),Data1!B159)</f>
        <v>80.2</v>
      </c>
      <c r="C200">
        <f>IF(ISBLANK(Data1!E159),NA(),Data1!E159)</f>
        <v>80.099999999999994</v>
      </c>
      <c r="D200">
        <f>IF(ISBLANK(Data1!AJ159),NA(),Data1!AJ159)</f>
        <v>70.5</v>
      </c>
      <c r="E200">
        <f>IF(ISBLANK(Data1!BJ159),NA(),Data1!BJ159)</f>
        <v>68.599999999999994</v>
      </c>
      <c r="F200">
        <f>IF(ISBLANK(Data1!BK159),NA(),Data1!BK159)</f>
        <v>63.4</v>
      </c>
      <c r="H200" s="53">
        <f t="shared" si="134"/>
        <v>38596</v>
      </c>
      <c r="I200">
        <f t="shared" si="135"/>
        <v>742.59259259259261</v>
      </c>
      <c r="J200" cm="1">
        <f t="array" ref="J200">IF(ISNA(C200),NA(),C200/INDEX($C$52:$C$282,MATCH(TRUE,INDEX(NOT(ISNA($C$52:$C$282)),0),0))*100)</f>
        <v>152.57142857142856</v>
      </c>
      <c r="K200" cm="1">
        <f t="array" ref="K200">IF(ISNA(D200),NA(),D200/INDEX($D$52:$D$282,MATCH(TRUE,INDEX(NOT(ISNA($D$52:$D$282)),0),0))*100)</f>
        <v>111.198738170347</v>
      </c>
      <c r="L200">
        <f t="shared" si="136"/>
        <v>383.24022346368713</v>
      </c>
      <c r="M200">
        <f t="shared" si="137"/>
        <v>537.28813559322032</v>
      </c>
      <c r="O200" s="53">
        <f t="shared" si="142"/>
        <v>38596</v>
      </c>
      <c r="P200" s="24">
        <f t="shared" ref="P200:T200" si="158">IFERROR(IF(OR(ISNA(B200),ISNA(B196)),NA(),B200/B196-1),NA())</f>
        <v>4.8366013071895475E-2</v>
      </c>
      <c r="Q200" s="24">
        <f t="shared" si="158"/>
        <v>3.2216494845360932E-2</v>
      </c>
      <c r="R200" s="24">
        <f t="shared" si="158"/>
        <v>9.4720496894409756E-2</v>
      </c>
      <c r="S200" s="24">
        <f t="shared" si="158"/>
        <v>2.5411061285500525E-2</v>
      </c>
      <c r="T200" s="24">
        <f t="shared" si="158"/>
        <v>4.1050903119868698E-2</v>
      </c>
    </row>
    <row r="201" spans="1:20" x14ac:dyDescent="0.25">
      <c r="A201" s="53">
        <f>Data1!A160</f>
        <v>38687</v>
      </c>
      <c r="B201">
        <f>IF(ISBLANK(Data1!B160),NA(),Data1!B160)</f>
        <v>80.3</v>
      </c>
      <c r="C201">
        <f>IF(ISBLANK(Data1!E160),NA(),Data1!E160)</f>
        <v>80.900000000000006</v>
      </c>
      <c r="D201">
        <f>IF(ISBLANK(Data1!AJ160),NA(),Data1!AJ160)</f>
        <v>70.8</v>
      </c>
      <c r="E201">
        <f>IF(ISBLANK(Data1!BJ160),NA(),Data1!BJ160)</f>
        <v>68.900000000000006</v>
      </c>
      <c r="F201">
        <f>IF(ISBLANK(Data1!BK160),NA(),Data1!BK160)</f>
        <v>63.8</v>
      </c>
      <c r="H201" s="53">
        <f t="shared" si="134"/>
        <v>38687</v>
      </c>
      <c r="I201">
        <f t="shared" si="135"/>
        <v>743.51851851851848</v>
      </c>
      <c r="J201" cm="1">
        <f t="array" ref="J201">IF(ISNA(C201),NA(),C201/INDEX($C$52:$C$282,MATCH(TRUE,INDEX(NOT(ISNA($C$52:$C$282)),0),0))*100)</f>
        <v>154.0952380952381</v>
      </c>
      <c r="K201" cm="1">
        <f t="array" ref="K201">IF(ISNA(D201),NA(),D201/INDEX($D$52:$D$282,MATCH(TRUE,INDEX(NOT(ISNA($D$52:$D$282)),0),0))*100)</f>
        <v>111.67192429022082</v>
      </c>
      <c r="L201">
        <f t="shared" si="136"/>
        <v>384.91620111731845</v>
      </c>
      <c r="M201">
        <f t="shared" si="137"/>
        <v>540.67796610169489</v>
      </c>
      <c r="O201" s="53">
        <f t="shared" si="142"/>
        <v>38687</v>
      </c>
      <c r="P201" s="24">
        <f t="shared" ref="P201:T201" si="159">IFERROR(IF(OR(ISNA(B201),ISNA(B197)),NA(),B201/B197-1),NA())</f>
        <v>3.2133676092545027E-2</v>
      </c>
      <c r="Q201" s="24">
        <f t="shared" si="159"/>
        <v>3.0573248407643305E-2</v>
      </c>
      <c r="R201" s="24">
        <f t="shared" si="159"/>
        <v>8.5889570552147187E-2</v>
      </c>
      <c r="S201" s="24">
        <f t="shared" si="159"/>
        <v>2.5297619047619069E-2</v>
      </c>
      <c r="T201" s="24">
        <f t="shared" si="159"/>
        <v>3.9087947882736174E-2</v>
      </c>
    </row>
    <row r="202" spans="1:20" x14ac:dyDescent="0.25">
      <c r="A202" s="53">
        <f>Data1!A161</f>
        <v>38777</v>
      </c>
      <c r="B202">
        <f>IF(ISBLANK(Data1!B161),NA(),Data1!B161)</f>
        <v>82.1</v>
      </c>
      <c r="C202">
        <f>IF(ISBLANK(Data1!E161),NA(),Data1!E161)</f>
        <v>82.6</v>
      </c>
      <c r="D202">
        <f>IF(ISBLANK(Data1!AJ161),NA(),Data1!AJ161)</f>
        <v>72.7</v>
      </c>
      <c r="E202">
        <f>IF(ISBLANK(Data1!BJ161),NA(),Data1!BJ161)</f>
        <v>69.400000000000006</v>
      </c>
      <c r="F202">
        <f>IF(ISBLANK(Data1!BK161),NA(),Data1!BK161)</f>
        <v>65</v>
      </c>
      <c r="H202" s="53">
        <f t="shared" si="134"/>
        <v>38777</v>
      </c>
      <c r="I202">
        <f t="shared" si="135"/>
        <v>760.18518518518511</v>
      </c>
      <c r="J202" cm="1">
        <f t="array" ref="J202">IF(ISNA(C202),NA(),C202/INDEX($C$52:$C$282,MATCH(TRUE,INDEX(NOT(ISNA($C$52:$C$282)),0),0))*100)</f>
        <v>157.33333333333331</v>
      </c>
      <c r="K202" cm="1">
        <f t="array" ref="K202">IF(ISNA(D202),NA(),D202/INDEX($D$52:$D$282,MATCH(TRUE,INDEX(NOT(ISNA($D$52:$D$282)),0),0))*100)</f>
        <v>114.66876971608832</v>
      </c>
      <c r="L202">
        <f t="shared" si="136"/>
        <v>387.70949720670399</v>
      </c>
      <c r="M202">
        <f t="shared" si="137"/>
        <v>550.84745762711862</v>
      </c>
      <c r="O202" s="53">
        <f t="shared" si="142"/>
        <v>38777</v>
      </c>
      <c r="P202" s="24">
        <f t="shared" ref="P202:T202" si="160">IFERROR(IF(OR(ISNA(B202),ISNA(B198)),NA(),B202/B198-1),NA())</f>
        <v>6.4850843060959784E-2</v>
      </c>
      <c r="Q202" s="24">
        <f t="shared" si="160"/>
        <v>5.2229299363057313E-2</v>
      </c>
      <c r="R202" s="24">
        <f t="shared" si="160"/>
        <v>0.14849921011058465</v>
      </c>
      <c r="S202" s="24">
        <f t="shared" si="160"/>
        <v>2.9673590504450953E-2</v>
      </c>
      <c r="T202" s="24">
        <f t="shared" si="160"/>
        <v>5.0080775444264924E-2</v>
      </c>
    </row>
    <row r="203" spans="1:20" x14ac:dyDescent="0.25">
      <c r="A203" s="53">
        <f>Data1!A162</f>
        <v>38869</v>
      </c>
      <c r="B203">
        <f>IF(ISBLANK(Data1!B162),NA(),Data1!B162)</f>
        <v>85.8</v>
      </c>
      <c r="C203">
        <f>IF(ISBLANK(Data1!E162),NA(),Data1!E162)</f>
        <v>85.2</v>
      </c>
      <c r="D203">
        <f>IF(ISBLANK(Data1!AJ162),NA(),Data1!AJ162)</f>
        <v>77</v>
      </c>
      <c r="E203">
        <f>IF(ISBLANK(Data1!BJ162),NA(),Data1!BJ162)</f>
        <v>69.5</v>
      </c>
      <c r="F203">
        <f>IF(ISBLANK(Data1!BK162),NA(),Data1!BK162)</f>
        <v>63.5</v>
      </c>
      <c r="H203" s="53">
        <f t="shared" si="134"/>
        <v>38869</v>
      </c>
      <c r="I203">
        <f t="shared" si="135"/>
        <v>794.44444444444434</v>
      </c>
      <c r="J203" cm="1">
        <f t="array" ref="J203">IF(ISNA(C203),NA(),C203/INDEX($C$52:$C$282,MATCH(TRUE,INDEX(NOT(ISNA($C$52:$C$282)),0),0))*100)</f>
        <v>162.28571428571431</v>
      </c>
      <c r="K203" cm="1">
        <f t="array" ref="K203">IF(ISNA(D203),NA(),D203/INDEX($D$52:$D$282,MATCH(TRUE,INDEX(NOT(ISNA($D$52:$D$282)),0),0))*100)</f>
        <v>121.45110410094637</v>
      </c>
      <c r="L203">
        <f t="shared" si="136"/>
        <v>388.26815642458104</v>
      </c>
      <c r="M203">
        <f t="shared" si="137"/>
        <v>538.13559322033893</v>
      </c>
      <c r="O203" s="53">
        <f t="shared" si="142"/>
        <v>38869</v>
      </c>
      <c r="P203" s="24">
        <f t="shared" ref="P203:T203" si="161">IFERROR(IF(OR(ISNA(B203),ISNA(B199)),NA(),B203/B199-1),NA())</f>
        <v>9.4387755102040671E-2</v>
      </c>
      <c r="Q203" s="24">
        <f t="shared" si="161"/>
        <v>7.4401008827238435E-2</v>
      </c>
      <c r="R203" s="24">
        <f t="shared" si="161"/>
        <v>0.18098159509202438</v>
      </c>
      <c r="S203" s="24">
        <f t="shared" si="161"/>
        <v>2.9629629629629672E-2</v>
      </c>
      <c r="T203" s="24">
        <f t="shared" si="161"/>
        <v>1.2759170653907415E-2</v>
      </c>
    </row>
    <row r="204" spans="1:20" x14ac:dyDescent="0.25">
      <c r="A204" s="53">
        <f>Data1!A163</f>
        <v>38961</v>
      </c>
      <c r="B204">
        <f>IF(ISBLANK(Data1!B163),NA(),Data1!B163)</f>
        <v>87</v>
      </c>
      <c r="C204">
        <f>IF(ISBLANK(Data1!E163),NA(),Data1!E163)</f>
        <v>86.5</v>
      </c>
      <c r="D204">
        <f>IF(ISBLANK(Data1!AJ163),NA(),Data1!AJ163)</f>
        <v>77.599999999999994</v>
      </c>
      <c r="E204">
        <f>IF(ISBLANK(Data1!BJ163),NA(),Data1!BJ163)</f>
        <v>69.900000000000006</v>
      </c>
      <c r="F204">
        <f>IF(ISBLANK(Data1!BK163),NA(),Data1!BK163)</f>
        <v>63.7</v>
      </c>
      <c r="H204" s="53">
        <f t="shared" si="134"/>
        <v>38961</v>
      </c>
      <c r="I204">
        <f t="shared" si="135"/>
        <v>805.55555555555554</v>
      </c>
      <c r="J204" cm="1">
        <f t="array" ref="J204">IF(ISNA(C204),NA(),C204/INDEX($C$52:$C$282,MATCH(TRUE,INDEX(NOT(ISNA($C$52:$C$282)),0),0))*100)</f>
        <v>164.76190476190476</v>
      </c>
      <c r="K204" cm="1">
        <f t="array" ref="K204">IF(ISNA(D204),NA(),D204/INDEX($D$52:$D$282,MATCH(TRUE,INDEX(NOT(ISNA($D$52:$D$282)),0),0))*100)</f>
        <v>122.397476340694</v>
      </c>
      <c r="L204">
        <f t="shared" si="136"/>
        <v>390.50279329608941</v>
      </c>
      <c r="M204">
        <f t="shared" si="137"/>
        <v>539.83050847457628</v>
      </c>
      <c r="O204" s="53">
        <f t="shared" si="142"/>
        <v>38961</v>
      </c>
      <c r="P204" s="24">
        <f t="shared" ref="P204:T204" si="162">IFERROR(IF(OR(ISNA(B204),ISNA(B200)),NA(),B204/B200-1),NA())</f>
        <v>8.4788029925187081E-2</v>
      </c>
      <c r="Q204" s="24">
        <f t="shared" si="162"/>
        <v>7.9900124843945042E-2</v>
      </c>
      <c r="R204" s="24">
        <f t="shared" si="162"/>
        <v>0.10070921985815584</v>
      </c>
      <c r="S204" s="24">
        <f t="shared" si="162"/>
        <v>1.8950437317784452E-2</v>
      </c>
      <c r="T204" s="24">
        <f t="shared" si="162"/>
        <v>4.7318611987381409E-3</v>
      </c>
    </row>
    <row r="205" spans="1:20" x14ac:dyDescent="0.25">
      <c r="A205" s="53">
        <f>Data1!A164</f>
        <v>39052</v>
      </c>
      <c r="B205">
        <f>IF(ISBLANK(Data1!B164),NA(),Data1!B164)</f>
        <v>86.3</v>
      </c>
      <c r="C205">
        <f>IF(ISBLANK(Data1!E164),NA(),Data1!E164)</f>
        <v>88.1</v>
      </c>
      <c r="D205">
        <f>IF(ISBLANK(Data1!AJ164),NA(),Data1!AJ164)</f>
        <v>75.3</v>
      </c>
      <c r="E205">
        <f>IF(ISBLANK(Data1!BJ164),NA(),Data1!BJ164)</f>
        <v>69.599999999999994</v>
      </c>
      <c r="F205">
        <f>IF(ISBLANK(Data1!BK164),NA(),Data1!BK164)</f>
        <v>63.3</v>
      </c>
      <c r="H205" s="53">
        <f t="shared" si="134"/>
        <v>39052</v>
      </c>
      <c r="I205">
        <f t="shared" si="135"/>
        <v>799.07407407407391</v>
      </c>
      <c r="J205" cm="1">
        <f t="array" ref="J205">IF(ISNA(C205),NA(),C205/INDEX($C$52:$C$282,MATCH(TRUE,INDEX(NOT(ISNA($C$52:$C$282)),0),0))*100)</f>
        <v>167.8095238095238</v>
      </c>
      <c r="K205" cm="1">
        <f t="array" ref="K205">IF(ISNA(D205),NA(),D205/INDEX($D$52:$D$282,MATCH(TRUE,INDEX(NOT(ISNA($D$52:$D$282)),0),0))*100)</f>
        <v>118.76971608832807</v>
      </c>
      <c r="L205">
        <f t="shared" si="136"/>
        <v>388.82681564245809</v>
      </c>
      <c r="M205">
        <f t="shared" si="137"/>
        <v>536.44067796610159</v>
      </c>
      <c r="O205" s="53">
        <f t="shared" si="142"/>
        <v>39052</v>
      </c>
      <c r="P205" s="24">
        <f t="shared" ref="P205:T205" si="163">IFERROR(IF(OR(ISNA(B205),ISNA(B201)),NA(),B205/B201-1),NA())</f>
        <v>7.4719800747198084E-2</v>
      </c>
      <c r="Q205" s="24">
        <f t="shared" si="163"/>
        <v>8.8998763906056766E-2</v>
      </c>
      <c r="R205" s="24">
        <f t="shared" si="163"/>
        <v>6.3559322033898358E-2</v>
      </c>
      <c r="S205" s="24">
        <f t="shared" si="163"/>
        <v>1.015965166908539E-2</v>
      </c>
      <c r="T205" s="24">
        <f t="shared" si="163"/>
        <v>-7.8369905956112706E-3</v>
      </c>
    </row>
    <row r="206" spans="1:20" x14ac:dyDescent="0.25">
      <c r="A206" s="53">
        <f>Data1!A165</f>
        <v>39142</v>
      </c>
      <c r="B206">
        <f>IF(ISBLANK(Data1!B165),NA(),Data1!B165)</f>
        <v>86</v>
      </c>
      <c r="C206">
        <f>IF(ISBLANK(Data1!E165),NA(),Data1!E165)</f>
        <v>87.9</v>
      </c>
      <c r="D206">
        <f>IF(ISBLANK(Data1!AJ165),NA(),Data1!AJ165)</f>
        <v>75.3</v>
      </c>
      <c r="E206">
        <f>IF(ISBLANK(Data1!BJ165),NA(),Data1!BJ165)</f>
        <v>70</v>
      </c>
      <c r="F206">
        <f>IF(ISBLANK(Data1!BK165),NA(),Data1!BK165)</f>
        <v>64.400000000000006</v>
      </c>
      <c r="H206" s="53">
        <f t="shared" si="134"/>
        <v>39142</v>
      </c>
      <c r="I206">
        <f t="shared" si="135"/>
        <v>796.2962962962963</v>
      </c>
      <c r="J206" cm="1">
        <f t="array" ref="J206">IF(ISNA(C206),NA(),C206/INDEX($C$52:$C$282,MATCH(TRUE,INDEX(NOT(ISNA($C$52:$C$282)),0),0))*100)</f>
        <v>167.42857142857144</v>
      </c>
      <c r="K206" cm="1">
        <f t="array" ref="K206">IF(ISNA(D206),NA(),D206/INDEX($D$52:$D$282,MATCH(TRUE,INDEX(NOT(ISNA($D$52:$D$282)),0),0))*100)</f>
        <v>118.76971608832807</v>
      </c>
      <c r="L206">
        <f t="shared" si="136"/>
        <v>391.06145251396651</v>
      </c>
      <c r="M206">
        <f t="shared" si="137"/>
        <v>545.76271186440681</v>
      </c>
      <c r="O206" s="53">
        <f t="shared" si="142"/>
        <v>39142</v>
      </c>
      <c r="P206" s="24">
        <f t="shared" ref="P206:T206" si="164">IFERROR(IF(OR(ISNA(B206),ISNA(B202)),NA(),B206/B202-1),NA())</f>
        <v>4.7503045066991545E-2</v>
      </c>
      <c r="Q206" s="24">
        <f t="shared" si="164"/>
        <v>6.4164648910411737E-2</v>
      </c>
      <c r="R206" s="24">
        <f t="shared" si="164"/>
        <v>3.5763411279229551E-2</v>
      </c>
      <c r="S206" s="24">
        <f t="shared" si="164"/>
        <v>8.6455331412103043E-3</v>
      </c>
      <c r="T206" s="24">
        <f t="shared" si="164"/>
        <v>-9.2307692307691536E-3</v>
      </c>
    </row>
    <row r="207" spans="1:20" x14ac:dyDescent="0.25">
      <c r="A207" s="53">
        <f>Data1!A166</f>
        <v>39234</v>
      </c>
      <c r="B207">
        <f>IF(ISBLANK(Data1!B166),NA(),Data1!B166)</f>
        <v>88</v>
      </c>
      <c r="C207">
        <f>IF(ISBLANK(Data1!E166),NA(),Data1!E166)</f>
        <v>89.1</v>
      </c>
      <c r="D207">
        <f>IF(ISBLANK(Data1!AJ166),NA(),Data1!AJ166)</f>
        <v>77.3</v>
      </c>
      <c r="E207">
        <f>IF(ISBLANK(Data1!BJ166),NA(),Data1!BJ166)</f>
        <v>70.8</v>
      </c>
      <c r="F207">
        <f>IF(ISBLANK(Data1!BK166),NA(),Data1!BK166)</f>
        <v>65.599999999999994</v>
      </c>
      <c r="H207" s="53">
        <f t="shared" si="134"/>
        <v>39234</v>
      </c>
      <c r="I207">
        <f t="shared" si="135"/>
        <v>814.81481481481467</v>
      </c>
      <c r="J207" cm="1">
        <f t="array" ref="J207">IF(ISNA(C207),NA(),C207/INDEX($C$52:$C$282,MATCH(TRUE,INDEX(NOT(ISNA($C$52:$C$282)),0),0))*100)</f>
        <v>169.71428571428569</v>
      </c>
      <c r="K207" cm="1">
        <f t="array" ref="K207">IF(ISNA(D207),NA(),D207/INDEX($D$52:$D$282,MATCH(TRUE,INDEX(NOT(ISNA($D$52:$D$282)),0),0))*100)</f>
        <v>121.92429022082018</v>
      </c>
      <c r="L207">
        <f t="shared" si="136"/>
        <v>395.53072625698326</v>
      </c>
      <c r="M207">
        <f t="shared" si="137"/>
        <v>555.93220338983042</v>
      </c>
      <c r="O207" s="53">
        <f t="shared" si="142"/>
        <v>39234</v>
      </c>
      <c r="P207" s="24">
        <f t="shared" ref="P207:T207" si="165">IFERROR(IF(OR(ISNA(B207),ISNA(B203)),NA(),B207/B203-1),NA())</f>
        <v>2.5641025641025772E-2</v>
      </c>
      <c r="Q207" s="24">
        <f t="shared" si="165"/>
        <v>4.5774647887323772E-2</v>
      </c>
      <c r="R207" s="24">
        <f t="shared" si="165"/>
        <v>3.8961038961038419E-3</v>
      </c>
      <c r="S207" s="24">
        <f t="shared" si="165"/>
        <v>1.8705035971223083E-2</v>
      </c>
      <c r="T207" s="24">
        <f t="shared" si="165"/>
        <v>3.3070866141732269E-2</v>
      </c>
    </row>
    <row r="208" spans="1:20" x14ac:dyDescent="0.25">
      <c r="A208" s="53">
        <f>Data1!A167</f>
        <v>39326</v>
      </c>
      <c r="B208">
        <f>IF(ISBLANK(Data1!B167),NA(),Data1!B167)</f>
        <v>87.8</v>
      </c>
      <c r="C208">
        <f>IF(ISBLANK(Data1!E167),NA(),Data1!E167)</f>
        <v>89</v>
      </c>
      <c r="D208">
        <f>IF(ISBLANK(Data1!AJ167),NA(),Data1!AJ167)</f>
        <v>78.400000000000006</v>
      </c>
      <c r="E208">
        <f>IF(ISBLANK(Data1!BJ167),NA(),Data1!BJ167)</f>
        <v>70.599999999999994</v>
      </c>
      <c r="F208">
        <f>IF(ISBLANK(Data1!BK167),NA(),Data1!BK167)</f>
        <v>67.3</v>
      </c>
      <c r="H208" s="53">
        <f t="shared" si="134"/>
        <v>39326</v>
      </c>
      <c r="I208">
        <f t="shared" si="135"/>
        <v>812.96296296296282</v>
      </c>
      <c r="J208" cm="1">
        <f t="array" ref="J208">IF(ISNA(C208),NA(),C208/INDEX($C$52:$C$282,MATCH(TRUE,INDEX(NOT(ISNA($C$52:$C$282)),0),0))*100)</f>
        <v>169.52380952380952</v>
      </c>
      <c r="K208" cm="1">
        <f t="array" ref="K208">IF(ISNA(D208),NA(),D208/INDEX($D$52:$D$282,MATCH(TRUE,INDEX(NOT(ISNA($D$52:$D$282)),0),0))*100)</f>
        <v>123.65930599369086</v>
      </c>
      <c r="L208">
        <f t="shared" si="136"/>
        <v>394.41340782122904</v>
      </c>
      <c r="M208">
        <f t="shared" si="137"/>
        <v>570.33898305084745</v>
      </c>
      <c r="O208" s="53">
        <f t="shared" si="142"/>
        <v>39326</v>
      </c>
      <c r="P208" s="24">
        <f t="shared" ref="P208:T208" si="166">IFERROR(IF(OR(ISNA(B208),ISNA(B204)),NA(),B208/B204-1),NA())</f>
        <v>9.1954022988505191E-3</v>
      </c>
      <c r="Q208" s="24">
        <f t="shared" si="166"/>
        <v>2.8901734104046284E-2</v>
      </c>
      <c r="R208" s="24">
        <f t="shared" si="166"/>
        <v>1.0309278350515649E-2</v>
      </c>
      <c r="S208" s="24">
        <f t="shared" si="166"/>
        <v>1.0014306151645114E-2</v>
      </c>
      <c r="T208" s="24">
        <f t="shared" si="166"/>
        <v>5.6514913657770727E-2</v>
      </c>
    </row>
    <row r="209" spans="1:20" x14ac:dyDescent="0.25">
      <c r="A209" s="53">
        <f>Data1!A168</f>
        <v>39417</v>
      </c>
      <c r="B209">
        <f>IF(ISBLANK(Data1!B168),NA(),Data1!B168)</f>
        <v>89.4</v>
      </c>
      <c r="C209">
        <f>IF(ISBLANK(Data1!E168),NA(),Data1!E168)</f>
        <v>89.1</v>
      </c>
      <c r="D209">
        <f>IF(ISBLANK(Data1!AJ168),NA(),Data1!AJ168)</f>
        <v>81.3</v>
      </c>
      <c r="E209">
        <f>IF(ISBLANK(Data1!BJ168),NA(),Data1!BJ168)</f>
        <v>72</v>
      </c>
      <c r="F209">
        <f>IF(ISBLANK(Data1!BK168),NA(),Data1!BK168)</f>
        <v>68.5</v>
      </c>
      <c r="H209" s="53">
        <f t="shared" si="134"/>
        <v>39417</v>
      </c>
      <c r="I209">
        <f t="shared" si="135"/>
        <v>827.77777777777783</v>
      </c>
      <c r="J209" cm="1">
        <f t="array" ref="J209">IF(ISNA(C209),NA(),C209/INDEX($C$52:$C$282,MATCH(TRUE,INDEX(NOT(ISNA($C$52:$C$282)),0),0))*100)</f>
        <v>169.71428571428569</v>
      </c>
      <c r="K209" cm="1">
        <f t="array" ref="K209">IF(ISNA(D209),NA(),D209/INDEX($D$52:$D$282,MATCH(TRUE,INDEX(NOT(ISNA($D$52:$D$282)),0),0))*100)</f>
        <v>128.23343848580441</v>
      </c>
      <c r="L209">
        <f t="shared" si="136"/>
        <v>402.23463687150843</v>
      </c>
      <c r="M209">
        <f t="shared" si="137"/>
        <v>580.50847457627117</v>
      </c>
      <c r="O209" s="53">
        <f t="shared" si="142"/>
        <v>39417</v>
      </c>
      <c r="P209" s="24">
        <f t="shared" ref="P209:T209" si="167">IFERROR(IF(OR(ISNA(B209),ISNA(B205)),NA(),B209/B205-1),NA())</f>
        <v>3.5921205098493836E-2</v>
      </c>
      <c r="Q209" s="24">
        <f t="shared" si="167"/>
        <v>1.1350737797956922E-2</v>
      </c>
      <c r="R209" s="24">
        <f t="shared" si="167"/>
        <v>7.9681274900398336E-2</v>
      </c>
      <c r="S209" s="24">
        <f t="shared" si="167"/>
        <v>3.4482758620689724E-2</v>
      </c>
      <c r="T209" s="24">
        <f t="shared" si="167"/>
        <v>8.2148499210110693E-2</v>
      </c>
    </row>
    <row r="210" spans="1:20" x14ac:dyDescent="0.25">
      <c r="A210" s="53">
        <f>Data1!A169</f>
        <v>39508</v>
      </c>
      <c r="B210">
        <f>IF(ISBLANK(Data1!B169),NA(),Data1!B169)</f>
        <v>91</v>
      </c>
      <c r="C210">
        <f>IF(ISBLANK(Data1!E169),NA(),Data1!E169)</f>
        <v>89.6</v>
      </c>
      <c r="D210">
        <f>IF(ISBLANK(Data1!AJ169),NA(),Data1!AJ169)</f>
        <v>84.3</v>
      </c>
      <c r="E210">
        <f>IF(ISBLANK(Data1!BJ169),NA(),Data1!BJ169)</f>
        <v>70.400000000000006</v>
      </c>
      <c r="F210">
        <f>IF(ISBLANK(Data1!BK169),NA(),Data1!BK169)</f>
        <v>70.400000000000006</v>
      </c>
      <c r="H210" s="53">
        <f t="shared" si="134"/>
        <v>39508</v>
      </c>
      <c r="I210">
        <f t="shared" si="135"/>
        <v>842.59259259259261</v>
      </c>
      <c r="J210" cm="1">
        <f t="array" ref="J210">IF(ISNA(C210),NA(),C210/INDEX($C$52:$C$282,MATCH(TRUE,INDEX(NOT(ISNA($C$52:$C$282)),0),0))*100)</f>
        <v>170.66666666666666</v>
      </c>
      <c r="K210" cm="1">
        <f t="array" ref="K210">IF(ISNA(D210),NA(),D210/INDEX($D$52:$D$282,MATCH(TRUE,INDEX(NOT(ISNA($D$52:$D$282)),0),0))*100)</f>
        <v>132.96529968454257</v>
      </c>
      <c r="L210">
        <f t="shared" si="136"/>
        <v>393.29608938547494</v>
      </c>
      <c r="M210">
        <f t="shared" si="137"/>
        <v>596.61016949152543</v>
      </c>
      <c r="O210" s="53">
        <f t="shared" si="142"/>
        <v>39508</v>
      </c>
      <c r="P210" s="24">
        <f t="shared" ref="P210:T210" si="168">IFERROR(IF(OR(ISNA(B210),ISNA(B206)),NA(),B210/B206-1),NA())</f>
        <v>5.8139534883721034E-2</v>
      </c>
      <c r="Q210" s="24">
        <f t="shared" si="168"/>
        <v>1.9340159271899804E-2</v>
      </c>
      <c r="R210" s="24">
        <f t="shared" si="168"/>
        <v>0.1195219123505975</v>
      </c>
      <c r="S210" s="24">
        <f t="shared" si="168"/>
        <v>5.7142857142857828E-3</v>
      </c>
      <c r="T210" s="24">
        <f t="shared" si="168"/>
        <v>9.3167701863354102E-2</v>
      </c>
    </row>
    <row r="211" spans="1:20" x14ac:dyDescent="0.25">
      <c r="A211" s="53">
        <f>Data1!A170</f>
        <v>39600</v>
      </c>
      <c r="B211">
        <f>IF(ISBLANK(Data1!B170),NA(),Data1!B170)</f>
        <v>94.6</v>
      </c>
      <c r="C211">
        <f>IF(ISBLANK(Data1!E170),NA(),Data1!E170)</f>
        <v>91.1</v>
      </c>
      <c r="D211">
        <f>IF(ISBLANK(Data1!AJ170),NA(),Data1!AJ170)</f>
        <v>89.6</v>
      </c>
      <c r="E211">
        <f>IF(ISBLANK(Data1!BJ170),NA(),Data1!BJ170)</f>
        <v>73.5</v>
      </c>
      <c r="F211">
        <f>IF(ISBLANK(Data1!BK170),NA(),Data1!BK170)</f>
        <v>74.8</v>
      </c>
      <c r="H211" s="53">
        <f t="shared" si="134"/>
        <v>39600</v>
      </c>
      <c r="I211">
        <f t="shared" si="135"/>
        <v>875.92592592592575</v>
      </c>
      <c r="J211" cm="1">
        <f t="array" ref="J211">IF(ISNA(C211),NA(),C211/INDEX($C$52:$C$282,MATCH(TRUE,INDEX(NOT(ISNA($C$52:$C$282)),0),0))*100)</f>
        <v>173.52380952380949</v>
      </c>
      <c r="K211" cm="1">
        <f t="array" ref="K211">IF(ISNA(D211),NA(),D211/INDEX($D$52:$D$282,MATCH(TRUE,INDEX(NOT(ISNA($D$52:$D$282)),0),0))*100)</f>
        <v>141.32492113564666</v>
      </c>
      <c r="L211">
        <f t="shared" si="136"/>
        <v>410.61452513966481</v>
      </c>
      <c r="M211">
        <f t="shared" si="137"/>
        <v>633.89830508474563</v>
      </c>
      <c r="O211" s="53">
        <f t="shared" si="142"/>
        <v>39600</v>
      </c>
      <c r="P211" s="24">
        <f t="shared" ref="P211:T211" si="169">IFERROR(IF(OR(ISNA(B211),ISNA(B207)),NA(),B211/B207-1),NA())</f>
        <v>7.4999999999999956E-2</v>
      </c>
      <c r="Q211" s="24">
        <f t="shared" si="169"/>
        <v>2.2446689113355678E-2</v>
      </c>
      <c r="R211" s="24">
        <f t="shared" si="169"/>
        <v>0.15912031047865449</v>
      </c>
      <c r="S211" s="24">
        <f t="shared" si="169"/>
        <v>3.8135593220339103E-2</v>
      </c>
      <c r="T211" s="24">
        <f t="shared" si="169"/>
        <v>0.14024390243902451</v>
      </c>
    </row>
    <row r="212" spans="1:20" x14ac:dyDescent="0.25">
      <c r="A212" s="53">
        <f>Data1!A171</f>
        <v>39692</v>
      </c>
      <c r="B212">
        <f>IF(ISBLANK(Data1!B171),NA(),Data1!B171)</f>
        <v>98.8</v>
      </c>
      <c r="C212">
        <f>IF(ISBLANK(Data1!E171),NA(),Data1!E171)</f>
        <v>94.8</v>
      </c>
      <c r="D212">
        <f>IF(ISBLANK(Data1!AJ171),NA(),Data1!AJ171)</f>
        <v>95</v>
      </c>
      <c r="E212">
        <f>IF(ISBLANK(Data1!BJ171),NA(),Data1!BJ171)</f>
        <v>74.2</v>
      </c>
      <c r="F212">
        <f>IF(ISBLANK(Data1!BK171),NA(),Data1!BK171)</f>
        <v>73.7</v>
      </c>
      <c r="H212" s="53">
        <f t="shared" si="134"/>
        <v>39692</v>
      </c>
      <c r="I212">
        <f t="shared" si="135"/>
        <v>914.81481481481467</v>
      </c>
      <c r="J212" cm="1">
        <f t="array" ref="J212">IF(ISNA(C212),NA(),C212/INDEX($C$52:$C$282,MATCH(TRUE,INDEX(NOT(ISNA($C$52:$C$282)),0),0))*100)</f>
        <v>180.57142857142856</v>
      </c>
      <c r="K212" cm="1">
        <f t="array" ref="K212">IF(ISNA(D212),NA(),D212/INDEX($D$52:$D$282,MATCH(TRUE,INDEX(NOT(ISNA($D$52:$D$282)),0),0))*100)</f>
        <v>149.8422712933754</v>
      </c>
      <c r="L212">
        <f t="shared" si="136"/>
        <v>414.5251396648045</v>
      </c>
      <c r="M212">
        <f t="shared" si="137"/>
        <v>624.57627118644064</v>
      </c>
      <c r="O212" s="53">
        <f t="shared" si="142"/>
        <v>39692</v>
      </c>
      <c r="P212" s="24">
        <f t="shared" ref="P212:T212" si="170">IFERROR(IF(OR(ISNA(B212),ISNA(B208)),NA(),B212/B208-1),NA())</f>
        <v>0.12528473804100226</v>
      </c>
      <c r="Q212" s="24">
        <f t="shared" si="170"/>
        <v>6.5168539325842767E-2</v>
      </c>
      <c r="R212" s="24">
        <f t="shared" si="170"/>
        <v>0.21173469387755084</v>
      </c>
      <c r="S212" s="24">
        <f t="shared" si="170"/>
        <v>5.0991501416430829E-2</v>
      </c>
      <c r="T212" s="24">
        <f t="shared" si="170"/>
        <v>9.5096582466567714E-2</v>
      </c>
    </row>
    <row r="213" spans="1:20" x14ac:dyDescent="0.25">
      <c r="A213" s="53">
        <f>Data1!A172</f>
        <v>39783</v>
      </c>
      <c r="B213">
        <f>IF(ISBLANK(Data1!B172),NA(),Data1!B172)</f>
        <v>102.3</v>
      </c>
      <c r="C213">
        <f>IF(ISBLANK(Data1!E172),NA(),Data1!E172)</f>
        <v>103.5</v>
      </c>
      <c r="D213">
        <f>IF(ISBLANK(Data1!AJ172),NA(),Data1!AJ172)</f>
        <v>92.5</v>
      </c>
      <c r="E213">
        <f>IF(ISBLANK(Data1!BJ172),NA(),Data1!BJ172)</f>
        <v>76.7</v>
      </c>
      <c r="F213">
        <f>IF(ISBLANK(Data1!BK172),NA(),Data1!BK172)</f>
        <v>76.7</v>
      </c>
      <c r="H213" s="53">
        <f t="shared" si="134"/>
        <v>39783</v>
      </c>
      <c r="I213">
        <f t="shared" si="135"/>
        <v>947.22222222222217</v>
      </c>
      <c r="J213" cm="1">
        <f t="array" ref="J213">IF(ISNA(C213),NA(),C213/INDEX($C$52:$C$282,MATCH(TRUE,INDEX(NOT(ISNA($C$52:$C$282)),0),0))*100)</f>
        <v>197.14285714285717</v>
      </c>
      <c r="K213" cm="1">
        <f t="array" ref="K213">IF(ISNA(D213),NA(),D213/INDEX($D$52:$D$282,MATCH(TRUE,INDEX(NOT(ISNA($D$52:$D$282)),0),0))*100)</f>
        <v>145.89905362776025</v>
      </c>
      <c r="L213">
        <f t="shared" si="136"/>
        <v>428.49162011173189</v>
      </c>
      <c r="M213">
        <f t="shared" si="137"/>
        <v>650</v>
      </c>
      <c r="O213" s="53">
        <f t="shared" si="142"/>
        <v>39783</v>
      </c>
      <c r="P213" s="24">
        <f t="shared" ref="P213:T213" si="171">IFERROR(IF(OR(ISNA(B213),ISNA(B209)),NA(),B213/B209-1),NA())</f>
        <v>0.14429530201342278</v>
      </c>
      <c r="Q213" s="24">
        <f t="shared" si="171"/>
        <v>0.16161616161616177</v>
      </c>
      <c r="R213" s="24">
        <f t="shared" si="171"/>
        <v>0.13776137761377627</v>
      </c>
      <c r="S213" s="24">
        <f t="shared" si="171"/>
        <v>6.5277777777777768E-2</v>
      </c>
      <c r="T213" s="24">
        <f t="shared" si="171"/>
        <v>0.11970802919708023</v>
      </c>
    </row>
    <row r="214" spans="1:20" x14ac:dyDescent="0.25">
      <c r="A214" s="53">
        <f>Data1!A173</f>
        <v>39873</v>
      </c>
      <c r="B214">
        <f>IF(ISBLANK(Data1!B173),NA(),Data1!B173)</f>
        <v>96.4</v>
      </c>
      <c r="C214">
        <f>IF(ISBLANK(Data1!E173),NA(),Data1!E173)</f>
        <v>100.7</v>
      </c>
      <c r="D214">
        <f>IF(ISBLANK(Data1!AJ173),NA(),Data1!AJ173)</f>
        <v>84.9</v>
      </c>
      <c r="E214">
        <f>IF(ISBLANK(Data1!BJ173),NA(),Data1!BJ173)</f>
        <v>80.2</v>
      </c>
      <c r="F214">
        <f>IF(ISBLANK(Data1!BK173),NA(),Data1!BK173)</f>
        <v>76.599999999999994</v>
      </c>
      <c r="H214" s="53">
        <f t="shared" si="134"/>
        <v>39873</v>
      </c>
      <c r="I214">
        <f t="shared" si="135"/>
        <v>892.59259259259261</v>
      </c>
      <c r="J214" cm="1">
        <f t="array" ref="J214">IF(ISNA(C214),NA(),C214/INDEX($C$52:$C$282,MATCH(TRUE,INDEX(NOT(ISNA($C$52:$C$282)),0),0))*100)</f>
        <v>191.8095238095238</v>
      </c>
      <c r="K214" cm="1">
        <f t="array" ref="K214">IF(ISNA(D214),NA(),D214/INDEX($D$52:$D$282,MATCH(TRUE,INDEX(NOT(ISNA($D$52:$D$282)),0),0))*100)</f>
        <v>133.91167192429023</v>
      </c>
      <c r="L214">
        <f t="shared" si="136"/>
        <v>448.04469273743024</v>
      </c>
      <c r="M214">
        <f t="shared" si="137"/>
        <v>649.15254237288127</v>
      </c>
      <c r="O214" s="53">
        <f t="shared" si="142"/>
        <v>39873</v>
      </c>
      <c r="P214" s="24">
        <f t="shared" ref="P214:T214" si="172">IFERROR(IF(OR(ISNA(B214),ISNA(B210)),NA(),B214/B210-1),NA())</f>
        <v>5.9340659340659352E-2</v>
      </c>
      <c r="Q214" s="24">
        <f t="shared" si="172"/>
        <v>0.1238839285714286</v>
      </c>
      <c r="R214" s="24">
        <f t="shared" si="172"/>
        <v>7.117437722420128E-3</v>
      </c>
      <c r="S214" s="24">
        <f t="shared" si="172"/>
        <v>0.13920454545454541</v>
      </c>
      <c r="T214" s="24">
        <f t="shared" si="172"/>
        <v>8.8068181818181657E-2</v>
      </c>
    </row>
    <row r="215" spans="1:20" x14ac:dyDescent="0.25">
      <c r="A215" s="53">
        <f>Data1!A174</f>
        <v>39965</v>
      </c>
      <c r="B215">
        <f>IF(ISBLANK(Data1!B174),NA(),Data1!B174)</f>
        <v>90.9</v>
      </c>
      <c r="C215">
        <f>IF(ISBLANK(Data1!E174),NA(),Data1!E174)</f>
        <v>95.3</v>
      </c>
      <c r="D215">
        <f>IF(ISBLANK(Data1!AJ174),NA(),Data1!AJ174)</f>
        <v>81.3</v>
      </c>
      <c r="E215">
        <f>IF(ISBLANK(Data1!BJ174),NA(),Data1!BJ174)</f>
        <v>80.5</v>
      </c>
      <c r="F215">
        <f>IF(ISBLANK(Data1!BK174),NA(),Data1!BK174)</f>
        <v>79.7</v>
      </c>
      <c r="H215" s="53">
        <f t="shared" si="134"/>
        <v>39965</v>
      </c>
      <c r="I215">
        <f t="shared" si="135"/>
        <v>841.66666666666663</v>
      </c>
      <c r="J215" cm="1">
        <f t="array" ref="J215">IF(ISNA(C215),NA(),C215/INDEX($C$52:$C$282,MATCH(TRUE,INDEX(NOT(ISNA($C$52:$C$282)),0),0))*100)</f>
        <v>181.52380952380952</v>
      </c>
      <c r="K215" cm="1">
        <f t="array" ref="K215">IF(ISNA(D215),NA(),D215/INDEX($D$52:$D$282,MATCH(TRUE,INDEX(NOT(ISNA($D$52:$D$282)),0),0))*100)</f>
        <v>128.23343848580441</v>
      </c>
      <c r="L215">
        <f t="shared" si="136"/>
        <v>449.72067039106145</v>
      </c>
      <c r="M215">
        <f t="shared" si="137"/>
        <v>675.42372881355936</v>
      </c>
      <c r="O215" s="53">
        <f t="shared" si="142"/>
        <v>39965</v>
      </c>
      <c r="P215" s="24">
        <f t="shared" ref="P215:T215" si="173">IFERROR(IF(OR(ISNA(B215),ISNA(B211)),NA(),B215/B211-1),NA())</f>
        <v>-3.9112050739957605E-2</v>
      </c>
      <c r="Q215" s="24">
        <f t="shared" si="173"/>
        <v>4.6103183315038487E-2</v>
      </c>
      <c r="R215" s="24">
        <f t="shared" si="173"/>
        <v>-9.2633928571428492E-2</v>
      </c>
      <c r="S215" s="24">
        <f t="shared" si="173"/>
        <v>9.5238095238095344E-2</v>
      </c>
      <c r="T215" s="24">
        <f t="shared" si="173"/>
        <v>6.5508021390374482E-2</v>
      </c>
    </row>
    <row r="216" spans="1:20" x14ac:dyDescent="0.25">
      <c r="A216" s="53">
        <f>Data1!A175</f>
        <v>40057</v>
      </c>
      <c r="B216">
        <f>IF(ISBLANK(Data1!B175),NA(),Data1!B175)</f>
        <v>90.5</v>
      </c>
      <c r="C216">
        <f>IF(ISBLANK(Data1!E175),NA(),Data1!E175)</f>
        <v>92</v>
      </c>
      <c r="D216">
        <f>IF(ISBLANK(Data1!AJ175),NA(),Data1!AJ175)</f>
        <v>84.6</v>
      </c>
      <c r="E216">
        <f>IF(ISBLANK(Data1!BJ175),NA(),Data1!BJ175)</f>
        <v>80.7</v>
      </c>
      <c r="F216">
        <f>IF(ISBLANK(Data1!BK175),NA(),Data1!BK175)</f>
        <v>79.099999999999994</v>
      </c>
      <c r="H216" s="53">
        <f t="shared" si="134"/>
        <v>40057</v>
      </c>
      <c r="I216">
        <f t="shared" si="135"/>
        <v>837.96296296296293</v>
      </c>
      <c r="J216" cm="1">
        <f t="array" ref="J216">IF(ISNA(C216),NA(),C216/INDEX($C$52:$C$282,MATCH(TRUE,INDEX(NOT(ISNA($C$52:$C$282)),0),0))*100)</f>
        <v>175.23809523809524</v>
      </c>
      <c r="K216" cm="1">
        <f t="array" ref="K216">IF(ISNA(D216),NA(),D216/INDEX($D$52:$D$282,MATCH(TRUE,INDEX(NOT(ISNA($D$52:$D$282)),0),0))*100)</f>
        <v>133.43848580441639</v>
      </c>
      <c r="L216">
        <f t="shared" si="136"/>
        <v>450.83798882681566</v>
      </c>
      <c r="M216">
        <f t="shared" si="137"/>
        <v>670.33898305084745</v>
      </c>
      <c r="O216" s="53">
        <f t="shared" si="142"/>
        <v>40057</v>
      </c>
      <c r="P216" s="24">
        <f t="shared" ref="P216:T216" si="174">IFERROR(IF(OR(ISNA(B216),ISNA(B212)),NA(),B216/B212-1),NA())</f>
        <v>-8.4008097165991891E-2</v>
      </c>
      <c r="Q216" s="24">
        <f t="shared" si="174"/>
        <v>-2.9535864978902926E-2</v>
      </c>
      <c r="R216" s="24">
        <f t="shared" si="174"/>
        <v>-0.10947368421052639</v>
      </c>
      <c r="S216" s="24">
        <f t="shared" si="174"/>
        <v>8.7601078167115931E-2</v>
      </c>
      <c r="T216" s="24">
        <f t="shared" si="174"/>
        <v>7.327001356852092E-2</v>
      </c>
    </row>
    <row r="217" spans="1:20" x14ac:dyDescent="0.25">
      <c r="A217" s="53">
        <f>Data1!A176</f>
        <v>40148</v>
      </c>
      <c r="B217">
        <f>IF(ISBLANK(Data1!B176),NA(),Data1!B176)</f>
        <v>88.5</v>
      </c>
      <c r="C217">
        <f>IF(ISBLANK(Data1!E176),NA(),Data1!E176)</f>
        <v>89.5</v>
      </c>
      <c r="D217">
        <f>IF(ISBLANK(Data1!AJ176),NA(),Data1!AJ176)</f>
        <v>87</v>
      </c>
      <c r="E217">
        <f>IF(ISBLANK(Data1!BJ176),NA(),Data1!BJ176)</f>
        <v>82</v>
      </c>
      <c r="F217">
        <f>IF(ISBLANK(Data1!BK176),NA(),Data1!BK176)</f>
        <v>80.400000000000006</v>
      </c>
      <c r="H217" s="53">
        <f t="shared" si="134"/>
        <v>40148</v>
      </c>
      <c r="I217">
        <f t="shared" si="135"/>
        <v>819.44444444444446</v>
      </c>
      <c r="J217" cm="1">
        <f t="array" ref="J217">IF(ISNA(C217),NA(),C217/INDEX($C$52:$C$282,MATCH(TRUE,INDEX(NOT(ISNA($C$52:$C$282)),0),0))*100)</f>
        <v>170.47619047619048</v>
      </c>
      <c r="K217" cm="1">
        <f t="array" ref="K217">IF(ISNA(D217),NA(),D217/INDEX($D$52:$D$282,MATCH(TRUE,INDEX(NOT(ISNA($D$52:$D$282)),0),0))*100)</f>
        <v>137.22397476340694</v>
      </c>
      <c r="L217">
        <f t="shared" si="136"/>
        <v>458.10055865921794</v>
      </c>
      <c r="M217">
        <f t="shared" si="137"/>
        <v>681.3559322033899</v>
      </c>
      <c r="O217" s="53">
        <f t="shared" si="142"/>
        <v>40148</v>
      </c>
      <c r="P217" s="24">
        <f t="shared" ref="P217:T217" si="175">IFERROR(IF(OR(ISNA(B217),ISNA(B213)),NA(),B217/B213-1),NA())</f>
        <v>-0.13489736070381231</v>
      </c>
      <c r="Q217" s="24">
        <f t="shared" si="175"/>
        <v>-0.13526570048309183</v>
      </c>
      <c r="R217" s="24">
        <f t="shared" si="175"/>
        <v>-5.9459459459459407E-2</v>
      </c>
      <c r="S217" s="24">
        <f t="shared" si="175"/>
        <v>6.9100391134289341E-2</v>
      </c>
      <c r="T217" s="24">
        <f t="shared" si="175"/>
        <v>4.8239895697522961E-2</v>
      </c>
    </row>
    <row r="218" spans="1:20" x14ac:dyDescent="0.25">
      <c r="A218" s="53">
        <f>Data1!A177</f>
        <v>40238</v>
      </c>
      <c r="B218">
        <f>IF(ISBLANK(Data1!B177),NA(),Data1!B177)</f>
        <v>90.3</v>
      </c>
      <c r="C218">
        <f>IF(ISBLANK(Data1!E177),NA(),Data1!E177)</f>
        <v>91.7</v>
      </c>
      <c r="D218">
        <f>IF(ISBLANK(Data1!AJ177),NA(),Data1!AJ177)</f>
        <v>85.7</v>
      </c>
      <c r="E218">
        <f>IF(ISBLANK(Data1!BJ177),NA(),Data1!BJ177)</f>
        <v>86.3</v>
      </c>
      <c r="F218">
        <f>IF(ISBLANK(Data1!BK177),NA(),Data1!BK177)</f>
        <v>83.2</v>
      </c>
      <c r="H218" s="53">
        <f t="shared" si="134"/>
        <v>40238</v>
      </c>
      <c r="I218">
        <f t="shared" si="135"/>
        <v>836.11111111111109</v>
      </c>
      <c r="J218" cm="1">
        <f t="array" ref="J218">IF(ISNA(C218),NA(),C218/INDEX($C$52:$C$282,MATCH(TRUE,INDEX(NOT(ISNA($C$52:$C$282)),0),0))*100)</f>
        <v>174.66666666666669</v>
      </c>
      <c r="K218" cm="1">
        <f t="array" ref="K218">IF(ISNA(D218),NA(),D218/INDEX($D$52:$D$282,MATCH(TRUE,INDEX(NOT(ISNA($D$52:$D$282)),0),0))*100)</f>
        <v>135.17350157728708</v>
      </c>
      <c r="L218">
        <f t="shared" si="136"/>
        <v>482.12290502793297</v>
      </c>
      <c r="M218">
        <f t="shared" si="137"/>
        <v>705.0847457627118</v>
      </c>
      <c r="O218" s="53">
        <f t="shared" si="142"/>
        <v>40238</v>
      </c>
      <c r="P218" s="24">
        <f t="shared" ref="P218:T218" si="176">IFERROR(IF(OR(ISNA(B218),ISNA(B214)),NA(),B218/B214-1),NA())</f>
        <v>-6.3278008298755295E-2</v>
      </c>
      <c r="Q218" s="24">
        <f t="shared" si="176"/>
        <v>-8.9374379344587918E-2</v>
      </c>
      <c r="R218" s="24">
        <f t="shared" si="176"/>
        <v>9.4228504122497725E-3</v>
      </c>
      <c r="S218" s="24">
        <f t="shared" si="176"/>
        <v>7.6059850374064819E-2</v>
      </c>
      <c r="T218" s="24">
        <f t="shared" si="176"/>
        <v>8.6161879895561455E-2</v>
      </c>
    </row>
    <row r="219" spans="1:20" x14ac:dyDescent="0.25">
      <c r="A219" s="53">
        <f>Data1!A178</f>
        <v>40330</v>
      </c>
      <c r="B219">
        <f>IF(ISBLANK(Data1!B178),NA(),Data1!B178)</f>
        <v>92.7</v>
      </c>
      <c r="C219">
        <f>IF(ISBLANK(Data1!E178),NA(),Data1!E178)</f>
        <v>94.1</v>
      </c>
      <c r="D219">
        <f>IF(ISBLANK(Data1!AJ178),NA(),Data1!AJ178)</f>
        <v>86.2</v>
      </c>
      <c r="E219">
        <f>IF(ISBLANK(Data1!BJ178),NA(),Data1!BJ178)</f>
        <v>91</v>
      </c>
      <c r="F219">
        <f>IF(ISBLANK(Data1!BK178),NA(),Data1!BK178)</f>
        <v>87.7</v>
      </c>
      <c r="H219" s="53">
        <f t="shared" si="134"/>
        <v>40330</v>
      </c>
      <c r="I219">
        <f t="shared" si="135"/>
        <v>858.33333333333326</v>
      </c>
      <c r="J219" cm="1">
        <f t="array" ref="J219">IF(ISNA(C219),NA(),C219/INDEX($C$52:$C$282,MATCH(TRUE,INDEX(NOT(ISNA($C$52:$C$282)),0),0))*100)</f>
        <v>179.23809523809521</v>
      </c>
      <c r="K219" cm="1">
        <f t="array" ref="K219">IF(ISNA(D219),NA(),D219/INDEX($D$52:$D$282,MATCH(TRUE,INDEX(NOT(ISNA($D$52:$D$282)),0),0))*100)</f>
        <v>135.96214511041009</v>
      </c>
      <c r="L219">
        <f t="shared" si="136"/>
        <v>508.37988826815649</v>
      </c>
      <c r="M219">
        <f t="shared" si="137"/>
        <v>743.22033898305085</v>
      </c>
      <c r="O219" s="53">
        <f t="shared" si="142"/>
        <v>40330</v>
      </c>
      <c r="P219" s="24">
        <f t="shared" ref="P219:T219" si="177">IFERROR(IF(OR(ISNA(B219),ISNA(B215)),NA(),B219/B215-1),NA())</f>
        <v>1.980198019801982E-2</v>
      </c>
      <c r="Q219" s="24">
        <f t="shared" si="177"/>
        <v>-1.2591815320042055E-2</v>
      </c>
      <c r="R219" s="24">
        <f t="shared" si="177"/>
        <v>6.0270602706027132E-2</v>
      </c>
      <c r="S219" s="24">
        <f t="shared" si="177"/>
        <v>0.13043478260869557</v>
      </c>
      <c r="T219" s="24">
        <f t="shared" si="177"/>
        <v>0.10037641154328725</v>
      </c>
    </row>
    <row r="220" spans="1:20" x14ac:dyDescent="0.25">
      <c r="A220" s="53">
        <f>Data1!A179</f>
        <v>40422</v>
      </c>
      <c r="B220">
        <f>IF(ISBLANK(Data1!B179),NA(),Data1!B179)</f>
        <v>93.6</v>
      </c>
      <c r="C220">
        <f>IF(ISBLANK(Data1!E179),NA(),Data1!E179)</f>
        <v>95.2</v>
      </c>
      <c r="D220">
        <f>IF(ISBLANK(Data1!AJ179),NA(),Data1!AJ179)</f>
        <v>87.2</v>
      </c>
      <c r="E220">
        <f>IF(ISBLANK(Data1!BJ179),NA(),Data1!BJ179)</f>
        <v>92.6</v>
      </c>
      <c r="F220">
        <f>IF(ISBLANK(Data1!BK179),NA(),Data1!BK179)</f>
        <v>87.9</v>
      </c>
      <c r="H220" s="53">
        <f t="shared" si="134"/>
        <v>40422</v>
      </c>
      <c r="I220">
        <f t="shared" si="135"/>
        <v>866.66666666666663</v>
      </c>
      <c r="J220" cm="1">
        <f t="array" ref="J220">IF(ISNA(C220),NA(),C220/INDEX($C$52:$C$282,MATCH(TRUE,INDEX(NOT(ISNA($C$52:$C$282)),0),0))*100)</f>
        <v>181.33333333333334</v>
      </c>
      <c r="K220" cm="1">
        <f t="array" ref="K220">IF(ISNA(D220),NA(),D220/INDEX($D$52:$D$282,MATCH(TRUE,INDEX(NOT(ISNA($D$52:$D$282)),0),0))*100)</f>
        <v>137.53943217665616</v>
      </c>
      <c r="L220">
        <f t="shared" si="136"/>
        <v>517.31843575418998</v>
      </c>
      <c r="M220">
        <f t="shared" si="137"/>
        <v>744.9152542372882</v>
      </c>
      <c r="O220" s="53">
        <f t="shared" si="142"/>
        <v>40422</v>
      </c>
      <c r="P220" s="24">
        <f t="shared" ref="P220:T220" si="178">IFERROR(IF(OR(ISNA(B220),ISNA(B216)),NA(),B220/B216-1),NA())</f>
        <v>3.4254143646408775E-2</v>
      </c>
      <c r="Q220" s="24">
        <f t="shared" si="178"/>
        <v>3.4782608695652195E-2</v>
      </c>
      <c r="R220" s="24">
        <f t="shared" si="178"/>
        <v>3.0732860520094718E-2</v>
      </c>
      <c r="S220" s="24">
        <f t="shared" si="178"/>
        <v>0.14745972738537794</v>
      </c>
      <c r="T220" s="24">
        <f t="shared" si="178"/>
        <v>0.11125158027812909</v>
      </c>
    </row>
    <row r="221" spans="1:20" x14ac:dyDescent="0.25">
      <c r="A221" s="53">
        <f>Data1!A180</f>
        <v>40513</v>
      </c>
      <c r="B221">
        <f>IF(ISBLANK(Data1!B180),NA(),Data1!B180)</f>
        <v>93.8</v>
      </c>
      <c r="C221">
        <f>IF(ISBLANK(Data1!E180),NA(),Data1!E180)</f>
        <v>95.4</v>
      </c>
      <c r="D221">
        <f>IF(ISBLANK(Data1!AJ180),NA(),Data1!AJ180)</f>
        <v>85.8</v>
      </c>
      <c r="E221">
        <f>IF(ISBLANK(Data1!BJ180),NA(),Data1!BJ180)</f>
        <v>92.7</v>
      </c>
      <c r="F221">
        <f>IF(ISBLANK(Data1!BK180),NA(),Data1!BK180)</f>
        <v>91.5</v>
      </c>
      <c r="H221" s="53">
        <f t="shared" si="134"/>
        <v>40513</v>
      </c>
      <c r="I221">
        <f t="shared" si="135"/>
        <v>868.51851851851848</v>
      </c>
      <c r="J221" cm="1">
        <f t="array" ref="J221">IF(ISNA(C221),NA(),C221/INDEX($C$52:$C$282,MATCH(TRUE,INDEX(NOT(ISNA($C$52:$C$282)),0),0))*100)</f>
        <v>181.71428571428572</v>
      </c>
      <c r="K221" cm="1">
        <f t="array" ref="K221">IF(ISNA(D221),NA(),D221/INDEX($D$52:$D$282,MATCH(TRUE,INDEX(NOT(ISNA($D$52:$D$282)),0),0))*100)</f>
        <v>135.33123028391168</v>
      </c>
      <c r="L221">
        <f t="shared" si="136"/>
        <v>517.87709497206708</v>
      </c>
      <c r="M221">
        <f t="shared" si="137"/>
        <v>775.42372881355925</v>
      </c>
      <c r="O221" s="53">
        <f t="shared" si="142"/>
        <v>40513</v>
      </c>
      <c r="P221" s="24">
        <f t="shared" ref="P221:T221" si="179">IFERROR(IF(OR(ISNA(B221),ISNA(B217)),NA(),B221/B217-1),NA())</f>
        <v>5.9887005649717384E-2</v>
      </c>
      <c r="Q221" s="24">
        <f t="shared" si="179"/>
        <v>6.5921787709497304E-2</v>
      </c>
      <c r="R221" s="24">
        <f t="shared" si="179"/>
        <v>-1.379310344827589E-2</v>
      </c>
      <c r="S221" s="24">
        <f t="shared" si="179"/>
        <v>0.1304878048780489</v>
      </c>
      <c r="T221" s="24">
        <f t="shared" si="179"/>
        <v>0.13805970149253732</v>
      </c>
    </row>
    <row r="222" spans="1:20" x14ac:dyDescent="0.25">
      <c r="A222" s="53">
        <f>Data1!A181</f>
        <v>40603</v>
      </c>
      <c r="B222">
        <f>IF(ISBLANK(Data1!B181),NA(),Data1!B181)</f>
        <v>98</v>
      </c>
      <c r="C222">
        <f>IF(ISBLANK(Data1!E181),NA(),Data1!E181)</f>
        <v>99</v>
      </c>
      <c r="D222">
        <f>IF(ISBLANK(Data1!AJ181),NA(),Data1!AJ181)</f>
        <v>90.4</v>
      </c>
      <c r="E222">
        <f>IF(ISBLANK(Data1!BJ181),NA(),Data1!BJ181)</f>
        <v>95.3</v>
      </c>
      <c r="F222">
        <f>IF(ISBLANK(Data1!BK181),NA(),Data1!BK181)</f>
        <v>93.5</v>
      </c>
      <c r="H222" s="53">
        <f t="shared" si="134"/>
        <v>40603</v>
      </c>
      <c r="I222">
        <f t="shared" si="135"/>
        <v>907.40740740740728</v>
      </c>
      <c r="J222" cm="1">
        <f t="array" ref="J222">IF(ISNA(C222),NA(),C222/INDEX($C$52:$C$282,MATCH(TRUE,INDEX(NOT(ISNA($C$52:$C$282)),0),0))*100)</f>
        <v>188.57142857142856</v>
      </c>
      <c r="K222" cm="1">
        <f t="array" ref="K222">IF(ISNA(D222),NA(),D222/INDEX($D$52:$D$282,MATCH(TRUE,INDEX(NOT(ISNA($D$52:$D$282)),0),0))*100)</f>
        <v>142.58675078864354</v>
      </c>
      <c r="L222">
        <f t="shared" si="136"/>
        <v>532.40223463687153</v>
      </c>
      <c r="M222">
        <f t="shared" si="137"/>
        <v>792.37288135593212</v>
      </c>
      <c r="O222" s="53">
        <f t="shared" si="142"/>
        <v>40603</v>
      </c>
      <c r="P222" s="24">
        <f t="shared" ref="P222:T222" si="180">IFERROR(IF(OR(ISNA(B222),ISNA(B218)),NA(),B222/B218-1),NA())</f>
        <v>8.5271317829457294E-2</v>
      </c>
      <c r="Q222" s="24">
        <f t="shared" si="180"/>
        <v>7.9607415485277944E-2</v>
      </c>
      <c r="R222" s="24">
        <f t="shared" si="180"/>
        <v>5.4842473745624343E-2</v>
      </c>
      <c r="S222" s="24">
        <f t="shared" si="180"/>
        <v>0.104287369640788</v>
      </c>
      <c r="T222" s="24">
        <f t="shared" si="180"/>
        <v>0.12379807692307687</v>
      </c>
    </row>
    <row r="223" spans="1:20" x14ac:dyDescent="0.25">
      <c r="A223" s="53">
        <f>Data1!A182</f>
        <v>40695</v>
      </c>
      <c r="B223">
        <f>IF(ISBLANK(Data1!B182),NA(),Data1!B182)</f>
        <v>101.9</v>
      </c>
      <c r="C223">
        <f>IF(ISBLANK(Data1!E182),NA(),Data1!E182)</f>
        <v>101.2</v>
      </c>
      <c r="D223">
        <f>IF(ISBLANK(Data1!AJ182),NA(),Data1!AJ182)</f>
        <v>96.4</v>
      </c>
      <c r="E223">
        <f>IF(ISBLANK(Data1!BJ182),NA(),Data1!BJ182)</f>
        <v>99</v>
      </c>
      <c r="F223">
        <f>IF(ISBLANK(Data1!BK182),NA(),Data1!BK182)</f>
        <v>96.2</v>
      </c>
      <c r="H223" s="53">
        <f t="shared" si="134"/>
        <v>40695</v>
      </c>
      <c r="I223">
        <f t="shared" si="135"/>
        <v>943.51851851851848</v>
      </c>
      <c r="J223" cm="1">
        <f t="array" ref="J223">IF(ISNA(C223),NA(),C223/INDEX($C$52:$C$282,MATCH(TRUE,INDEX(NOT(ISNA($C$52:$C$282)),0),0))*100)</f>
        <v>192.76190476190476</v>
      </c>
      <c r="K223" cm="1">
        <f t="array" ref="K223">IF(ISNA(D223),NA(),D223/INDEX($D$52:$D$282,MATCH(TRUE,INDEX(NOT(ISNA($D$52:$D$282)),0),0))*100)</f>
        <v>152.05047318611989</v>
      </c>
      <c r="L223">
        <f t="shared" si="136"/>
        <v>553.07262569832403</v>
      </c>
      <c r="M223">
        <f t="shared" si="137"/>
        <v>815.25423728813564</v>
      </c>
      <c r="O223" s="53">
        <f t="shared" si="142"/>
        <v>40695</v>
      </c>
      <c r="P223" s="24">
        <f t="shared" ref="P223:T223" si="181">IFERROR(IF(OR(ISNA(B223),ISNA(B219)),NA(),B223/B219-1),NA())</f>
        <v>9.9244875943905075E-2</v>
      </c>
      <c r="Q223" s="24">
        <f t="shared" si="181"/>
        <v>7.5451647183847115E-2</v>
      </c>
      <c r="R223" s="24">
        <f t="shared" si="181"/>
        <v>0.11832946635730868</v>
      </c>
      <c r="S223" s="24">
        <f t="shared" si="181"/>
        <v>8.7912087912087822E-2</v>
      </c>
      <c r="T223" s="24">
        <f t="shared" si="181"/>
        <v>9.6921322690991962E-2</v>
      </c>
    </row>
    <row r="224" spans="1:20" x14ac:dyDescent="0.25">
      <c r="A224" s="53">
        <f>Data1!A183</f>
        <v>40787</v>
      </c>
      <c r="B224">
        <f>IF(ISBLANK(Data1!B183),NA(),Data1!B183)</f>
        <v>102.2</v>
      </c>
      <c r="C224">
        <f>IF(ISBLANK(Data1!E183),NA(),Data1!E183)</f>
        <v>102.1</v>
      </c>
      <c r="D224">
        <f>IF(ISBLANK(Data1!AJ183),NA(),Data1!AJ183)</f>
        <v>95.7</v>
      </c>
      <c r="E224">
        <f>IF(ISBLANK(Data1!BJ183),NA(),Data1!BJ183)</f>
        <v>98.4</v>
      </c>
      <c r="F224">
        <f>IF(ISBLANK(Data1!BK183),NA(),Data1!BK183)</f>
        <v>96.6</v>
      </c>
      <c r="H224" s="53">
        <f t="shared" si="134"/>
        <v>40787</v>
      </c>
      <c r="I224">
        <f t="shared" si="135"/>
        <v>946.29629629629619</v>
      </c>
      <c r="J224" cm="1">
        <f t="array" ref="J224">IF(ISNA(C224),NA(),C224/INDEX($C$52:$C$282,MATCH(TRUE,INDEX(NOT(ISNA($C$52:$C$282)),0),0))*100)</f>
        <v>194.47619047619048</v>
      </c>
      <c r="K224" cm="1">
        <f t="array" ref="K224">IF(ISNA(D224),NA(),D224/INDEX($D$52:$D$282,MATCH(TRUE,INDEX(NOT(ISNA($D$52:$D$282)),0),0))*100)</f>
        <v>150.94637223974766</v>
      </c>
      <c r="L224">
        <f t="shared" si="136"/>
        <v>549.7206703910615</v>
      </c>
      <c r="M224">
        <f t="shared" si="137"/>
        <v>818.64406779660999</v>
      </c>
      <c r="O224" s="53">
        <f t="shared" si="142"/>
        <v>40787</v>
      </c>
      <c r="P224" s="24">
        <f t="shared" ref="P224:T224" si="182">IFERROR(IF(OR(ISNA(B224),ISNA(B220)),NA(),B224/B220-1),NA())</f>
        <v>9.1880341880341998E-2</v>
      </c>
      <c r="Q224" s="24">
        <f t="shared" si="182"/>
        <v>7.247899159663862E-2</v>
      </c>
      <c r="R224" s="24">
        <f t="shared" si="182"/>
        <v>9.7477064220183429E-2</v>
      </c>
      <c r="S224" s="24">
        <f t="shared" si="182"/>
        <v>6.2634989200863966E-2</v>
      </c>
      <c r="T224" s="24">
        <f t="shared" si="182"/>
        <v>9.8976109215016983E-2</v>
      </c>
    </row>
    <row r="225" spans="1:20" x14ac:dyDescent="0.25">
      <c r="A225" s="53">
        <f>Data1!A184</f>
        <v>40878</v>
      </c>
      <c r="B225">
        <f>IF(ISBLANK(Data1!B184),NA(),Data1!B184)</f>
        <v>100.8</v>
      </c>
      <c r="C225">
        <f>IF(ISBLANK(Data1!E184),NA(),Data1!E184)</f>
        <v>100.1</v>
      </c>
      <c r="D225">
        <f>IF(ISBLANK(Data1!AJ184),NA(),Data1!AJ184)</f>
        <v>98.2</v>
      </c>
      <c r="E225">
        <f>IF(ISBLANK(Data1!BJ184),NA(),Data1!BJ184)</f>
        <v>99.4</v>
      </c>
      <c r="F225">
        <f>IF(ISBLANK(Data1!BK184),NA(),Data1!BK184)</f>
        <v>98.6</v>
      </c>
      <c r="H225" s="53">
        <f t="shared" si="134"/>
        <v>40878</v>
      </c>
      <c r="I225">
        <f t="shared" si="135"/>
        <v>933.33333333333326</v>
      </c>
      <c r="J225" cm="1">
        <f t="array" ref="J225">IF(ISNA(C225),NA(),C225/INDEX($C$52:$C$282,MATCH(TRUE,INDEX(NOT(ISNA($C$52:$C$282)),0),0))*100)</f>
        <v>190.66666666666666</v>
      </c>
      <c r="K225" cm="1">
        <f t="array" ref="K225">IF(ISNA(D225),NA(),D225/INDEX($D$52:$D$282,MATCH(TRUE,INDEX(NOT(ISNA($D$52:$D$282)),0),0))*100)</f>
        <v>154.88958990536278</v>
      </c>
      <c r="L225">
        <f t="shared" si="136"/>
        <v>555.30726256983246</v>
      </c>
      <c r="M225">
        <f t="shared" si="137"/>
        <v>835.59322033898286</v>
      </c>
      <c r="O225" s="53">
        <f t="shared" si="142"/>
        <v>40878</v>
      </c>
      <c r="P225" s="24">
        <f t="shared" ref="P225:T225" si="183">IFERROR(IF(OR(ISNA(B225),ISNA(B221)),NA(),B225/B221-1),NA())</f>
        <v>7.4626865671641784E-2</v>
      </c>
      <c r="Q225" s="24">
        <f t="shared" si="183"/>
        <v>4.9266247379454731E-2</v>
      </c>
      <c r="R225" s="24">
        <f t="shared" si="183"/>
        <v>0.14452214452214451</v>
      </c>
      <c r="S225" s="24">
        <f t="shared" si="183"/>
        <v>7.2276159654800498E-2</v>
      </c>
      <c r="T225" s="24">
        <f t="shared" si="183"/>
        <v>7.7595628415300544E-2</v>
      </c>
    </row>
    <row r="226" spans="1:20" x14ac:dyDescent="0.25">
      <c r="A226" s="53">
        <f>Data1!A185</f>
        <v>40969</v>
      </c>
      <c r="B226">
        <f>IF(ISBLANK(Data1!B185),NA(),Data1!B185)</f>
        <v>99.7</v>
      </c>
      <c r="C226">
        <f>IF(ISBLANK(Data1!E185),NA(),Data1!E185)</f>
        <v>98.6</v>
      </c>
      <c r="D226">
        <f>IF(ISBLANK(Data1!AJ185),NA(),Data1!AJ185)</f>
        <v>100.5</v>
      </c>
      <c r="E226">
        <f>IF(ISBLANK(Data1!BJ185),NA(),Data1!BJ185)</f>
        <v>101</v>
      </c>
      <c r="F226">
        <f>IF(ISBLANK(Data1!BK185),NA(),Data1!BK185)</f>
        <v>98.8</v>
      </c>
      <c r="H226" s="53">
        <f t="shared" si="134"/>
        <v>40969</v>
      </c>
      <c r="I226">
        <f t="shared" si="135"/>
        <v>923.14814814814804</v>
      </c>
      <c r="J226" cm="1">
        <f t="array" ref="J226">IF(ISNA(C226),NA(),C226/INDEX($C$52:$C$282,MATCH(TRUE,INDEX(NOT(ISNA($C$52:$C$282)),0),0))*100)</f>
        <v>187.8095238095238</v>
      </c>
      <c r="K226" cm="1">
        <f t="array" ref="K226">IF(ISNA(D226),NA(),D226/INDEX($D$52:$D$282,MATCH(TRUE,INDEX(NOT(ISNA($D$52:$D$282)),0),0))*100)</f>
        <v>158.51735015772871</v>
      </c>
      <c r="L226">
        <f t="shared" si="136"/>
        <v>564.24581005586595</v>
      </c>
      <c r="M226">
        <f t="shared" si="137"/>
        <v>837.2881355932202</v>
      </c>
      <c r="O226" s="53">
        <f t="shared" si="142"/>
        <v>40969</v>
      </c>
      <c r="P226" s="24">
        <f t="shared" ref="P226:T226" si="184">IFERROR(IF(OR(ISNA(B226),ISNA(B222)),NA(),B226/B222-1),NA())</f>
        <v>1.7346938775510301E-2</v>
      </c>
      <c r="Q226" s="24">
        <f t="shared" si="184"/>
        <v>-4.0404040404040664E-3</v>
      </c>
      <c r="R226" s="24">
        <f t="shared" si="184"/>
        <v>0.11172566371681403</v>
      </c>
      <c r="S226" s="24">
        <f t="shared" si="184"/>
        <v>5.9811122770199399E-2</v>
      </c>
      <c r="T226" s="24">
        <f t="shared" si="184"/>
        <v>5.6684491978609586E-2</v>
      </c>
    </row>
    <row r="227" spans="1:20" x14ac:dyDescent="0.25">
      <c r="A227" s="53">
        <f>Data1!A186</f>
        <v>41061</v>
      </c>
      <c r="B227">
        <f>IF(ISBLANK(Data1!B186),NA(),Data1!B186)</f>
        <v>100.5</v>
      </c>
      <c r="C227">
        <f>IF(ISBLANK(Data1!E186),NA(),Data1!E186)</f>
        <v>99</v>
      </c>
      <c r="D227">
        <f>IF(ISBLANK(Data1!AJ186),NA(),Data1!AJ186)</f>
        <v>105.5</v>
      </c>
      <c r="E227">
        <f>IF(ISBLANK(Data1!BJ186),NA(),Data1!BJ186)</f>
        <v>101.2</v>
      </c>
      <c r="F227">
        <f>IF(ISBLANK(Data1!BK186),NA(),Data1!BK186)</f>
        <v>106</v>
      </c>
      <c r="H227" s="53">
        <f t="shared" si="134"/>
        <v>41061</v>
      </c>
      <c r="I227">
        <f t="shared" si="135"/>
        <v>930.55555555555554</v>
      </c>
      <c r="J227" cm="1">
        <f t="array" ref="J227">IF(ISNA(C227),NA(),C227/INDEX($C$52:$C$282,MATCH(TRUE,INDEX(NOT(ISNA($C$52:$C$282)),0),0))*100)</f>
        <v>188.57142857142856</v>
      </c>
      <c r="K227" cm="1">
        <f t="array" ref="K227">IF(ISNA(D227),NA(),D227/INDEX($D$52:$D$282,MATCH(TRUE,INDEX(NOT(ISNA($D$52:$D$282)),0),0))*100)</f>
        <v>166.40378548895899</v>
      </c>
      <c r="L227">
        <f t="shared" si="136"/>
        <v>565.36312849162016</v>
      </c>
      <c r="M227">
        <f t="shared" si="137"/>
        <v>898.30508474576266</v>
      </c>
      <c r="O227" s="53">
        <f t="shared" si="142"/>
        <v>41061</v>
      </c>
      <c r="P227" s="24">
        <f t="shared" ref="P227:T227" si="185">IFERROR(IF(OR(ISNA(B227),ISNA(B223)),NA(),B227/B223-1),NA())</f>
        <v>-1.3738959764475034E-2</v>
      </c>
      <c r="Q227" s="24">
        <f t="shared" si="185"/>
        <v>-2.1739130434782594E-2</v>
      </c>
      <c r="R227" s="24">
        <f t="shared" si="185"/>
        <v>9.4398340248962542E-2</v>
      </c>
      <c r="S227" s="24">
        <f t="shared" si="185"/>
        <v>2.2222222222222143E-2</v>
      </c>
      <c r="T227" s="24">
        <f t="shared" si="185"/>
        <v>0.10187110187110182</v>
      </c>
    </row>
    <row r="228" spans="1:20" x14ac:dyDescent="0.25">
      <c r="A228" s="53">
        <f>Data1!A187</f>
        <v>41153</v>
      </c>
      <c r="B228">
        <f>IF(ISBLANK(Data1!B187),NA(),Data1!B187)</f>
        <v>98.8</v>
      </c>
      <c r="C228">
        <f>IF(ISBLANK(Data1!E187),NA(),Data1!E187)</f>
        <v>98.4</v>
      </c>
      <c r="D228">
        <f>IF(ISBLANK(Data1!AJ187),NA(),Data1!AJ187)</f>
        <v>103.2</v>
      </c>
      <c r="E228">
        <f>IF(ISBLANK(Data1!BJ187),NA(),Data1!BJ187)</f>
        <v>101.3</v>
      </c>
      <c r="F228">
        <f>IF(ISBLANK(Data1!BK187),NA(),Data1!BK187)</f>
        <v>113.2</v>
      </c>
      <c r="H228" s="53">
        <f t="shared" si="134"/>
        <v>41153</v>
      </c>
      <c r="I228">
        <f t="shared" si="135"/>
        <v>914.81481481481467</v>
      </c>
      <c r="J228" cm="1">
        <f t="array" ref="J228">IF(ISNA(C228),NA(),C228/INDEX($C$52:$C$282,MATCH(TRUE,INDEX(NOT(ISNA($C$52:$C$282)),0),0))*100)</f>
        <v>187.42857142857144</v>
      </c>
      <c r="K228" cm="1">
        <f t="array" ref="K228">IF(ISNA(D228),NA(),D228/INDEX($D$52:$D$282,MATCH(TRUE,INDEX(NOT(ISNA($D$52:$D$282)),0),0))*100)</f>
        <v>162.77602523659306</v>
      </c>
      <c r="L228">
        <f t="shared" si="136"/>
        <v>565.92178770949727</v>
      </c>
      <c r="M228">
        <f t="shared" si="137"/>
        <v>959.32203389830499</v>
      </c>
      <c r="O228" s="53">
        <f t="shared" si="142"/>
        <v>41153</v>
      </c>
      <c r="P228" s="24">
        <f t="shared" ref="P228:T228" si="186">IFERROR(IF(OR(ISNA(B228),ISNA(B224)),NA(),B228/B224-1),NA())</f>
        <v>-3.32681017612525E-2</v>
      </c>
      <c r="Q228" s="24">
        <f t="shared" si="186"/>
        <v>-3.6238981390793179E-2</v>
      </c>
      <c r="R228" s="24">
        <f t="shared" si="186"/>
        <v>7.8369905956112929E-2</v>
      </c>
      <c r="S228" s="24">
        <f t="shared" si="186"/>
        <v>2.9471544715446996E-2</v>
      </c>
      <c r="T228" s="24">
        <f t="shared" si="186"/>
        <v>0.17184265010351973</v>
      </c>
    </row>
    <row r="229" spans="1:20" x14ac:dyDescent="0.25">
      <c r="A229" s="53">
        <f>Data1!A188</f>
        <v>41244</v>
      </c>
      <c r="B229">
        <f>IF(ISBLANK(Data1!B188),NA(),Data1!B188)</f>
        <v>99.8</v>
      </c>
      <c r="C229">
        <f>IF(ISBLANK(Data1!E188),NA(),Data1!E188)</f>
        <v>99.4</v>
      </c>
      <c r="D229">
        <f>IF(ISBLANK(Data1!AJ188),NA(),Data1!AJ188)</f>
        <v>101.8</v>
      </c>
      <c r="E229">
        <f>IF(ISBLANK(Data1!BJ188),NA(),Data1!BJ188)</f>
        <v>109.5</v>
      </c>
      <c r="F229">
        <f>IF(ISBLANK(Data1!BK188),NA(),Data1!BK188)</f>
        <v>124.3</v>
      </c>
      <c r="H229" s="53">
        <f t="shared" si="134"/>
        <v>41244</v>
      </c>
      <c r="I229">
        <f t="shared" si="135"/>
        <v>924.07407407407402</v>
      </c>
      <c r="J229" cm="1">
        <f t="array" ref="J229">IF(ISNA(C229),NA(),C229/INDEX($C$52:$C$282,MATCH(TRUE,INDEX(NOT(ISNA($C$52:$C$282)),0),0))*100)</f>
        <v>189.33333333333334</v>
      </c>
      <c r="K229" cm="1">
        <f t="array" ref="K229">IF(ISNA(D229),NA(),D229/INDEX($D$52:$D$282,MATCH(TRUE,INDEX(NOT(ISNA($D$52:$D$282)),0),0))*100)</f>
        <v>160.56782334384857</v>
      </c>
      <c r="L229">
        <f t="shared" si="136"/>
        <v>611.73184357541902</v>
      </c>
      <c r="M229">
        <f t="shared" si="137"/>
        <v>1053.3898305084745</v>
      </c>
      <c r="O229" s="53">
        <f t="shared" si="142"/>
        <v>41244</v>
      </c>
      <c r="P229" s="24">
        <f t="shared" ref="P229:T229" si="187">IFERROR(IF(OR(ISNA(B229),ISNA(B225)),NA(),B229/B225-1),NA())</f>
        <v>-9.9206349206348854E-3</v>
      </c>
      <c r="Q229" s="24">
        <f t="shared" si="187"/>
        <v>-6.9930069930068672E-3</v>
      </c>
      <c r="R229" s="24">
        <f t="shared" si="187"/>
        <v>3.6659877800407248E-2</v>
      </c>
      <c r="S229" s="24">
        <f t="shared" si="187"/>
        <v>0.10160965794768595</v>
      </c>
      <c r="T229" s="24">
        <f t="shared" si="187"/>
        <v>0.26064908722109537</v>
      </c>
    </row>
    <row r="230" spans="1:20" x14ac:dyDescent="0.25">
      <c r="A230" s="53">
        <f>Data1!A189</f>
        <v>41334</v>
      </c>
      <c r="B230">
        <f>IF(ISBLANK(Data1!B189),NA(),Data1!B189)</f>
        <v>99.7</v>
      </c>
      <c r="C230">
        <f>IF(ISBLANK(Data1!E189),NA(),Data1!E189)</f>
        <v>98.7</v>
      </c>
      <c r="D230">
        <f>IF(ISBLANK(Data1!AJ189),NA(),Data1!AJ189)</f>
        <v>98.4</v>
      </c>
      <c r="E230">
        <f>IF(ISBLANK(Data1!BJ189),NA(),Data1!BJ189)</f>
        <v>112.7</v>
      </c>
      <c r="F230">
        <f>IF(ISBLANK(Data1!BK189),NA(),Data1!BK189)</f>
        <v>125.4</v>
      </c>
      <c r="H230" s="53">
        <f t="shared" si="134"/>
        <v>41334</v>
      </c>
      <c r="I230">
        <f t="shared" si="135"/>
        <v>923.14814814814804</v>
      </c>
      <c r="J230" cm="1">
        <f t="array" ref="J230">IF(ISNA(C230),NA(),C230/INDEX($C$52:$C$282,MATCH(TRUE,INDEX(NOT(ISNA($C$52:$C$282)),0),0))*100)</f>
        <v>188</v>
      </c>
      <c r="K230" cm="1">
        <f t="array" ref="K230">IF(ISNA(D230),NA(),D230/INDEX($D$52:$D$282,MATCH(TRUE,INDEX(NOT(ISNA($D$52:$D$282)),0),0))*100)</f>
        <v>155.205047318612</v>
      </c>
      <c r="L230">
        <f t="shared" si="136"/>
        <v>629.6089385474861</v>
      </c>
      <c r="M230">
        <f t="shared" si="137"/>
        <v>1062.7118644067796</v>
      </c>
      <c r="O230" s="53">
        <f t="shared" si="142"/>
        <v>41334</v>
      </c>
      <c r="P230" s="24">
        <f t="shared" ref="P230:T230" si="188">IFERROR(IF(OR(ISNA(B230),ISNA(B226)),NA(),B230/B226-1),NA())</f>
        <v>0</v>
      </c>
      <c r="Q230" s="24">
        <f t="shared" si="188"/>
        <v>1.0141987829614951E-3</v>
      </c>
      <c r="R230" s="24">
        <f t="shared" si="188"/>
        <v>-2.0895522388059695E-2</v>
      </c>
      <c r="S230" s="24">
        <f t="shared" si="188"/>
        <v>0.11584158415841594</v>
      </c>
      <c r="T230" s="24">
        <f t="shared" si="188"/>
        <v>0.26923076923076938</v>
      </c>
    </row>
    <row r="231" spans="1:20" x14ac:dyDescent="0.25">
      <c r="A231" s="53">
        <f>Data1!A190</f>
        <v>41426</v>
      </c>
      <c r="B231">
        <f>IF(ISBLANK(Data1!B190),NA(),Data1!B190)</f>
        <v>97.9</v>
      </c>
      <c r="C231">
        <f>IF(ISBLANK(Data1!E190),NA(),Data1!E190)</f>
        <v>97.6</v>
      </c>
      <c r="D231">
        <f>IF(ISBLANK(Data1!AJ190),NA(),Data1!AJ190)</f>
        <v>95.6</v>
      </c>
      <c r="E231">
        <f>IF(ISBLANK(Data1!BJ190),NA(),Data1!BJ190)</f>
        <v>115.5</v>
      </c>
      <c r="F231">
        <f>IF(ISBLANK(Data1!BK190),NA(),Data1!BK190)</f>
        <v>125.3</v>
      </c>
      <c r="H231" s="53">
        <f t="shared" si="134"/>
        <v>41426</v>
      </c>
      <c r="I231">
        <f t="shared" si="135"/>
        <v>906.48148148148152</v>
      </c>
      <c r="J231" cm="1">
        <f t="array" ref="J231">IF(ISNA(C231),NA(),C231/INDEX($C$52:$C$282,MATCH(TRUE,INDEX(NOT(ISNA($C$52:$C$282)),0),0))*100)</f>
        <v>185.90476190476187</v>
      </c>
      <c r="K231" cm="1">
        <f t="array" ref="K231">IF(ISNA(D231),NA(),D231/INDEX($D$52:$D$282,MATCH(TRUE,INDEX(NOT(ISNA($D$52:$D$282)),0),0))*100)</f>
        <v>150.78864353312304</v>
      </c>
      <c r="L231">
        <f t="shared" si="136"/>
        <v>645.25139664804476</v>
      </c>
      <c r="M231">
        <f t="shared" si="137"/>
        <v>1061.8644067796608</v>
      </c>
      <c r="O231" s="53">
        <f t="shared" si="142"/>
        <v>41426</v>
      </c>
      <c r="P231" s="24">
        <f t="shared" ref="P231:T231" si="189">IFERROR(IF(OR(ISNA(B231),ISNA(B227)),NA(),B231/B227-1),NA())</f>
        <v>-2.5870646766169125E-2</v>
      </c>
      <c r="Q231" s="24">
        <f t="shared" si="189"/>
        <v>-1.4141414141414232E-2</v>
      </c>
      <c r="R231" s="24">
        <f t="shared" si="189"/>
        <v>-9.3838862559241787E-2</v>
      </c>
      <c r="S231" s="24">
        <f t="shared" si="189"/>
        <v>0.14130434782608692</v>
      </c>
      <c r="T231" s="24">
        <f t="shared" si="189"/>
        <v>0.18207547169811322</v>
      </c>
    </row>
    <row r="232" spans="1:20" x14ac:dyDescent="0.25">
      <c r="A232" s="53">
        <f>Data1!A191</f>
        <v>41518</v>
      </c>
      <c r="B232">
        <f>IF(ISBLANK(Data1!B191),NA(),Data1!B191)</f>
        <v>101</v>
      </c>
      <c r="C232">
        <f>IF(ISBLANK(Data1!E191),NA(),Data1!E191)</f>
        <v>99.8</v>
      </c>
      <c r="D232">
        <f>IF(ISBLANK(Data1!AJ191),NA(),Data1!AJ191)</f>
        <v>100.3</v>
      </c>
      <c r="E232">
        <f>IF(ISBLANK(Data1!BJ191),NA(),Data1!BJ191)</f>
        <v>116.5</v>
      </c>
      <c r="F232">
        <f>IF(ISBLANK(Data1!BK191),NA(),Data1!BK191)</f>
        <v>126.4</v>
      </c>
      <c r="H232" s="53">
        <f t="shared" si="134"/>
        <v>41518</v>
      </c>
      <c r="I232">
        <f t="shared" si="135"/>
        <v>935.18518518518511</v>
      </c>
      <c r="J232" cm="1">
        <f t="array" ref="J232">IF(ISNA(C232),NA(),C232/INDEX($C$52:$C$282,MATCH(TRUE,INDEX(NOT(ISNA($C$52:$C$282)),0),0))*100)</f>
        <v>190.0952380952381</v>
      </c>
      <c r="K232" cm="1">
        <f t="array" ref="K232">IF(ISNA(D232),NA(),D232/INDEX($D$52:$D$282,MATCH(TRUE,INDEX(NOT(ISNA($D$52:$D$282)),0),0))*100)</f>
        <v>158.20189274447949</v>
      </c>
      <c r="L232">
        <f t="shared" si="136"/>
        <v>650.8379888268156</v>
      </c>
      <c r="M232">
        <f t="shared" si="137"/>
        <v>1071.1864406779662</v>
      </c>
      <c r="O232" s="53">
        <f t="shared" si="142"/>
        <v>41518</v>
      </c>
      <c r="P232" s="24">
        <f t="shared" ref="P232:T232" si="190">IFERROR(IF(OR(ISNA(B232),ISNA(B228)),NA(),B232/B228-1),NA())</f>
        <v>2.2267206477732726E-2</v>
      </c>
      <c r="Q232" s="24">
        <f t="shared" si="190"/>
        <v>1.4227642276422703E-2</v>
      </c>
      <c r="R232" s="24">
        <f t="shared" si="190"/>
        <v>-2.81007751937985E-2</v>
      </c>
      <c r="S232" s="24">
        <f t="shared" si="190"/>
        <v>0.15004935834155986</v>
      </c>
      <c r="T232" s="24">
        <f t="shared" si="190"/>
        <v>0.11660777385159005</v>
      </c>
    </row>
    <row r="233" spans="1:20" x14ac:dyDescent="0.25">
      <c r="A233" s="53">
        <f>Data1!A192</f>
        <v>41609</v>
      </c>
      <c r="B233">
        <f>IF(ISBLANK(Data1!B192),NA(),Data1!B192)</f>
        <v>100.4</v>
      </c>
      <c r="C233">
        <f>IF(ISBLANK(Data1!E192),NA(),Data1!E192)</f>
        <v>99.2</v>
      </c>
      <c r="D233">
        <f>IF(ISBLANK(Data1!AJ192),NA(),Data1!AJ192)</f>
        <v>99.3</v>
      </c>
      <c r="E233">
        <f>IF(ISBLANK(Data1!BJ192),NA(),Data1!BJ192)</f>
        <v>115.9</v>
      </c>
      <c r="F233">
        <f>IF(ISBLANK(Data1!BK192),NA(),Data1!BK192)</f>
        <v>126.9</v>
      </c>
      <c r="H233" s="53">
        <f t="shared" si="134"/>
        <v>41609</v>
      </c>
      <c r="I233">
        <f t="shared" si="135"/>
        <v>929.62962962962956</v>
      </c>
      <c r="J233" cm="1">
        <f t="array" ref="J233">IF(ISNA(C233),NA(),C233/INDEX($C$52:$C$282,MATCH(TRUE,INDEX(NOT(ISNA($C$52:$C$282)),0),0))*100)</f>
        <v>188.95238095238096</v>
      </c>
      <c r="K233" cm="1">
        <f t="array" ref="K233">IF(ISNA(D233),NA(),D233/INDEX($D$52:$D$282,MATCH(TRUE,INDEX(NOT(ISNA($D$52:$D$282)),0),0))*100)</f>
        <v>156.62460567823345</v>
      </c>
      <c r="L233">
        <f t="shared" si="136"/>
        <v>647.48603351955319</v>
      </c>
      <c r="M233">
        <f t="shared" si="137"/>
        <v>1075.4237288135594</v>
      </c>
      <c r="O233" s="53">
        <f t="shared" si="142"/>
        <v>41609</v>
      </c>
      <c r="P233" s="24">
        <f t="shared" ref="P233:T233" si="191">IFERROR(IF(OR(ISNA(B233),ISNA(B229)),NA(),B233/B229-1),NA())</f>
        <v>6.0120240480963094E-3</v>
      </c>
      <c r="Q233" s="24">
        <f t="shared" si="191"/>
        <v>-2.0120724346076591E-3</v>
      </c>
      <c r="R233" s="24">
        <f t="shared" si="191"/>
        <v>-2.4557956777996104E-2</v>
      </c>
      <c r="S233" s="24">
        <f t="shared" si="191"/>
        <v>5.8447488584475016E-2</v>
      </c>
      <c r="T233" s="24">
        <f t="shared" si="191"/>
        <v>2.0917135961383782E-2</v>
      </c>
    </row>
    <row r="234" spans="1:20" x14ac:dyDescent="0.25">
      <c r="A234" s="53">
        <f>Data1!A193</f>
        <v>41699</v>
      </c>
      <c r="B234">
        <f>IF(ISBLANK(Data1!B193),NA(),Data1!B193)</f>
        <v>102.8</v>
      </c>
      <c r="C234">
        <f>IF(ISBLANK(Data1!E193),NA(),Data1!E193)</f>
        <v>101.4</v>
      </c>
      <c r="D234">
        <f>IF(ISBLANK(Data1!AJ193),NA(),Data1!AJ193)</f>
        <v>104.1</v>
      </c>
      <c r="E234">
        <f>IF(ISBLANK(Data1!BJ193),NA(),Data1!BJ193)</f>
        <v>119.5</v>
      </c>
      <c r="F234">
        <f>IF(ISBLANK(Data1!BK193),NA(),Data1!BK193)</f>
        <v>129.1</v>
      </c>
      <c r="H234" s="53">
        <f t="shared" si="134"/>
        <v>41699</v>
      </c>
      <c r="I234">
        <f t="shared" si="135"/>
        <v>951.85185185185173</v>
      </c>
      <c r="J234" cm="1">
        <f t="array" ref="J234">IF(ISNA(C234),NA(),C234/INDEX($C$52:$C$282,MATCH(TRUE,INDEX(NOT(ISNA($C$52:$C$282)),0),0))*100)</f>
        <v>193.14285714285714</v>
      </c>
      <c r="K234" cm="1">
        <f t="array" ref="K234">IF(ISNA(D234),NA(),D234/INDEX($D$52:$D$282,MATCH(TRUE,INDEX(NOT(ISNA($D$52:$D$282)),0),0))*100)</f>
        <v>164.1955835962145</v>
      </c>
      <c r="L234">
        <f t="shared" si="136"/>
        <v>667.59776536312859</v>
      </c>
      <c r="M234">
        <f t="shared" si="137"/>
        <v>1094.0677966101694</v>
      </c>
      <c r="O234" s="53">
        <f t="shared" si="142"/>
        <v>41699</v>
      </c>
      <c r="P234" s="24">
        <f t="shared" ref="P234:T234" si="192">IFERROR(IF(OR(ISNA(B234),ISNA(B230)),NA(),B234/B230-1),NA())</f>
        <v>3.1093279839518484E-2</v>
      </c>
      <c r="Q234" s="24">
        <f t="shared" si="192"/>
        <v>2.7355623100304038E-2</v>
      </c>
      <c r="R234" s="24">
        <f t="shared" si="192"/>
        <v>5.7926829268292623E-2</v>
      </c>
      <c r="S234" s="24">
        <f t="shared" si="192"/>
        <v>6.0337178349600729E-2</v>
      </c>
      <c r="T234" s="24">
        <f t="shared" si="192"/>
        <v>2.9505582137161035E-2</v>
      </c>
    </row>
    <row r="235" spans="1:20" x14ac:dyDescent="0.25">
      <c r="A235" s="53">
        <f>Data1!A194</f>
        <v>41791</v>
      </c>
      <c r="B235">
        <f>IF(ISBLANK(Data1!B194),NA(),Data1!B194)</f>
        <v>101.8</v>
      </c>
      <c r="C235">
        <f>IF(ISBLANK(Data1!E194),NA(),Data1!E194)</f>
        <v>100.8</v>
      </c>
      <c r="D235">
        <f>IF(ISBLANK(Data1!AJ194),NA(),Data1!AJ194)</f>
        <v>100.7</v>
      </c>
      <c r="E235">
        <f>IF(ISBLANK(Data1!BJ194),NA(),Data1!BJ194)</f>
        <v>118.8</v>
      </c>
      <c r="F235">
        <f>IF(ISBLANK(Data1!BK194),NA(),Data1!BK194)</f>
        <v>127.9</v>
      </c>
      <c r="H235" s="53">
        <f t="shared" si="134"/>
        <v>41791</v>
      </c>
      <c r="I235">
        <f t="shared" si="135"/>
        <v>942.59259259259261</v>
      </c>
      <c r="J235" cm="1">
        <f t="array" ref="J235">IF(ISNA(C235),NA(),C235/INDEX($C$52:$C$282,MATCH(TRUE,INDEX(NOT(ISNA($C$52:$C$282)),0),0))*100)</f>
        <v>192</v>
      </c>
      <c r="K235" cm="1">
        <f t="array" ref="K235">IF(ISNA(D235),NA(),D235/INDEX($D$52:$D$282,MATCH(TRUE,INDEX(NOT(ISNA($D$52:$D$282)),0),0))*100)</f>
        <v>158.83280757097793</v>
      </c>
      <c r="L235">
        <f t="shared" si="136"/>
        <v>663.68715083798884</v>
      </c>
      <c r="M235">
        <f t="shared" si="137"/>
        <v>1083.8983050847457</v>
      </c>
      <c r="O235" s="53">
        <f t="shared" si="142"/>
        <v>41791</v>
      </c>
      <c r="P235" s="24">
        <f t="shared" ref="P235:T235" si="193">IFERROR(IF(OR(ISNA(B235),ISNA(B231)),NA(),B235/B231-1),NA())</f>
        <v>3.9836567926455402E-2</v>
      </c>
      <c r="Q235" s="24">
        <f t="shared" si="193"/>
        <v>3.2786885245901676E-2</v>
      </c>
      <c r="R235" s="24">
        <f t="shared" si="193"/>
        <v>5.3347280334728131E-2</v>
      </c>
      <c r="S235" s="24">
        <f t="shared" si="193"/>
        <v>2.857142857142847E-2</v>
      </c>
      <c r="T235" s="24">
        <f t="shared" si="193"/>
        <v>2.0750199521149204E-2</v>
      </c>
    </row>
    <row r="236" spans="1:20" x14ac:dyDescent="0.25">
      <c r="A236" s="53">
        <f>Data1!A195</f>
        <v>41883</v>
      </c>
      <c r="B236">
        <f>IF(ISBLANK(Data1!B195),NA(),Data1!B195)</f>
        <v>100.7</v>
      </c>
      <c r="C236">
        <f>IF(ISBLANK(Data1!E195),NA(),Data1!E195)</f>
        <v>100</v>
      </c>
      <c r="D236">
        <f>IF(ISBLANK(Data1!AJ195),NA(),Data1!AJ195)</f>
        <v>99.5</v>
      </c>
      <c r="E236">
        <f>IF(ISBLANK(Data1!BJ195),NA(),Data1!BJ195)</f>
        <v>107.6</v>
      </c>
      <c r="F236">
        <f>IF(ISBLANK(Data1!BK195),NA(),Data1!BK195)</f>
        <v>120.2</v>
      </c>
      <c r="H236" s="53">
        <f t="shared" si="134"/>
        <v>41883</v>
      </c>
      <c r="I236">
        <f t="shared" si="135"/>
        <v>932.40740740740739</v>
      </c>
      <c r="J236" cm="1">
        <f t="array" ref="J236">IF(ISNA(C236),NA(),C236/INDEX($C$52:$C$282,MATCH(TRUE,INDEX(NOT(ISNA($C$52:$C$282)),0),0))*100)</f>
        <v>190.47619047619045</v>
      </c>
      <c r="K236" cm="1">
        <f t="array" ref="K236">IF(ISNA(D236),NA(),D236/INDEX($D$52:$D$282,MATCH(TRUE,INDEX(NOT(ISNA($D$52:$D$282)),0),0))*100)</f>
        <v>156.94006309148264</v>
      </c>
      <c r="L236">
        <f t="shared" si="136"/>
        <v>601.11731843575421</v>
      </c>
      <c r="M236">
        <f t="shared" si="137"/>
        <v>1018.6440677966102</v>
      </c>
      <c r="O236" s="53">
        <f t="shared" si="142"/>
        <v>41883</v>
      </c>
      <c r="P236" s="24">
        <f t="shared" ref="P236:T236" si="194">IFERROR(IF(OR(ISNA(B236),ISNA(B232)),NA(),B236/B232-1),NA())</f>
        <v>-2.9702970297029729E-3</v>
      </c>
      <c r="Q236" s="24">
        <f t="shared" si="194"/>
        <v>2.0040080160321772E-3</v>
      </c>
      <c r="R236" s="24">
        <f t="shared" si="194"/>
        <v>-7.9760717846459883E-3</v>
      </c>
      <c r="S236" s="24">
        <f t="shared" si="194"/>
        <v>-7.6394849785407781E-2</v>
      </c>
      <c r="T236" s="24">
        <f t="shared" si="194"/>
        <v>-4.9050632911392444E-2</v>
      </c>
    </row>
    <row r="237" spans="1:20" x14ac:dyDescent="0.25">
      <c r="A237" s="53">
        <f>Data1!A196</f>
        <v>41974</v>
      </c>
      <c r="B237">
        <f>IF(ISBLANK(Data1!B196),NA(),Data1!B196)</f>
        <v>100</v>
      </c>
      <c r="C237">
        <f>IF(ISBLANK(Data1!E196),NA(),Data1!E196)</f>
        <v>100.9</v>
      </c>
      <c r="D237">
        <f>IF(ISBLANK(Data1!AJ196),NA(),Data1!AJ196)</f>
        <v>98.5</v>
      </c>
      <c r="E237">
        <f>IF(ISBLANK(Data1!BJ196),NA(),Data1!BJ196)</f>
        <v>105.8</v>
      </c>
      <c r="F237">
        <f>IF(ISBLANK(Data1!BK196),NA(),Data1!BK196)</f>
        <v>120.3</v>
      </c>
      <c r="H237" s="53">
        <f t="shared" si="134"/>
        <v>41974</v>
      </c>
      <c r="I237">
        <f t="shared" si="135"/>
        <v>925.92592592592598</v>
      </c>
      <c r="J237" cm="1">
        <f t="array" ref="J237">IF(ISNA(C237),NA(),C237/INDEX($C$52:$C$282,MATCH(TRUE,INDEX(NOT(ISNA($C$52:$C$282)),0),0))*100)</f>
        <v>192.1904761904762</v>
      </c>
      <c r="K237" cm="1">
        <f t="array" ref="K237">IF(ISNA(D237),NA(),D237/INDEX($D$52:$D$282,MATCH(TRUE,INDEX(NOT(ISNA($D$52:$D$282)),0),0))*100)</f>
        <v>155.3627760252366</v>
      </c>
      <c r="L237">
        <f t="shared" si="136"/>
        <v>591.06145251396651</v>
      </c>
      <c r="M237">
        <f t="shared" si="137"/>
        <v>1019.4915254237287</v>
      </c>
      <c r="O237" s="53">
        <f t="shared" si="142"/>
        <v>41974</v>
      </c>
      <c r="P237" s="24">
        <f t="shared" ref="P237:T237" si="195">IFERROR(IF(OR(ISNA(B237),ISNA(B233)),NA(),B237/B233-1),NA())</f>
        <v>-3.9840637450200278E-3</v>
      </c>
      <c r="Q237" s="24">
        <f t="shared" si="195"/>
        <v>1.7137096774193505E-2</v>
      </c>
      <c r="R237" s="24">
        <f t="shared" si="195"/>
        <v>-8.0563947633434108E-3</v>
      </c>
      <c r="S237" s="24">
        <f t="shared" si="195"/>
        <v>-8.7144089732528074E-2</v>
      </c>
      <c r="T237" s="24">
        <f t="shared" si="195"/>
        <v>-5.2009456264775489E-2</v>
      </c>
    </row>
    <row r="238" spans="1:20" x14ac:dyDescent="0.25">
      <c r="A238" s="53">
        <f>Data1!A197</f>
        <v>42064</v>
      </c>
      <c r="B238">
        <f>IF(ISBLANK(Data1!B197),NA(),Data1!B197)</f>
        <v>98.1</v>
      </c>
      <c r="C238">
        <f>IF(ISBLANK(Data1!E197),NA(),Data1!E197)</f>
        <v>101.3</v>
      </c>
      <c r="D238">
        <f>IF(ISBLANK(Data1!AJ197),NA(),Data1!AJ197)</f>
        <v>94.4</v>
      </c>
      <c r="E238">
        <f>IF(ISBLANK(Data1!BJ197),NA(),Data1!BJ197)</f>
        <v>107.8</v>
      </c>
      <c r="F238">
        <f>IF(ISBLANK(Data1!BK197),NA(),Data1!BK197)</f>
        <v>120</v>
      </c>
      <c r="H238" s="53">
        <f t="shared" si="134"/>
        <v>42064</v>
      </c>
      <c r="I238">
        <f t="shared" si="135"/>
        <v>908.33333333333326</v>
      </c>
      <c r="J238" cm="1">
        <f t="array" ref="J238">IF(ISNA(C238),NA(),C238/INDEX($C$52:$C$282,MATCH(TRUE,INDEX(NOT(ISNA($C$52:$C$282)),0),0))*100)</f>
        <v>192.95238095238093</v>
      </c>
      <c r="K238" cm="1">
        <f t="array" ref="K238">IF(ISNA(D238),NA(),D238/INDEX($D$52:$D$282,MATCH(TRUE,INDEX(NOT(ISNA($D$52:$D$282)),0),0))*100)</f>
        <v>148.89589905362777</v>
      </c>
      <c r="L238">
        <f t="shared" si="136"/>
        <v>602.23463687150843</v>
      </c>
      <c r="M238">
        <f t="shared" si="137"/>
        <v>1016.9491525423729</v>
      </c>
      <c r="O238" s="53">
        <f t="shared" si="142"/>
        <v>42064</v>
      </c>
      <c r="P238" s="24">
        <f t="shared" ref="P238:T238" si="196">IFERROR(IF(OR(ISNA(B238),ISNA(B234)),NA(),B238/B234-1),NA())</f>
        <v>-4.5719844357976713E-2</v>
      </c>
      <c r="Q238" s="24">
        <f t="shared" si="196"/>
        <v>-9.8619329388571764E-4</v>
      </c>
      <c r="R238" s="24">
        <f t="shared" si="196"/>
        <v>-9.3179634966378377E-2</v>
      </c>
      <c r="S238" s="24">
        <f t="shared" si="196"/>
        <v>-9.7907949790794979E-2</v>
      </c>
      <c r="T238" s="24">
        <f t="shared" si="196"/>
        <v>-7.0487993803253213E-2</v>
      </c>
    </row>
    <row r="239" spans="1:20" x14ac:dyDescent="0.25">
      <c r="A239" s="53">
        <f>Data1!A198</f>
        <v>42156</v>
      </c>
      <c r="B239">
        <f>IF(ISBLANK(Data1!B198),NA(),Data1!B198)</f>
        <v>99.9</v>
      </c>
      <c r="C239">
        <f>IF(ISBLANK(Data1!E198),NA(),Data1!E198)</f>
        <v>102.3</v>
      </c>
      <c r="D239">
        <f>IF(ISBLANK(Data1!AJ198),NA(),Data1!AJ198)</f>
        <v>90.8</v>
      </c>
      <c r="E239">
        <f>IF(ISBLANK(Data1!BJ198),NA(),Data1!BJ198)</f>
        <v>105.8</v>
      </c>
      <c r="F239">
        <f>IF(ISBLANK(Data1!BK198),NA(),Data1!BK198)</f>
        <v>120.3</v>
      </c>
      <c r="H239" s="53">
        <f t="shared" si="134"/>
        <v>42156</v>
      </c>
      <c r="I239">
        <f t="shared" si="135"/>
        <v>925</v>
      </c>
      <c r="J239" cm="1">
        <f t="array" ref="J239">IF(ISNA(C239),NA(),C239/INDEX($C$52:$C$282,MATCH(TRUE,INDEX(NOT(ISNA($C$52:$C$282)),0),0))*100)</f>
        <v>194.85714285714286</v>
      </c>
      <c r="K239" cm="1">
        <f t="array" ref="K239">IF(ISNA(D239),NA(),D239/INDEX($D$52:$D$282,MATCH(TRUE,INDEX(NOT(ISNA($D$52:$D$282)),0),0))*100)</f>
        <v>143.21766561514195</v>
      </c>
      <c r="L239">
        <f t="shared" si="136"/>
        <v>591.06145251396651</v>
      </c>
      <c r="M239">
        <f t="shared" si="137"/>
        <v>1019.4915254237287</v>
      </c>
      <c r="O239" s="53">
        <f t="shared" si="142"/>
        <v>42156</v>
      </c>
      <c r="P239" s="24">
        <f t="shared" ref="P239:T239" si="197">IFERROR(IF(OR(ISNA(B239),ISNA(B235)),NA(),B239/B235-1),NA())</f>
        <v>-1.8664047151276897E-2</v>
      </c>
      <c r="Q239" s="24">
        <f t="shared" si="197"/>
        <v>1.4880952380952328E-2</v>
      </c>
      <c r="R239" s="24">
        <f t="shared" si="197"/>
        <v>-9.8311817279046698E-2</v>
      </c>
      <c r="S239" s="24">
        <f t="shared" si="197"/>
        <v>-0.10942760942760943</v>
      </c>
      <c r="T239" s="24">
        <f t="shared" si="197"/>
        <v>-5.9421422986708383E-2</v>
      </c>
    </row>
    <row r="240" spans="1:20" x14ac:dyDescent="0.25">
      <c r="A240" s="53">
        <f>Data1!A199</f>
        <v>42248</v>
      </c>
      <c r="B240">
        <f>IF(ISBLANK(Data1!B199),NA(),Data1!B199)</f>
        <v>100.1</v>
      </c>
      <c r="C240">
        <f>IF(ISBLANK(Data1!E199),NA(),Data1!E199)</f>
        <v>103.3</v>
      </c>
      <c r="D240">
        <f>IF(ISBLANK(Data1!AJ199),NA(),Data1!AJ199)</f>
        <v>94.5</v>
      </c>
      <c r="E240">
        <f>IF(ISBLANK(Data1!BJ199),NA(),Data1!BJ199)</f>
        <v>98.9</v>
      </c>
      <c r="F240">
        <f>IF(ISBLANK(Data1!BK199),NA(),Data1!BK199)</f>
        <v>116.1</v>
      </c>
      <c r="H240" s="53">
        <f t="shared" si="134"/>
        <v>42248</v>
      </c>
      <c r="I240">
        <f t="shared" si="135"/>
        <v>926.85185185185173</v>
      </c>
      <c r="J240" cm="1">
        <f t="array" ref="J240">IF(ISNA(C240),NA(),C240/INDEX($C$52:$C$282,MATCH(TRUE,INDEX(NOT(ISNA($C$52:$C$282)),0),0))*100)</f>
        <v>196.76190476190476</v>
      </c>
      <c r="K240" cm="1">
        <f t="array" ref="K240">IF(ISNA(D240),NA(),D240/INDEX($D$52:$D$282,MATCH(TRUE,INDEX(NOT(ISNA($D$52:$D$282)),0),0))*100)</f>
        <v>149.05362776025237</v>
      </c>
      <c r="L240">
        <f t="shared" si="136"/>
        <v>552.51396648044704</v>
      </c>
      <c r="M240">
        <f t="shared" si="137"/>
        <v>983.89830508474563</v>
      </c>
      <c r="O240" s="53">
        <f t="shared" si="142"/>
        <v>42248</v>
      </c>
      <c r="P240" s="24">
        <f t="shared" ref="P240:T240" si="198">IFERROR(IF(OR(ISNA(B240),ISNA(B236)),NA(),B240/B236-1),NA())</f>
        <v>-5.9582919563059278E-3</v>
      </c>
      <c r="Q240" s="24">
        <f t="shared" si="198"/>
        <v>3.2999999999999918E-2</v>
      </c>
      <c r="R240" s="24">
        <f t="shared" si="198"/>
        <v>-5.0251256281407031E-2</v>
      </c>
      <c r="S240" s="24">
        <f t="shared" si="198"/>
        <v>-8.0855018587360439E-2</v>
      </c>
      <c r="T240" s="24">
        <f t="shared" si="198"/>
        <v>-3.4109816971713891E-2</v>
      </c>
    </row>
    <row r="241" spans="1:20" x14ac:dyDescent="0.25">
      <c r="A241" s="53">
        <f>Data1!A200</f>
        <v>42339</v>
      </c>
      <c r="B241">
        <f>IF(ISBLANK(Data1!B200),NA(),Data1!B200)</f>
        <v>98.1</v>
      </c>
      <c r="C241">
        <f>IF(ISBLANK(Data1!E200),NA(),Data1!E200)</f>
        <v>101.6</v>
      </c>
      <c r="D241">
        <f>IF(ISBLANK(Data1!AJ200),NA(),Data1!AJ200)</f>
        <v>93.2</v>
      </c>
      <c r="E241">
        <f>IF(ISBLANK(Data1!BJ200),NA(),Data1!BJ200)</f>
        <v>98.7</v>
      </c>
      <c r="F241">
        <f>IF(ISBLANK(Data1!BK200),NA(),Data1!BK200)</f>
        <v>115.6</v>
      </c>
      <c r="H241" s="53">
        <f t="shared" si="134"/>
        <v>42339</v>
      </c>
      <c r="I241">
        <f t="shared" si="135"/>
        <v>908.33333333333326</v>
      </c>
      <c r="J241" cm="1">
        <f t="array" ref="J241">IF(ISNA(C241),NA(),C241/INDEX($C$52:$C$282,MATCH(TRUE,INDEX(NOT(ISNA($C$52:$C$282)),0),0))*100)</f>
        <v>193.52380952380952</v>
      </c>
      <c r="K241" cm="1">
        <f t="array" ref="K241">IF(ISNA(D241),NA(),D241/INDEX($D$52:$D$282,MATCH(TRUE,INDEX(NOT(ISNA($D$52:$D$282)),0),0))*100)</f>
        <v>147.00315457413251</v>
      </c>
      <c r="L241">
        <f t="shared" si="136"/>
        <v>551.39664804469282</v>
      </c>
      <c r="M241">
        <f t="shared" si="137"/>
        <v>979.66101694915244</v>
      </c>
      <c r="O241" s="53">
        <f t="shared" si="142"/>
        <v>42339</v>
      </c>
      <c r="P241" s="24">
        <f t="shared" ref="P241:T241" si="199">IFERROR(IF(OR(ISNA(B241),ISNA(B237)),NA(),B241/B237-1),NA())</f>
        <v>-1.9000000000000017E-2</v>
      </c>
      <c r="Q241" s="24">
        <f t="shared" si="199"/>
        <v>6.9375619425171564E-3</v>
      </c>
      <c r="R241" s="24">
        <f t="shared" si="199"/>
        <v>-5.3807106598984689E-2</v>
      </c>
      <c r="S241" s="24">
        <f t="shared" si="199"/>
        <v>-6.7107750472589767E-2</v>
      </c>
      <c r="T241" s="24">
        <f t="shared" si="199"/>
        <v>-3.9068994181213679E-2</v>
      </c>
    </row>
    <row r="242" spans="1:20" x14ac:dyDescent="0.25">
      <c r="A242" s="53">
        <f>Data1!A201</f>
        <v>42430</v>
      </c>
      <c r="B242">
        <f>IF(ISBLANK(Data1!B201),NA(),Data1!B201)</f>
        <v>97.1</v>
      </c>
      <c r="C242">
        <f>IF(ISBLANK(Data1!E201),NA(),Data1!E201)</f>
        <v>101.8</v>
      </c>
      <c r="D242">
        <f>IF(ISBLANK(Data1!AJ201),NA(),Data1!AJ201)</f>
        <v>86.3</v>
      </c>
      <c r="E242">
        <f>IF(ISBLANK(Data1!BJ201),NA(),Data1!BJ201)</f>
        <v>100.3</v>
      </c>
      <c r="F242">
        <f>IF(ISBLANK(Data1!BK201),NA(),Data1!BK201)</f>
        <v>114.9</v>
      </c>
      <c r="H242" s="53">
        <f t="shared" si="134"/>
        <v>42430</v>
      </c>
      <c r="I242">
        <f t="shared" si="135"/>
        <v>899.07407407407402</v>
      </c>
      <c r="J242" cm="1">
        <f t="array" ref="J242">IF(ISNA(C242),NA(),C242/INDEX($C$52:$C$282,MATCH(TRUE,INDEX(NOT(ISNA($C$52:$C$282)),0),0))*100)</f>
        <v>193.9047619047619</v>
      </c>
      <c r="K242" cm="1">
        <f t="array" ref="K242">IF(ISNA(D242),NA(),D242/INDEX($D$52:$D$282,MATCH(TRUE,INDEX(NOT(ISNA($D$52:$D$282)),0),0))*100)</f>
        <v>136.11987381703469</v>
      </c>
      <c r="L242">
        <f t="shared" si="136"/>
        <v>560.33519553072631</v>
      </c>
      <c r="M242">
        <f t="shared" si="137"/>
        <v>973.72881355932202</v>
      </c>
      <c r="O242" s="53">
        <f t="shared" si="142"/>
        <v>42430</v>
      </c>
      <c r="P242" s="24">
        <f t="shared" ref="P242:T242" si="200">IFERROR(IF(OR(ISNA(B242),ISNA(B238)),NA(),B242/B238-1),NA())</f>
        <v>-1.0193679918450549E-2</v>
      </c>
      <c r="Q242" s="24">
        <f t="shared" si="200"/>
        <v>4.9358341559724295E-3</v>
      </c>
      <c r="R242" s="24">
        <f t="shared" si="200"/>
        <v>-8.5805084745762761E-2</v>
      </c>
      <c r="S242" s="24">
        <f t="shared" si="200"/>
        <v>-6.9573283858998192E-2</v>
      </c>
      <c r="T242" s="24">
        <f t="shared" si="200"/>
        <v>-4.2499999999999982E-2</v>
      </c>
    </row>
    <row r="243" spans="1:20" x14ac:dyDescent="0.25">
      <c r="A243" s="53">
        <f>Data1!A202</f>
        <v>42522</v>
      </c>
      <c r="B243">
        <f>IF(ISBLANK(Data1!B202),NA(),Data1!B202)</f>
        <v>98</v>
      </c>
      <c r="C243">
        <f>IF(ISBLANK(Data1!E202),NA(),Data1!E202)</f>
        <v>102.1</v>
      </c>
      <c r="D243">
        <f>IF(ISBLANK(Data1!AJ202),NA(),Data1!AJ202)</f>
        <v>87.1</v>
      </c>
      <c r="E243">
        <f>IF(ISBLANK(Data1!BJ202),NA(),Data1!BJ202)</f>
        <v>98.2</v>
      </c>
      <c r="F243">
        <f>IF(ISBLANK(Data1!BK202),NA(),Data1!BK202)</f>
        <v>118.4</v>
      </c>
      <c r="H243" s="53">
        <f t="shared" si="134"/>
        <v>42522</v>
      </c>
      <c r="I243">
        <f t="shared" si="135"/>
        <v>907.40740740740728</v>
      </c>
      <c r="J243" cm="1">
        <f t="array" ref="J243">IF(ISNA(C243),NA(),C243/INDEX($C$52:$C$282,MATCH(TRUE,INDEX(NOT(ISNA($C$52:$C$282)),0),0))*100)</f>
        <v>194.47619047619048</v>
      </c>
      <c r="K243" cm="1">
        <f t="array" ref="K243">IF(ISNA(D243),NA(),D243/INDEX($D$52:$D$282,MATCH(TRUE,INDEX(NOT(ISNA($D$52:$D$282)),0),0))*100)</f>
        <v>137.38170347003154</v>
      </c>
      <c r="L243">
        <f t="shared" si="136"/>
        <v>548.60335195530729</v>
      </c>
      <c r="M243">
        <f t="shared" si="137"/>
        <v>1003.3898305084746</v>
      </c>
      <c r="O243" s="53">
        <f t="shared" si="142"/>
        <v>42522</v>
      </c>
      <c r="P243" s="24">
        <f t="shared" ref="P243:T243" si="201">IFERROR(IF(OR(ISNA(B243),ISNA(B239)),NA(),B243/B239-1),NA())</f>
        <v>-1.9019019019019034E-2</v>
      </c>
      <c r="Q243" s="24">
        <f t="shared" si="201"/>
        <v>-1.9550342130987275E-3</v>
      </c>
      <c r="R243" s="24">
        <f t="shared" si="201"/>
        <v>-4.0748898678414136E-2</v>
      </c>
      <c r="S243" s="24">
        <f t="shared" si="201"/>
        <v>-7.1833648393194616E-2</v>
      </c>
      <c r="T243" s="24">
        <f t="shared" si="201"/>
        <v>-1.5793848711554426E-2</v>
      </c>
    </row>
    <row r="244" spans="1:20" x14ac:dyDescent="0.25">
      <c r="A244" s="53">
        <f>Data1!A203</f>
        <v>42614</v>
      </c>
      <c r="B244">
        <f>IF(ISBLANK(Data1!B203),NA(),Data1!B203)</f>
        <v>100</v>
      </c>
      <c r="C244">
        <f>IF(ISBLANK(Data1!E203),NA(),Data1!E203)</f>
        <v>104</v>
      </c>
      <c r="D244">
        <f>IF(ISBLANK(Data1!AJ203),NA(),Data1!AJ203)</f>
        <v>89.6</v>
      </c>
      <c r="E244">
        <f>IF(ISBLANK(Data1!BJ203),NA(),Data1!BJ203)</f>
        <v>97</v>
      </c>
      <c r="F244">
        <f>IF(ISBLANK(Data1!BK203),NA(),Data1!BK203)</f>
        <v>120.4</v>
      </c>
      <c r="H244" s="53">
        <f t="shared" si="134"/>
        <v>42614</v>
      </c>
      <c r="I244">
        <f t="shared" si="135"/>
        <v>925.92592592592598</v>
      </c>
      <c r="J244" cm="1">
        <f t="array" ref="J244">IF(ISNA(C244),NA(),C244/INDEX($C$52:$C$282,MATCH(TRUE,INDEX(NOT(ISNA($C$52:$C$282)),0),0))*100)</f>
        <v>198.0952380952381</v>
      </c>
      <c r="K244" cm="1">
        <f t="array" ref="K244">IF(ISNA(D244),NA(),D244/INDEX($D$52:$D$282,MATCH(TRUE,INDEX(NOT(ISNA($D$52:$D$282)),0),0))*100)</f>
        <v>141.32492113564666</v>
      </c>
      <c r="L244">
        <f t="shared" si="136"/>
        <v>541.89944134078212</v>
      </c>
      <c r="M244">
        <f t="shared" si="137"/>
        <v>1020.3389830508474</v>
      </c>
      <c r="O244" s="53">
        <f t="shared" si="142"/>
        <v>42614</v>
      </c>
      <c r="P244" s="24">
        <f t="shared" ref="P244:T244" si="202">IFERROR(IF(OR(ISNA(B244),ISNA(B240)),NA(),B244/B240-1),NA())</f>
        <v>-9.9900099900096517E-4</v>
      </c>
      <c r="Q244" s="24">
        <f t="shared" si="202"/>
        <v>6.776379477250849E-3</v>
      </c>
      <c r="R244" s="24">
        <f t="shared" si="202"/>
        <v>-5.1851851851851927E-2</v>
      </c>
      <c r="S244" s="24">
        <f t="shared" si="202"/>
        <v>-1.9211324570273081E-2</v>
      </c>
      <c r="T244" s="24">
        <f t="shared" si="202"/>
        <v>3.7037037037037202E-2</v>
      </c>
    </row>
    <row r="245" spans="1:20" x14ac:dyDescent="0.25">
      <c r="A245" s="53">
        <f>Data1!A204</f>
        <v>42705</v>
      </c>
      <c r="B245">
        <f>IF(ISBLANK(Data1!B204),NA(),Data1!B204)</f>
        <v>100.3</v>
      </c>
      <c r="C245">
        <f>IF(ISBLANK(Data1!E204),NA(),Data1!E204)</f>
        <v>104</v>
      </c>
      <c r="D245">
        <f>IF(ISBLANK(Data1!AJ204),NA(),Data1!AJ204)</f>
        <v>94</v>
      </c>
      <c r="E245">
        <f>IF(ISBLANK(Data1!BJ204),NA(),Data1!BJ204)</f>
        <v>99.8</v>
      </c>
      <c r="F245">
        <f>IF(ISBLANK(Data1!BK204),NA(),Data1!BK204)</f>
        <v>120.1</v>
      </c>
      <c r="H245" s="53">
        <f t="shared" ref="H245:H282" si="203">A245</f>
        <v>42705</v>
      </c>
      <c r="I245">
        <f t="shared" ref="I245:I282" si="204">IF(ISNA(B245),NA(),B245/$B$58*100)</f>
        <v>928.70370370370358</v>
      </c>
      <c r="J245" cm="1">
        <f t="array" ref="J245">IF(ISNA(C245),NA(),C245/INDEX($C$52:$C$282,MATCH(TRUE,INDEX(NOT(ISNA($C$52:$C$282)),0),0))*100)</f>
        <v>198.0952380952381</v>
      </c>
      <c r="K245" cm="1">
        <f t="array" ref="K245">IF(ISNA(D245),NA(),D245/INDEX($D$52:$D$282,MATCH(TRUE,INDEX(NOT(ISNA($D$52:$D$282)),0),0))*100)</f>
        <v>148.26498422712936</v>
      </c>
      <c r="L245">
        <f t="shared" ref="L245:L282" si="205">IF(ISNA(E245),NA(),E245/$E$58*100)</f>
        <v>557.54189944134089</v>
      </c>
      <c r="M245">
        <f t="shared" ref="M245:M282" si="206">IF(ISNA(F245),NA(),F245/$F$58*100)</f>
        <v>1017.7966101694914</v>
      </c>
      <c r="O245" s="53">
        <f t="shared" si="142"/>
        <v>42705</v>
      </c>
      <c r="P245" s="24">
        <f t="shared" ref="P245:T245" si="207">IFERROR(IF(OR(ISNA(B245),ISNA(B241)),NA(),B245/B241-1),NA())</f>
        <v>2.2426095820591296E-2</v>
      </c>
      <c r="Q245" s="24">
        <f t="shared" si="207"/>
        <v>2.3622047244094446E-2</v>
      </c>
      <c r="R245" s="24">
        <f t="shared" si="207"/>
        <v>8.5836909871244149E-3</v>
      </c>
      <c r="S245" s="24">
        <f t="shared" si="207"/>
        <v>1.1144883485308954E-2</v>
      </c>
      <c r="T245" s="24">
        <f t="shared" si="207"/>
        <v>3.8927335640138505E-2</v>
      </c>
    </row>
    <row r="246" spans="1:20" x14ac:dyDescent="0.25">
      <c r="A246" s="53">
        <f>Data1!A205</f>
        <v>42795</v>
      </c>
      <c r="B246">
        <f>IF(ISBLANK(Data1!B205),NA(),Data1!B205)</f>
        <v>102</v>
      </c>
      <c r="C246">
        <f>IF(ISBLANK(Data1!E205),NA(),Data1!E205)</f>
        <v>105.3</v>
      </c>
      <c r="D246">
        <f>IF(ISBLANK(Data1!AJ205),NA(),Data1!AJ205)</f>
        <v>96.4</v>
      </c>
      <c r="E246">
        <f>IF(ISBLANK(Data1!BJ205),NA(),Data1!BJ205)</f>
        <v>104.7</v>
      </c>
      <c r="F246">
        <f>IF(ISBLANK(Data1!BK205),NA(),Data1!BK205)</f>
        <v>128.4</v>
      </c>
      <c r="H246" s="53">
        <f t="shared" si="203"/>
        <v>42795</v>
      </c>
      <c r="I246">
        <f t="shared" si="204"/>
        <v>944.44444444444446</v>
      </c>
      <c r="J246" cm="1">
        <f t="array" ref="J246">IF(ISNA(C246),NA(),C246/INDEX($C$52:$C$282,MATCH(TRUE,INDEX(NOT(ISNA($C$52:$C$282)),0),0))*100)</f>
        <v>200.57142857142858</v>
      </c>
      <c r="K246" cm="1">
        <f t="array" ref="K246">IF(ISNA(D246),NA(),D246/INDEX($D$52:$D$282,MATCH(TRUE,INDEX(NOT(ISNA($D$52:$D$282)),0),0))*100)</f>
        <v>152.05047318611989</v>
      </c>
      <c r="L246">
        <f t="shared" si="205"/>
        <v>584.91620111731845</v>
      </c>
      <c r="M246">
        <f t="shared" si="206"/>
        <v>1088.1355932203389</v>
      </c>
      <c r="O246" s="53">
        <f t="shared" si="142"/>
        <v>42795</v>
      </c>
      <c r="P246" s="24">
        <f t="shared" ref="P246:T246" si="208">IFERROR(IF(OR(ISNA(B246),ISNA(B242)),NA(),B246/B242-1),NA())</f>
        <v>5.0463439752832295E-2</v>
      </c>
      <c r="Q246" s="24">
        <f t="shared" si="208"/>
        <v>3.4381139489194412E-2</v>
      </c>
      <c r="R246" s="24">
        <f t="shared" si="208"/>
        <v>0.11703360370799554</v>
      </c>
      <c r="S246" s="24">
        <f t="shared" si="208"/>
        <v>4.386839481555338E-2</v>
      </c>
      <c r="T246" s="24">
        <f t="shared" si="208"/>
        <v>0.11749347258485643</v>
      </c>
    </row>
    <row r="247" spans="1:20" x14ac:dyDescent="0.25">
      <c r="A247" s="53">
        <f>Data1!A206</f>
        <v>42887</v>
      </c>
      <c r="B247">
        <f>IF(ISBLANK(Data1!B206),NA(),Data1!B206)</f>
        <v>102.1</v>
      </c>
      <c r="C247">
        <f>IF(ISBLANK(Data1!E206),NA(),Data1!E206)</f>
        <v>105.8</v>
      </c>
      <c r="D247">
        <f>IF(ISBLANK(Data1!AJ206),NA(),Data1!AJ206)</f>
        <v>96.5</v>
      </c>
      <c r="E247">
        <f>IF(ISBLANK(Data1!BJ206),NA(),Data1!BJ206)</f>
        <v>107</v>
      </c>
      <c r="F247">
        <f>IF(ISBLANK(Data1!BK206),NA(),Data1!BK206)</f>
        <v>128.80000000000001</v>
      </c>
      <c r="H247" s="53">
        <f t="shared" si="203"/>
        <v>42887</v>
      </c>
      <c r="I247">
        <f t="shared" si="204"/>
        <v>945.37037037037021</v>
      </c>
      <c r="J247" cm="1">
        <f t="array" ref="J247">IF(ISNA(C247),NA(),C247/INDEX($C$52:$C$282,MATCH(TRUE,INDEX(NOT(ISNA($C$52:$C$282)),0),0))*100)</f>
        <v>201.52380952380952</v>
      </c>
      <c r="K247" cm="1">
        <f t="array" ref="K247">IF(ISNA(D247),NA(),D247/INDEX($D$52:$D$282,MATCH(TRUE,INDEX(NOT(ISNA($D$52:$D$282)),0),0))*100)</f>
        <v>152.20820189274448</v>
      </c>
      <c r="L247">
        <f t="shared" si="205"/>
        <v>597.76536312849169</v>
      </c>
      <c r="M247">
        <f t="shared" si="206"/>
        <v>1091.5254237288136</v>
      </c>
      <c r="O247" s="53">
        <f t="shared" si="142"/>
        <v>42887</v>
      </c>
      <c r="P247" s="24">
        <f t="shared" ref="P247:T247" si="209">IFERROR(IF(OR(ISNA(B247),ISNA(B243)),NA(),B247/B243-1),NA())</f>
        <v>4.1836734693877498E-2</v>
      </c>
      <c r="Q247" s="24">
        <f t="shared" si="209"/>
        <v>3.623898139079329E-2</v>
      </c>
      <c r="R247" s="24">
        <f t="shared" si="209"/>
        <v>0.10792192881745133</v>
      </c>
      <c r="S247" s="24">
        <f t="shared" si="209"/>
        <v>8.9613034623217791E-2</v>
      </c>
      <c r="T247" s="24">
        <f t="shared" si="209"/>
        <v>8.783783783783794E-2</v>
      </c>
    </row>
    <row r="248" spans="1:20" x14ac:dyDescent="0.25">
      <c r="A248" s="53">
        <f>Data1!A207</f>
        <v>42979</v>
      </c>
      <c r="B248">
        <f>IF(ISBLANK(Data1!B207),NA(),Data1!B207)</f>
        <v>101.5</v>
      </c>
      <c r="C248">
        <f>IF(ISBLANK(Data1!E207),NA(),Data1!E207)</f>
        <v>105.3</v>
      </c>
      <c r="D248">
        <f>IF(ISBLANK(Data1!AJ207),NA(),Data1!AJ207)</f>
        <v>97</v>
      </c>
      <c r="E248">
        <f>IF(ISBLANK(Data1!BJ207),NA(),Data1!BJ207)</f>
        <v>114.5</v>
      </c>
      <c r="F248">
        <f>IF(ISBLANK(Data1!BK207),NA(),Data1!BK207)</f>
        <v>133.1</v>
      </c>
      <c r="H248" s="53">
        <f t="shared" si="203"/>
        <v>42979</v>
      </c>
      <c r="I248">
        <f t="shared" si="204"/>
        <v>939.81481481481467</v>
      </c>
      <c r="J248" cm="1">
        <f t="array" ref="J248">IF(ISNA(C248),NA(),C248/INDEX($C$52:$C$282,MATCH(TRUE,INDEX(NOT(ISNA($C$52:$C$282)),0),0))*100)</f>
        <v>200.57142857142858</v>
      </c>
      <c r="K248" cm="1">
        <f t="array" ref="K248">IF(ISNA(D248),NA(),D248/INDEX($D$52:$D$282,MATCH(TRUE,INDEX(NOT(ISNA($D$52:$D$282)),0),0))*100)</f>
        <v>152.99684542586752</v>
      </c>
      <c r="L248">
        <f t="shared" si="205"/>
        <v>639.6648044692738</v>
      </c>
      <c r="M248">
        <f t="shared" si="206"/>
        <v>1127.9661016949153</v>
      </c>
      <c r="O248" s="53">
        <f t="shared" si="142"/>
        <v>42979</v>
      </c>
      <c r="P248" s="24">
        <f t="shared" ref="P248:T248" si="210">IFERROR(IF(OR(ISNA(B248),ISNA(B244)),NA(),B248/B244-1),NA())</f>
        <v>1.4999999999999902E-2</v>
      </c>
      <c r="Q248" s="24">
        <f t="shared" si="210"/>
        <v>1.2499999999999956E-2</v>
      </c>
      <c r="R248" s="24">
        <f t="shared" si="210"/>
        <v>8.2589285714285809E-2</v>
      </c>
      <c r="S248" s="24">
        <f t="shared" si="210"/>
        <v>0.18041237113402064</v>
      </c>
      <c r="T248" s="24">
        <f t="shared" si="210"/>
        <v>0.10548172757475083</v>
      </c>
    </row>
    <row r="249" spans="1:20" x14ac:dyDescent="0.25">
      <c r="A249" s="53">
        <f>Data1!A208</f>
        <v>43070</v>
      </c>
      <c r="B249">
        <f>IF(ISBLANK(Data1!B208),NA(),Data1!B208)</f>
        <v>103.3</v>
      </c>
      <c r="C249">
        <f>IF(ISBLANK(Data1!E208),NA(),Data1!E208)</f>
        <v>106.4</v>
      </c>
      <c r="D249">
        <f>IF(ISBLANK(Data1!AJ208),NA(),Data1!AJ208)</f>
        <v>99.4</v>
      </c>
      <c r="E249">
        <f>IF(ISBLANK(Data1!BJ208),NA(),Data1!BJ208)</f>
        <v>121.6</v>
      </c>
      <c r="F249">
        <f>IF(ISBLANK(Data1!BK208),NA(),Data1!BK208)</f>
        <v>137.5</v>
      </c>
      <c r="H249" s="53">
        <f t="shared" si="203"/>
        <v>43070</v>
      </c>
      <c r="I249">
        <f t="shared" si="204"/>
        <v>956.4814814814813</v>
      </c>
      <c r="J249" cm="1">
        <f t="array" ref="J249">IF(ISNA(C249),NA(),C249/INDEX($C$52:$C$282,MATCH(TRUE,INDEX(NOT(ISNA($C$52:$C$282)),0),0))*100)</f>
        <v>202.66666666666669</v>
      </c>
      <c r="K249" cm="1">
        <f t="array" ref="K249">IF(ISNA(D249),NA(),D249/INDEX($D$52:$D$282,MATCH(TRUE,INDEX(NOT(ISNA($D$52:$D$282)),0),0))*100)</f>
        <v>156.78233438485805</v>
      </c>
      <c r="L249">
        <f t="shared" si="205"/>
        <v>679.32960893854749</v>
      </c>
      <c r="M249">
        <f t="shared" si="206"/>
        <v>1165.2542372881355</v>
      </c>
      <c r="O249" s="53">
        <f t="shared" ref="O249:O282" si="211">A249</f>
        <v>43070</v>
      </c>
      <c r="P249" s="24">
        <f t="shared" ref="P249:T249" si="212">IFERROR(IF(OR(ISNA(B249),ISNA(B245)),NA(),B249/B245-1),NA())</f>
        <v>2.9910269192422678E-2</v>
      </c>
      <c r="Q249" s="24">
        <f t="shared" si="212"/>
        <v>2.3076923076923217E-2</v>
      </c>
      <c r="R249" s="24">
        <f t="shared" si="212"/>
        <v>5.7446808510638325E-2</v>
      </c>
      <c r="S249" s="24">
        <f t="shared" si="212"/>
        <v>0.21843687374749488</v>
      </c>
      <c r="T249" s="24">
        <f t="shared" si="212"/>
        <v>0.14487926727726896</v>
      </c>
    </row>
    <row r="250" spans="1:20" x14ac:dyDescent="0.25">
      <c r="A250" s="53">
        <f>Data1!A209</f>
        <v>43160</v>
      </c>
      <c r="B250">
        <f>IF(ISBLANK(Data1!B209),NA(),Data1!B209)</f>
        <v>106.2</v>
      </c>
      <c r="C250">
        <f>IF(ISBLANK(Data1!E209),NA(),Data1!E209)</f>
        <v>109</v>
      </c>
      <c r="D250">
        <f>IF(ISBLANK(Data1!AJ209),NA(),Data1!AJ209)</f>
        <v>103.4</v>
      </c>
      <c r="E250">
        <f>IF(ISBLANK(Data1!BJ209),NA(),Data1!BJ209)</f>
        <v>131</v>
      </c>
      <c r="F250">
        <f>IF(ISBLANK(Data1!BK209),NA(),Data1!BK209)</f>
        <v>148.9</v>
      </c>
      <c r="H250" s="53">
        <f t="shared" si="203"/>
        <v>43160</v>
      </c>
      <c r="I250">
        <f t="shared" si="204"/>
        <v>983.33333333333326</v>
      </c>
      <c r="J250" cm="1">
        <f t="array" ref="J250">IF(ISNA(C250),NA(),C250/INDEX($C$52:$C$282,MATCH(TRUE,INDEX(NOT(ISNA($C$52:$C$282)),0),0))*100)</f>
        <v>207.61904761904765</v>
      </c>
      <c r="K250" cm="1">
        <f t="array" ref="K250">IF(ISNA(D250),NA(),D250/INDEX($D$52:$D$282,MATCH(TRUE,INDEX(NOT(ISNA($D$52:$D$282)),0),0))*100)</f>
        <v>163.09148264984228</v>
      </c>
      <c r="L250">
        <f t="shared" si="205"/>
        <v>731.84357541899442</v>
      </c>
      <c r="M250">
        <f t="shared" si="206"/>
        <v>1261.8644067796611</v>
      </c>
      <c r="O250" s="53">
        <f t="shared" si="211"/>
        <v>43160</v>
      </c>
      <c r="P250" s="24">
        <f t="shared" ref="P250:T250" si="213">IFERROR(IF(OR(ISNA(B250),ISNA(B246)),NA(),B250/B246-1),NA())</f>
        <v>4.117647058823537E-2</v>
      </c>
      <c r="Q250" s="24">
        <f t="shared" si="213"/>
        <v>3.5137701804368593E-2</v>
      </c>
      <c r="R250" s="24">
        <f t="shared" si="213"/>
        <v>7.2614107883817391E-2</v>
      </c>
      <c r="S250" s="24">
        <f t="shared" si="213"/>
        <v>0.25119388729703918</v>
      </c>
      <c r="T250" s="24">
        <f t="shared" si="213"/>
        <v>0.15965732087227424</v>
      </c>
    </row>
    <row r="251" spans="1:20" x14ac:dyDescent="0.25">
      <c r="A251" s="53">
        <f>Data1!A210</f>
        <v>43252</v>
      </c>
      <c r="B251">
        <f>IF(ISBLANK(Data1!B210),NA(),Data1!B210)</f>
        <v>108.6</v>
      </c>
      <c r="C251">
        <f>IF(ISBLANK(Data1!E210),NA(),Data1!E210)</f>
        <v>110.7</v>
      </c>
      <c r="D251">
        <f>IF(ISBLANK(Data1!AJ210),NA(),Data1!AJ210)</f>
        <v>106.8</v>
      </c>
      <c r="E251">
        <f>IF(ISBLANK(Data1!BJ210),NA(),Data1!BJ210)</f>
        <v>131.69999999999999</v>
      </c>
      <c r="F251">
        <f>IF(ISBLANK(Data1!BK210),NA(),Data1!BK210)</f>
        <v>149.9</v>
      </c>
      <c r="H251" s="53">
        <f t="shared" si="203"/>
        <v>43252</v>
      </c>
      <c r="I251">
        <f t="shared" si="204"/>
        <v>1005.5555555555553</v>
      </c>
      <c r="J251" cm="1">
        <f t="array" ref="J251">IF(ISNA(C251),NA(),C251/INDEX($C$52:$C$282,MATCH(TRUE,INDEX(NOT(ISNA($C$52:$C$282)),0),0))*100)</f>
        <v>210.85714285714286</v>
      </c>
      <c r="K251" cm="1">
        <f t="array" ref="K251">IF(ISNA(D251),NA(),D251/INDEX($D$52:$D$282,MATCH(TRUE,INDEX(NOT(ISNA($D$52:$D$282)),0),0))*100)</f>
        <v>168.45425867507885</v>
      </c>
      <c r="L251">
        <f t="shared" si="205"/>
        <v>735.75418994413405</v>
      </c>
      <c r="M251">
        <f t="shared" si="206"/>
        <v>1270.3389830508474</v>
      </c>
      <c r="O251" s="53">
        <f t="shared" si="211"/>
        <v>43252</v>
      </c>
      <c r="P251" s="24">
        <f t="shared" ref="P251:T251" si="214">IFERROR(IF(OR(ISNA(B251),ISNA(B247)),NA(),B251/B247-1),NA())</f>
        <v>6.3663075416258597E-2</v>
      </c>
      <c r="Q251" s="24">
        <f t="shared" si="214"/>
        <v>4.6313799621928275E-2</v>
      </c>
      <c r="R251" s="24">
        <f t="shared" si="214"/>
        <v>0.10673575129533686</v>
      </c>
      <c r="S251" s="24">
        <f t="shared" si="214"/>
        <v>0.23084112149532698</v>
      </c>
      <c r="T251" s="24">
        <f t="shared" si="214"/>
        <v>0.16381987577639756</v>
      </c>
    </row>
    <row r="252" spans="1:20" x14ac:dyDescent="0.25">
      <c r="A252" s="53">
        <f>Data1!A211</f>
        <v>43344</v>
      </c>
      <c r="B252">
        <f>IF(ISBLANK(Data1!B211),NA(),Data1!B211)</f>
        <v>109.5</v>
      </c>
      <c r="C252">
        <f>IF(ISBLANK(Data1!E211),NA(),Data1!E211)</f>
        <v>111.4</v>
      </c>
      <c r="D252">
        <f>IF(ISBLANK(Data1!AJ211),NA(),Data1!AJ211)</f>
        <v>111</v>
      </c>
      <c r="E252">
        <f>IF(ISBLANK(Data1!BJ211),NA(),Data1!BJ211)</f>
        <v>130</v>
      </c>
      <c r="F252">
        <f>IF(ISBLANK(Data1!BK211),NA(),Data1!BK211)</f>
        <v>153.4</v>
      </c>
      <c r="H252" s="53">
        <f t="shared" si="203"/>
        <v>43344</v>
      </c>
      <c r="I252">
        <f t="shared" si="204"/>
        <v>1013.8888888888888</v>
      </c>
      <c r="J252" cm="1">
        <f t="array" ref="J252">IF(ISNA(C252),NA(),C252/INDEX($C$52:$C$282,MATCH(TRUE,INDEX(NOT(ISNA($C$52:$C$282)),0),0))*100)</f>
        <v>212.1904761904762</v>
      </c>
      <c r="K252" cm="1">
        <f t="array" ref="K252">IF(ISNA(D252),NA(),D252/INDEX($D$52:$D$282,MATCH(TRUE,INDEX(NOT(ISNA($D$52:$D$282)),0),0))*100)</f>
        <v>175.0788643533123</v>
      </c>
      <c r="L252">
        <f t="shared" si="205"/>
        <v>726.25698324022346</v>
      </c>
      <c r="M252">
        <f t="shared" si="206"/>
        <v>1300</v>
      </c>
      <c r="O252" s="53">
        <f t="shared" si="211"/>
        <v>43344</v>
      </c>
      <c r="P252" s="24">
        <f t="shared" ref="P252:T252" si="215">IFERROR(IF(OR(ISNA(B252),ISNA(B248)),NA(),B252/B248-1),NA())</f>
        <v>7.8817733990147687E-2</v>
      </c>
      <c r="Q252" s="24">
        <f t="shared" si="215"/>
        <v>5.7929724596391452E-2</v>
      </c>
      <c r="R252" s="24">
        <f t="shared" si="215"/>
        <v>0.14432989690721643</v>
      </c>
      <c r="S252" s="24">
        <f t="shared" si="215"/>
        <v>0.13537117903930129</v>
      </c>
      <c r="T252" s="24">
        <f t="shared" si="215"/>
        <v>0.15251690458302036</v>
      </c>
    </row>
    <row r="253" spans="1:20" x14ac:dyDescent="0.25">
      <c r="A253" s="53">
        <f>Data1!A212</f>
        <v>43435</v>
      </c>
      <c r="B253">
        <f>IF(ISBLANK(Data1!B212),NA(),Data1!B212)</f>
        <v>109.7</v>
      </c>
      <c r="C253">
        <f>IF(ISBLANK(Data1!E212),NA(),Data1!E212)</f>
        <v>111.7</v>
      </c>
      <c r="D253">
        <f>IF(ISBLANK(Data1!AJ212),NA(),Data1!AJ212)</f>
        <v>111.6</v>
      </c>
      <c r="E253">
        <f>IF(ISBLANK(Data1!BJ212),NA(),Data1!BJ212)</f>
        <v>128.19999999999999</v>
      </c>
      <c r="F253">
        <f>IF(ISBLANK(Data1!BK212),NA(),Data1!BK212)</f>
        <v>153</v>
      </c>
      <c r="H253" s="53">
        <f t="shared" si="203"/>
        <v>43435</v>
      </c>
      <c r="I253">
        <f t="shared" si="204"/>
        <v>1015.7407407407406</v>
      </c>
      <c r="J253" cm="1">
        <f t="array" ref="J253">IF(ISNA(C253),NA(),C253/INDEX($C$52:$C$282,MATCH(TRUE,INDEX(NOT(ISNA($C$52:$C$282)),0),0))*100)</f>
        <v>212.76190476190476</v>
      </c>
      <c r="K253" cm="1">
        <f t="array" ref="K253">IF(ISNA(D253),NA(),D253/INDEX($D$52:$D$282,MATCH(TRUE,INDEX(NOT(ISNA($D$52:$D$282)),0),0))*100)</f>
        <v>176.02523659305993</v>
      </c>
      <c r="L253">
        <f t="shared" si="205"/>
        <v>716.20111731843576</v>
      </c>
      <c r="M253">
        <f t="shared" si="206"/>
        <v>1296.6101694915255</v>
      </c>
      <c r="O253" s="53">
        <f t="shared" si="211"/>
        <v>43435</v>
      </c>
      <c r="P253" s="24">
        <f t="shared" ref="P253:T253" si="216">IFERROR(IF(OR(ISNA(B253),ISNA(B249)),NA(),B253/B249-1),NA())</f>
        <v>6.1955469506292493E-2</v>
      </c>
      <c r="Q253" s="24">
        <f t="shared" si="216"/>
        <v>4.9812030075187863E-2</v>
      </c>
      <c r="R253" s="24">
        <f t="shared" si="216"/>
        <v>0.1227364185110662</v>
      </c>
      <c r="S253" s="24">
        <f t="shared" si="216"/>
        <v>5.4276315789473673E-2</v>
      </c>
      <c r="T253" s="24">
        <f t="shared" si="216"/>
        <v>0.11272727272727279</v>
      </c>
    </row>
    <row r="254" spans="1:20" x14ac:dyDescent="0.25">
      <c r="A254" s="53">
        <f>Data1!A213</f>
        <v>43525</v>
      </c>
      <c r="B254">
        <f>IF(ISBLANK(Data1!B213),NA(),Data1!B213)</f>
        <v>110.4</v>
      </c>
      <c r="C254">
        <f>IF(ISBLANK(Data1!E213),NA(),Data1!E213)</f>
        <v>113.2</v>
      </c>
      <c r="D254">
        <f>IF(ISBLANK(Data1!AJ213),NA(),Data1!AJ213)</f>
        <v>107.9</v>
      </c>
      <c r="E254">
        <f>IF(ISBLANK(Data1!BJ213),NA(),Data1!BJ213)</f>
        <v>128.1</v>
      </c>
      <c r="F254">
        <f>IF(ISBLANK(Data1!BK213),NA(),Data1!BK213)</f>
        <v>159.1</v>
      </c>
      <c r="H254" s="53">
        <f t="shared" si="203"/>
        <v>43525</v>
      </c>
      <c r="I254">
        <f t="shared" si="204"/>
        <v>1022.2222222222222</v>
      </c>
      <c r="J254" cm="1">
        <f t="array" ref="J254">IF(ISNA(C254),NA(),C254/INDEX($C$52:$C$282,MATCH(TRUE,INDEX(NOT(ISNA($C$52:$C$282)),0),0))*100)</f>
        <v>215.61904761904765</v>
      </c>
      <c r="K254" cm="1">
        <f t="array" ref="K254">IF(ISNA(D254),NA(),D254/INDEX($D$52:$D$282,MATCH(TRUE,INDEX(NOT(ISNA($D$52:$D$282)),0),0))*100)</f>
        <v>170.18927444794954</v>
      </c>
      <c r="L254">
        <f t="shared" si="205"/>
        <v>715.64245810055866</v>
      </c>
      <c r="M254">
        <f t="shared" si="206"/>
        <v>1348.3050847457625</v>
      </c>
      <c r="O254" s="53">
        <f t="shared" si="211"/>
        <v>43525</v>
      </c>
      <c r="P254" s="24">
        <f t="shared" ref="P254:T254" si="217">IFERROR(IF(OR(ISNA(B254),ISNA(B250)),NA(),B254/B250-1),NA())</f>
        <v>3.9548022598870025E-2</v>
      </c>
      <c r="Q254" s="24">
        <f t="shared" si="217"/>
        <v>3.8532110091743066E-2</v>
      </c>
      <c r="R254" s="24">
        <f t="shared" si="217"/>
        <v>4.3520309477756314E-2</v>
      </c>
      <c r="S254" s="24">
        <f t="shared" si="217"/>
        <v>-2.2137404580152675E-2</v>
      </c>
      <c r="T254" s="24">
        <f t="shared" si="217"/>
        <v>6.8502350570852855E-2</v>
      </c>
    </row>
    <row r="255" spans="1:20" x14ac:dyDescent="0.25">
      <c r="A255" s="53">
        <f>Data1!A214</f>
        <v>43617</v>
      </c>
      <c r="B255">
        <f>IF(ISBLANK(Data1!B214),NA(),Data1!B214)</f>
        <v>112.8</v>
      </c>
      <c r="C255">
        <f>IF(ISBLANK(Data1!E214),NA(),Data1!E214)</f>
        <v>115.2</v>
      </c>
      <c r="D255">
        <f>IF(ISBLANK(Data1!AJ214),NA(),Data1!AJ214)</f>
        <v>109.9</v>
      </c>
      <c r="E255">
        <f>IF(ISBLANK(Data1!BJ214),NA(),Data1!BJ214)</f>
        <v>129.19999999999999</v>
      </c>
      <c r="F255">
        <f>IF(ISBLANK(Data1!BK214),NA(),Data1!BK214)</f>
        <v>151.80000000000001</v>
      </c>
      <c r="H255" s="53">
        <f t="shared" si="203"/>
        <v>43617</v>
      </c>
      <c r="I255">
        <f t="shared" si="204"/>
        <v>1044.4444444444443</v>
      </c>
      <c r="J255" cm="1">
        <f t="array" ref="J255">IF(ISNA(C255),NA(),C255/INDEX($C$52:$C$282,MATCH(TRUE,INDEX(NOT(ISNA($C$52:$C$282)),0),0))*100)</f>
        <v>219.42857142857144</v>
      </c>
      <c r="K255" cm="1">
        <f t="array" ref="K255">IF(ISNA(D255),NA(),D255/INDEX($D$52:$D$282,MATCH(TRUE,INDEX(NOT(ISNA($D$52:$D$282)),0),0))*100)</f>
        <v>173.34384858044166</v>
      </c>
      <c r="L255">
        <f t="shared" si="205"/>
        <v>721.78770949720672</v>
      </c>
      <c r="M255">
        <f t="shared" si="206"/>
        <v>1286.4406779661017</v>
      </c>
      <c r="O255" s="53">
        <f t="shared" si="211"/>
        <v>43617</v>
      </c>
      <c r="P255" s="24">
        <f t="shared" ref="P255:T255" si="218">IFERROR(IF(OR(ISNA(B255),ISNA(B251)),NA(),B255/B251-1),NA())</f>
        <v>3.8674033149171283E-2</v>
      </c>
      <c r="Q255" s="24">
        <f t="shared" si="218"/>
        <v>4.0650406504064929E-2</v>
      </c>
      <c r="R255" s="24">
        <f t="shared" si="218"/>
        <v>2.9026217228464546E-2</v>
      </c>
      <c r="S255" s="24">
        <f t="shared" si="218"/>
        <v>-1.8982536066818545E-2</v>
      </c>
      <c r="T255" s="24">
        <f t="shared" si="218"/>
        <v>1.2675116744496284E-2</v>
      </c>
    </row>
    <row r="256" spans="1:20" x14ac:dyDescent="0.25">
      <c r="A256" s="53">
        <f>Data1!A215</f>
        <v>43709</v>
      </c>
      <c r="B256">
        <f>IF(ISBLANK(Data1!B215),NA(),Data1!B215)</f>
        <v>115</v>
      </c>
      <c r="C256">
        <f>IF(ISBLANK(Data1!E215),NA(),Data1!E215)</f>
        <v>118.2</v>
      </c>
      <c r="D256">
        <f>IF(ISBLANK(Data1!AJ215),NA(),Data1!AJ215)</f>
        <v>108.1</v>
      </c>
      <c r="E256">
        <f>IF(ISBLANK(Data1!BJ215),NA(),Data1!BJ215)</f>
        <v>128.30000000000001</v>
      </c>
      <c r="F256">
        <f>IF(ISBLANK(Data1!BK215),NA(),Data1!BK215)</f>
        <v>147.1</v>
      </c>
      <c r="H256" s="53">
        <f t="shared" si="203"/>
        <v>43709</v>
      </c>
      <c r="I256">
        <f t="shared" si="204"/>
        <v>1064.8148148148148</v>
      </c>
      <c r="J256" cm="1">
        <f t="array" ref="J256">IF(ISNA(C256),NA(),C256/INDEX($C$52:$C$282,MATCH(TRUE,INDEX(NOT(ISNA($C$52:$C$282)),0),0))*100)</f>
        <v>225.14285714285714</v>
      </c>
      <c r="K256" cm="1">
        <f t="array" ref="K256">IF(ISNA(D256),NA(),D256/INDEX($D$52:$D$282,MATCH(TRUE,INDEX(NOT(ISNA($D$52:$D$282)),0),0))*100)</f>
        <v>170.50473186119874</v>
      </c>
      <c r="L256">
        <f t="shared" si="205"/>
        <v>716.75977653631298</v>
      </c>
      <c r="M256">
        <f t="shared" si="206"/>
        <v>1246.6101694915253</v>
      </c>
      <c r="O256" s="53">
        <f t="shared" si="211"/>
        <v>43709</v>
      </c>
      <c r="P256" s="24">
        <f t="shared" ref="P256:T256" si="219">IFERROR(IF(OR(ISNA(B256),ISNA(B252)),NA(),B256/B252-1),NA())</f>
        <v>5.0228310502283158E-2</v>
      </c>
      <c r="Q256" s="24">
        <f t="shared" si="219"/>
        <v>6.1041292639138156E-2</v>
      </c>
      <c r="R256" s="24">
        <f t="shared" si="219"/>
        <v>-2.6126126126126192E-2</v>
      </c>
      <c r="S256" s="24">
        <f t="shared" si="219"/>
        <v>-1.3076923076922986E-2</v>
      </c>
      <c r="T256" s="24">
        <f t="shared" si="219"/>
        <v>-4.1069100391134317E-2</v>
      </c>
    </row>
    <row r="257" spans="1:20" x14ac:dyDescent="0.25">
      <c r="A257" s="53">
        <f>Data1!A216</f>
        <v>43800</v>
      </c>
      <c r="B257">
        <f>IF(ISBLANK(Data1!B216),NA(),Data1!B216)</f>
        <v>113.8</v>
      </c>
      <c r="C257">
        <f>IF(ISBLANK(Data1!E216),NA(),Data1!E216)</f>
        <v>116.7</v>
      </c>
      <c r="D257">
        <f>IF(ISBLANK(Data1!AJ216),NA(),Data1!AJ216)</f>
        <v>108.2</v>
      </c>
      <c r="E257">
        <f>IF(ISBLANK(Data1!BJ216),NA(),Data1!BJ216)</f>
        <v>126.9</v>
      </c>
      <c r="F257">
        <f>IF(ISBLANK(Data1!BK216),NA(),Data1!BK216)</f>
        <v>152.30000000000001</v>
      </c>
      <c r="H257" s="53">
        <f t="shared" si="203"/>
        <v>43800</v>
      </c>
      <c r="I257">
        <f t="shared" si="204"/>
        <v>1053.7037037037037</v>
      </c>
      <c r="J257" cm="1">
        <f t="array" ref="J257">IF(ISNA(C257),NA(),C257/INDEX($C$52:$C$282,MATCH(TRUE,INDEX(NOT(ISNA($C$52:$C$282)),0),0))*100)</f>
        <v>222.28571428571428</v>
      </c>
      <c r="K257" cm="1">
        <f t="array" ref="K257">IF(ISNA(D257),NA(),D257/INDEX($D$52:$D$282,MATCH(TRUE,INDEX(NOT(ISNA($D$52:$D$282)),0),0))*100)</f>
        <v>170.66246056782336</v>
      </c>
      <c r="L257">
        <f t="shared" si="205"/>
        <v>708.9385474860336</v>
      </c>
      <c r="M257">
        <f t="shared" si="206"/>
        <v>1290.6779661016949</v>
      </c>
      <c r="O257" s="53">
        <f t="shared" si="211"/>
        <v>43800</v>
      </c>
      <c r="P257" s="24">
        <f t="shared" ref="P257:T257" si="220">IFERROR(IF(OR(ISNA(B257),ISNA(B253)),NA(),B257/B253-1),NA())</f>
        <v>3.7374658158614293E-2</v>
      </c>
      <c r="Q257" s="24">
        <f t="shared" si="220"/>
        <v>4.476275738585489E-2</v>
      </c>
      <c r="R257" s="24">
        <f t="shared" si="220"/>
        <v>-3.0465949820788429E-2</v>
      </c>
      <c r="S257" s="24">
        <f t="shared" si="220"/>
        <v>-1.0140405616224535E-2</v>
      </c>
      <c r="T257" s="24">
        <f t="shared" si="220"/>
        <v>-4.5751633986926832E-3</v>
      </c>
    </row>
    <row r="258" spans="1:20" x14ac:dyDescent="0.25">
      <c r="A258" s="53">
        <f>Data1!A217</f>
        <v>43891</v>
      </c>
      <c r="B258">
        <f>IF(ISBLANK(Data1!B217),NA(),Data1!B217)</f>
        <v>115.5</v>
      </c>
      <c r="C258">
        <f>IF(ISBLANK(Data1!E217),NA(),Data1!E217)</f>
        <v>119.3</v>
      </c>
      <c r="D258">
        <f>IF(ISBLANK(Data1!AJ217),NA(),Data1!AJ217)</f>
        <v>107.6</v>
      </c>
      <c r="E258">
        <f>IF(ISBLANK(Data1!BJ217),NA(),Data1!BJ217)</f>
        <v>128.1</v>
      </c>
      <c r="F258">
        <f>IF(ISBLANK(Data1!BK217),NA(),Data1!BK217)</f>
        <v>162.1</v>
      </c>
      <c r="H258" s="53">
        <f t="shared" si="203"/>
        <v>43891</v>
      </c>
      <c r="I258">
        <f t="shared" si="204"/>
        <v>1069.4444444444443</v>
      </c>
      <c r="J258" cm="1">
        <f t="array" ref="J258">IF(ISNA(C258),NA(),C258/INDEX($C$52:$C$282,MATCH(TRUE,INDEX(NOT(ISNA($C$52:$C$282)),0),0))*100)</f>
        <v>227.23809523809524</v>
      </c>
      <c r="K258" cm="1">
        <f t="array" ref="K258">IF(ISNA(D258),NA(),D258/INDEX($D$52:$D$282,MATCH(TRUE,INDEX(NOT(ISNA($D$52:$D$282)),0),0))*100)</f>
        <v>169.7160883280757</v>
      </c>
      <c r="L258">
        <f t="shared" si="205"/>
        <v>715.64245810055866</v>
      </c>
      <c r="M258">
        <f t="shared" si="206"/>
        <v>1373.7288135593219</v>
      </c>
      <c r="O258" s="53">
        <f t="shared" si="211"/>
        <v>43891</v>
      </c>
      <c r="P258" s="24">
        <f t="shared" ref="P258:T258" si="221">IFERROR(IF(OR(ISNA(B258),ISNA(B254)),NA(),B258/B254-1),NA())</f>
        <v>4.6195652173913082E-2</v>
      </c>
      <c r="Q258" s="24">
        <f t="shared" si="221"/>
        <v>5.3886925795052942E-2</v>
      </c>
      <c r="R258" s="24">
        <f t="shared" si="221"/>
        <v>-2.780352177942591E-3</v>
      </c>
      <c r="S258" s="24">
        <f t="shared" si="221"/>
        <v>0</v>
      </c>
      <c r="T258" s="24">
        <f t="shared" si="221"/>
        <v>1.8856065367693242E-2</v>
      </c>
    </row>
    <row r="259" spans="1:20" x14ac:dyDescent="0.25">
      <c r="A259" s="53">
        <f>Data1!A218</f>
        <v>43983</v>
      </c>
      <c r="B259">
        <f>IF(ISBLANK(Data1!B218),NA(),Data1!B218)</f>
        <v>114.5</v>
      </c>
      <c r="C259">
        <f>IF(ISBLANK(Data1!E218),NA(),Data1!E218)</f>
        <v>120.5</v>
      </c>
      <c r="D259">
        <f>IF(ISBLANK(Data1!AJ218),NA(),Data1!AJ218)</f>
        <v>101.6</v>
      </c>
      <c r="E259">
        <f>IF(ISBLANK(Data1!BJ218),NA(),Data1!BJ218)</f>
        <v>128.1</v>
      </c>
      <c r="F259">
        <f>IF(ISBLANK(Data1!BK218),NA(),Data1!BK218)</f>
        <v>141.4</v>
      </c>
      <c r="H259" s="53">
        <f t="shared" si="203"/>
        <v>43983</v>
      </c>
      <c r="I259">
        <f t="shared" si="204"/>
        <v>1060.1851851851852</v>
      </c>
      <c r="J259" cm="1">
        <f t="array" ref="J259">IF(ISNA(C259),NA(),C259/INDEX($C$52:$C$282,MATCH(TRUE,INDEX(NOT(ISNA($C$52:$C$282)),0),0))*100)</f>
        <v>229.52380952380952</v>
      </c>
      <c r="K259" cm="1">
        <f t="array" ref="K259">IF(ISNA(D259),NA(),D259/INDEX($D$52:$D$282,MATCH(TRUE,INDEX(NOT(ISNA($D$52:$D$282)),0),0))*100)</f>
        <v>160.25236593059938</v>
      </c>
      <c r="L259">
        <f t="shared" si="205"/>
        <v>715.64245810055866</v>
      </c>
      <c r="M259">
        <f t="shared" si="206"/>
        <v>1198.3050847457625</v>
      </c>
      <c r="O259" s="53">
        <f t="shared" si="211"/>
        <v>43983</v>
      </c>
      <c r="P259" s="24">
        <f t="shared" ref="P259:T259" si="222">IFERROR(IF(OR(ISNA(B259),ISNA(B255)),NA(),B259/B255-1),NA())</f>
        <v>1.5070921985815611E-2</v>
      </c>
      <c r="Q259" s="24">
        <f t="shared" si="222"/>
        <v>4.600694444444442E-2</v>
      </c>
      <c r="R259" s="24">
        <f t="shared" si="222"/>
        <v>-7.5523202911738085E-2</v>
      </c>
      <c r="S259" s="24">
        <f t="shared" si="222"/>
        <v>-8.5139318885448789E-3</v>
      </c>
      <c r="T259" s="24">
        <f t="shared" si="222"/>
        <v>-6.8511198945981566E-2</v>
      </c>
    </row>
    <row r="260" spans="1:20" x14ac:dyDescent="0.25">
      <c r="A260" s="53">
        <f>Data1!A219</f>
        <v>44075</v>
      </c>
      <c r="B260">
        <f>IF(ISBLANK(Data1!B219),NA(),Data1!B219)</f>
        <v>114.7</v>
      </c>
      <c r="C260">
        <f>IF(ISBLANK(Data1!E219),NA(),Data1!E219)</f>
        <v>119.8</v>
      </c>
      <c r="D260">
        <f>IF(ISBLANK(Data1!AJ219),NA(),Data1!AJ219)</f>
        <v>96</v>
      </c>
      <c r="E260">
        <f>IF(ISBLANK(Data1!BJ219),NA(),Data1!BJ219)</f>
        <v>127.5</v>
      </c>
      <c r="F260">
        <f>IF(ISBLANK(Data1!BK219),NA(),Data1!BK219)</f>
        <v>139.19999999999999</v>
      </c>
      <c r="H260" s="53">
        <f t="shared" si="203"/>
        <v>44075</v>
      </c>
      <c r="I260">
        <f t="shared" si="204"/>
        <v>1062.037037037037</v>
      </c>
      <c r="J260" cm="1">
        <f t="array" ref="J260">IF(ISNA(C260),NA(),C260/INDEX($C$52:$C$282,MATCH(TRUE,INDEX(NOT(ISNA($C$52:$C$282)),0),0))*100)</f>
        <v>228.19047619047618</v>
      </c>
      <c r="K260" cm="1">
        <f t="array" ref="K260">IF(ISNA(D260),NA(),D260/INDEX($D$52:$D$282,MATCH(TRUE,INDEX(NOT(ISNA($D$52:$D$282)),0),0))*100)</f>
        <v>151.41955835962148</v>
      </c>
      <c r="L260">
        <f t="shared" si="205"/>
        <v>712.29050279329613</v>
      </c>
      <c r="M260">
        <f t="shared" si="206"/>
        <v>1179.6610169491523</v>
      </c>
      <c r="O260" s="53">
        <f t="shared" si="211"/>
        <v>44075</v>
      </c>
      <c r="P260" s="24">
        <f t="shared" ref="P260:T260" si="223">IFERROR(IF(OR(ISNA(B260),ISNA(B256)),NA(),B260/B256-1),NA())</f>
        <v>-2.6086956521739202E-3</v>
      </c>
      <c r="Q260" s="24">
        <f t="shared" si="223"/>
        <v>1.3536379018612488E-2</v>
      </c>
      <c r="R260" s="24">
        <f t="shared" si="223"/>
        <v>-0.11193339500462529</v>
      </c>
      <c r="S260" s="24">
        <f t="shared" si="223"/>
        <v>-6.2353858144973406E-3</v>
      </c>
      <c r="T260" s="24">
        <f t="shared" si="223"/>
        <v>-5.3704962610469087E-2</v>
      </c>
    </row>
    <row r="261" spans="1:20" x14ac:dyDescent="0.25">
      <c r="A261" s="53">
        <f>Data1!A220</f>
        <v>44166</v>
      </c>
      <c r="B261">
        <f>IF(ISBLANK(Data1!B220),NA(),Data1!B220)</f>
        <v>115.1</v>
      </c>
      <c r="C261">
        <f>IF(ISBLANK(Data1!E220),NA(),Data1!E220)</f>
        <v>120.3</v>
      </c>
      <c r="D261">
        <f>IF(ISBLANK(Data1!AJ220),NA(),Data1!AJ220)</f>
        <v>96.3</v>
      </c>
      <c r="E261">
        <f>IF(ISBLANK(Data1!BJ220),NA(),Data1!BJ220)</f>
        <v>126.4</v>
      </c>
      <c r="F261">
        <f>IF(ISBLANK(Data1!BK220),NA(),Data1!BK220)</f>
        <v>140</v>
      </c>
      <c r="H261" s="53">
        <f t="shared" si="203"/>
        <v>44166</v>
      </c>
      <c r="I261">
        <f t="shared" si="204"/>
        <v>1065.7407407407406</v>
      </c>
      <c r="J261" cm="1">
        <f t="array" ref="J261">IF(ISNA(C261),NA(),C261/INDEX($C$52:$C$282,MATCH(TRUE,INDEX(NOT(ISNA($C$52:$C$282)),0),0))*100)</f>
        <v>229.14285714285714</v>
      </c>
      <c r="K261" cm="1">
        <f t="array" ref="K261">IF(ISNA(D261),NA(),D261/INDEX($D$52:$D$282,MATCH(TRUE,INDEX(NOT(ISNA($D$52:$D$282)),0),0))*100)</f>
        <v>151.89274447949526</v>
      </c>
      <c r="L261">
        <f t="shared" si="205"/>
        <v>706.14525139664806</v>
      </c>
      <c r="M261">
        <f t="shared" si="206"/>
        <v>1186.4406779661015</v>
      </c>
      <c r="O261" s="53">
        <f t="shared" si="211"/>
        <v>44166</v>
      </c>
      <c r="P261" s="24">
        <f t="shared" ref="P261:T261" si="224">IFERROR(IF(OR(ISNA(B261),ISNA(B257)),NA(),B261/B257-1),NA())</f>
        <v>1.1423550087873435E-2</v>
      </c>
      <c r="Q261" s="24">
        <f t="shared" si="224"/>
        <v>3.0848329048843048E-2</v>
      </c>
      <c r="R261" s="24">
        <f t="shared" si="224"/>
        <v>-0.10998151571164516</v>
      </c>
      <c r="S261" s="24">
        <f t="shared" si="224"/>
        <v>-3.9401103230890522E-3</v>
      </c>
      <c r="T261" s="24">
        <f t="shared" si="224"/>
        <v>-8.076165462902174E-2</v>
      </c>
    </row>
    <row r="262" spans="1:20" x14ac:dyDescent="0.25">
      <c r="A262" s="53">
        <f>Data1!A221</f>
        <v>44256</v>
      </c>
      <c r="B262">
        <f>IF(ISBLANK(Data1!B221),NA(),Data1!B221)</f>
        <v>117.6</v>
      </c>
      <c r="C262">
        <f>IF(ISBLANK(Data1!E221),NA(),Data1!E221)</f>
        <v>121.8</v>
      </c>
      <c r="D262">
        <f>IF(ISBLANK(Data1!AJ221),NA(),Data1!AJ221)</f>
        <v>101.8</v>
      </c>
      <c r="E262">
        <f>IF(ISBLANK(Data1!BJ221),NA(),Data1!BJ221)</f>
        <v>123.1</v>
      </c>
      <c r="F262">
        <f>IF(ISBLANK(Data1!BK221),NA(),Data1!BK221)</f>
        <v>135.19999999999999</v>
      </c>
      <c r="H262" s="53">
        <f t="shared" si="203"/>
        <v>44256</v>
      </c>
      <c r="I262">
        <f t="shared" si="204"/>
        <v>1088.8888888888887</v>
      </c>
      <c r="J262" cm="1">
        <f t="array" ref="J262">IF(ISNA(C262),NA(),C262/INDEX($C$52:$C$282,MATCH(TRUE,INDEX(NOT(ISNA($C$52:$C$282)),0),0))*100)</f>
        <v>231.99999999999997</v>
      </c>
      <c r="K262" cm="1">
        <f t="array" ref="K262">IF(ISNA(D262),NA(),D262/INDEX($D$52:$D$282,MATCH(TRUE,INDEX(NOT(ISNA($D$52:$D$282)),0),0))*100)</f>
        <v>160.56782334384857</v>
      </c>
      <c r="L262">
        <f t="shared" si="205"/>
        <v>687.70949720670387</v>
      </c>
      <c r="M262">
        <f t="shared" si="206"/>
        <v>1145.7627118644066</v>
      </c>
      <c r="O262" s="53">
        <f t="shared" si="211"/>
        <v>44256</v>
      </c>
      <c r="P262" s="24">
        <f t="shared" ref="P262:T262" si="225">IFERROR(IF(OR(ISNA(B262),ISNA(B258)),NA(),B262/B258-1),NA())</f>
        <v>1.8181818181818077E-2</v>
      </c>
      <c r="Q262" s="24">
        <f t="shared" si="225"/>
        <v>2.0955574182732528E-2</v>
      </c>
      <c r="R262" s="24">
        <f t="shared" si="225"/>
        <v>-5.390334572490707E-2</v>
      </c>
      <c r="S262" s="24">
        <f t="shared" si="225"/>
        <v>-3.9032006245121043E-2</v>
      </c>
      <c r="T262" s="24">
        <f t="shared" si="225"/>
        <v>-0.1659469463294263</v>
      </c>
    </row>
    <row r="263" spans="1:20" x14ac:dyDescent="0.25">
      <c r="A263" s="53">
        <f>Data1!A222</f>
        <v>44348</v>
      </c>
      <c r="B263">
        <f>IF(ISBLANK(Data1!B222),NA(),Data1!B222)</f>
        <v>122</v>
      </c>
      <c r="C263">
        <f>IF(ISBLANK(Data1!E222),NA(),Data1!E222)</f>
        <v>126.1</v>
      </c>
      <c r="D263">
        <f>IF(ISBLANK(Data1!AJ222),NA(),Data1!AJ222)</f>
        <v>100.7</v>
      </c>
      <c r="E263">
        <f>IF(ISBLANK(Data1!BJ222),NA(),Data1!BJ222)</f>
        <v>119</v>
      </c>
      <c r="F263">
        <f>IF(ISBLANK(Data1!BK222),NA(),Data1!BK222)</f>
        <v>131.19999999999999</v>
      </c>
      <c r="H263" s="53">
        <f t="shared" si="203"/>
        <v>44348</v>
      </c>
      <c r="I263">
        <f t="shared" si="204"/>
        <v>1129.6296296296296</v>
      </c>
      <c r="J263" cm="1">
        <f t="array" ref="J263">IF(ISNA(C263),NA(),C263/INDEX($C$52:$C$282,MATCH(TRUE,INDEX(NOT(ISNA($C$52:$C$282)),0),0))*100)</f>
        <v>240.1904761904762</v>
      </c>
      <c r="K263" cm="1">
        <f t="array" ref="K263">IF(ISNA(D263),NA(),D263/INDEX($D$52:$D$282,MATCH(TRUE,INDEX(NOT(ISNA($D$52:$D$282)),0),0))*100)</f>
        <v>158.83280757097793</v>
      </c>
      <c r="L263">
        <f t="shared" si="205"/>
        <v>664.80446927374305</v>
      </c>
      <c r="M263">
        <f t="shared" si="206"/>
        <v>1111.8644067796608</v>
      </c>
      <c r="O263" s="53">
        <f t="shared" si="211"/>
        <v>44348</v>
      </c>
      <c r="P263" s="24">
        <f t="shared" ref="P263:T263" si="226">IFERROR(IF(OR(ISNA(B263),ISNA(B259)),NA(),B263/B259-1),NA())</f>
        <v>6.5502183406113579E-2</v>
      </c>
      <c r="Q263" s="24">
        <f t="shared" si="226"/>
        <v>4.647302904564321E-2</v>
      </c>
      <c r="R263" s="24">
        <f t="shared" si="226"/>
        <v>-8.8582677165353063E-3</v>
      </c>
      <c r="S263" s="24">
        <f t="shared" si="226"/>
        <v>-7.1038251366120186E-2</v>
      </c>
      <c r="T263" s="24">
        <f t="shared" si="226"/>
        <v>-7.2135785007072295E-2</v>
      </c>
    </row>
    <row r="264" spans="1:20" x14ac:dyDescent="0.25">
      <c r="A264" s="53">
        <f>Data1!A223</f>
        <v>44440</v>
      </c>
      <c r="B264">
        <f>IF(ISBLANK(Data1!B223),NA(),Data1!B223)</f>
        <v>127.6</v>
      </c>
      <c r="C264">
        <f>IF(ISBLANK(Data1!E223),NA(),Data1!E223)</f>
        <v>131.30000000000001</v>
      </c>
      <c r="D264">
        <f>IF(ISBLANK(Data1!AJ223),NA(),Data1!AJ223)</f>
        <v>105.7</v>
      </c>
      <c r="E264">
        <f>IF(ISBLANK(Data1!BJ223),NA(),Data1!BJ223)</f>
        <v>124.9</v>
      </c>
      <c r="F264">
        <f>IF(ISBLANK(Data1!BK223),NA(),Data1!BK223)</f>
        <v>136.1</v>
      </c>
      <c r="H264" s="53">
        <f t="shared" si="203"/>
        <v>44440</v>
      </c>
      <c r="I264">
        <f t="shared" si="204"/>
        <v>1181.4814814814813</v>
      </c>
      <c r="J264" cm="1">
        <f t="array" ref="J264">IF(ISNA(C264),NA(),C264/INDEX($C$52:$C$282,MATCH(TRUE,INDEX(NOT(ISNA($C$52:$C$282)),0),0))*100)</f>
        <v>250.0952380952381</v>
      </c>
      <c r="K264" cm="1">
        <f t="array" ref="K264">IF(ISNA(D264),NA(),D264/INDEX($D$52:$D$282,MATCH(TRUE,INDEX(NOT(ISNA($D$52:$D$282)),0),0))*100)</f>
        <v>166.71924290220821</v>
      </c>
      <c r="L264">
        <f t="shared" si="205"/>
        <v>697.76536312849169</v>
      </c>
      <c r="M264">
        <f t="shared" si="206"/>
        <v>1153.3898305084745</v>
      </c>
      <c r="O264" s="53">
        <f t="shared" si="211"/>
        <v>44440</v>
      </c>
      <c r="P264" s="24">
        <f t="shared" ref="P264:T264" si="227">IFERROR(IF(OR(ISNA(B264),ISNA(B260)),NA(),B264/B260-1),NA())</f>
        <v>0.1124673060156931</v>
      </c>
      <c r="Q264" s="24">
        <f t="shared" si="227"/>
        <v>9.5993322203672848E-2</v>
      </c>
      <c r="R264" s="24">
        <f t="shared" si="227"/>
        <v>0.1010416666666667</v>
      </c>
      <c r="S264" s="24">
        <f t="shared" si="227"/>
        <v>-2.0392156862745092E-2</v>
      </c>
      <c r="T264" s="24">
        <f t="shared" si="227"/>
        <v>-2.2270114942528729E-2</v>
      </c>
    </row>
    <row r="265" spans="1:20" x14ac:dyDescent="0.25">
      <c r="A265" s="53">
        <f>Data1!A224</f>
        <v>44531</v>
      </c>
      <c r="B265">
        <f>IF(ISBLANK(Data1!B224),NA(),Data1!B224)</f>
        <v>131.19999999999999</v>
      </c>
      <c r="C265">
        <f>IF(ISBLANK(Data1!E224),NA(),Data1!E224)</f>
        <v>134.6</v>
      </c>
      <c r="D265">
        <f>IF(ISBLANK(Data1!AJ224),NA(),Data1!AJ224)</f>
        <v>110.2</v>
      </c>
      <c r="E265">
        <f>IF(ISBLANK(Data1!BJ224),NA(),Data1!BJ224)</f>
        <v>122.8</v>
      </c>
      <c r="F265">
        <f>IF(ISBLANK(Data1!BK224),NA(),Data1!BK224)</f>
        <v>135</v>
      </c>
      <c r="H265" s="53">
        <f t="shared" si="203"/>
        <v>44531</v>
      </c>
      <c r="I265">
        <f t="shared" si="204"/>
        <v>1214.8148148148148</v>
      </c>
      <c r="J265" cm="1">
        <f t="array" ref="J265">IF(ISNA(C265),NA(),C265/INDEX($C$52:$C$282,MATCH(TRUE,INDEX(NOT(ISNA($C$52:$C$282)),0),0))*100)</f>
        <v>256.38095238095235</v>
      </c>
      <c r="K265" cm="1">
        <f t="array" ref="K265">IF(ISNA(D265),NA(),D265/INDEX($D$52:$D$282,MATCH(TRUE,INDEX(NOT(ISNA($D$52:$D$282)),0),0))*100)</f>
        <v>173.81703470031547</v>
      </c>
      <c r="L265">
        <f t="shared" si="205"/>
        <v>686.03351955307267</v>
      </c>
      <c r="M265">
        <f t="shared" si="206"/>
        <v>1144.0677966101694</v>
      </c>
      <c r="O265" s="53">
        <f t="shared" si="211"/>
        <v>44531</v>
      </c>
      <c r="P265" s="24">
        <f t="shared" ref="P265:T265" si="228">IFERROR(IF(OR(ISNA(B265),ISNA(B261)),NA(),B265/B261-1),NA())</f>
        <v>0.13987836663770636</v>
      </c>
      <c r="Q265" s="24">
        <f t="shared" si="228"/>
        <v>0.1188694929343308</v>
      </c>
      <c r="R265" s="24">
        <f t="shared" si="228"/>
        <v>0.1443406022845275</v>
      </c>
      <c r="S265" s="24">
        <f t="shared" si="228"/>
        <v>-2.8481012658227889E-2</v>
      </c>
      <c r="T265" s="24">
        <f t="shared" si="228"/>
        <v>-3.5714285714285698E-2</v>
      </c>
    </row>
    <row r="266" spans="1:20" x14ac:dyDescent="0.25">
      <c r="A266" s="53">
        <f>Data1!A225</f>
        <v>44621</v>
      </c>
      <c r="B266">
        <f>IF(ISBLANK(Data1!B225),NA(),Data1!B225)</f>
        <v>139.30000000000001</v>
      </c>
      <c r="C266">
        <f>IF(ISBLANK(Data1!E225),NA(),Data1!E225)</f>
        <v>141.6</v>
      </c>
      <c r="D266">
        <f>IF(ISBLANK(Data1!AJ225),NA(),Data1!AJ225)</f>
        <v>116.5</v>
      </c>
      <c r="E266">
        <f>IF(ISBLANK(Data1!BJ225),NA(),Data1!BJ225)</f>
        <v>130.5</v>
      </c>
      <c r="F266">
        <f>IF(ISBLANK(Data1!BK225),NA(),Data1!BK225)</f>
        <v>141.19999999999999</v>
      </c>
      <c r="H266" s="53">
        <f t="shared" si="203"/>
        <v>44621</v>
      </c>
      <c r="I266">
        <f t="shared" si="204"/>
        <v>1289.8148148148148</v>
      </c>
      <c r="J266" cm="1">
        <f t="array" ref="J266">IF(ISNA(C266),NA(),C266/INDEX($C$52:$C$282,MATCH(TRUE,INDEX(NOT(ISNA($C$52:$C$282)),0),0))*100)</f>
        <v>269.71428571428572</v>
      </c>
      <c r="K266" cm="1">
        <f t="array" ref="K266">IF(ISNA(D266),NA(),D266/INDEX($D$52:$D$282,MATCH(TRUE,INDEX(NOT(ISNA($D$52:$D$282)),0),0))*100)</f>
        <v>183.75394321766564</v>
      </c>
      <c r="L266">
        <f t="shared" si="205"/>
        <v>729.050279329609</v>
      </c>
      <c r="M266">
        <f t="shared" si="206"/>
        <v>1196.6101694915253</v>
      </c>
      <c r="O266" s="53">
        <f t="shared" si="211"/>
        <v>44621</v>
      </c>
      <c r="P266" s="24">
        <f t="shared" ref="P266:T266" si="229">IFERROR(IF(OR(ISNA(B266),ISNA(B262)),NA(),B266/B262-1),NA())</f>
        <v>0.18452380952380976</v>
      </c>
      <c r="Q266" s="24">
        <f t="shared" si="229"/>
        <v>0.16256157635467972</v>
      </c>
      <c r="R266" s="24">
        <f t="shared" si="229"/>
        <v>0.14440078585461702</v>
      </c>
      <c r="S266" s="24">
        <f t="shared" si="229"/>
        <v>6.0113728675873279E-2</v>
      </c>
      <c r="T266" s="24">
        <f t="shared" si="229"/>
        <v>4.4378698224851965E-2</v>
      </c>
    </row>
    <row r="267" spans="1:20" x14ac:dyDescent="0.25">
      <c r="A267" s="53">
        <f>Data1!A226</f>
        <v>44713</v>
      </c>
      <c r="B267">
        <f>IF(ISBLANK(Data1!B226),NA(),Data1!B226)</f>
        <v>143.6</v>
      </c>
      <c r="C267">
        <f>IF(ISBLANK(Data1!E226),NA(),Data1!E226)</f>
        <v>145.80000000000001</v>
      </c>
      <c r="D267">
        <f>IF(ISBLANK(Data1!AJ226),NA(),Data1!AJ226)</f>
        <v>118.9</v>
      </c>
      <c r="E267">
        <f>IF(ISBLANK(Data1!BJ226),NA(),Data1!BJ226)</f>
        <v>131.69999999999999</v>
      </c>
      <c r="F267">
        <f>IF(ISBLANK(Data1!BK226),NA(),Data1!BK226)</f>
        <v>147.5</v>
      </c>
      <c r="H267" s="53">
        <f t="shared" si="203"/>
        <v>44713</v>
      </c>
      <c r="I267">
        <f t="shared" si="204"/>
        <v>1329.6296296296293</v>
      </c>
      <c r="J267" cm="1">
        <f t="array" ref="J267">IF(ISNA(C267),NA(),C267/INDEX($C$52:$C$282,MATCH(TRUE,INDEX(NOT(ISNA($C$52:$C$282)),0),0))*100)</f>
        <v>277.71428571428578</v>
      </c>
      <c r="K267" cm="1">
        <f t="array" ref="K267">IF(ISNA(D267),NA(),D267/INDEX($D$52:$D$282,MATCH(TRUE,INDEX(NOT(ISNA($D$52:$D$282)),0),0))*100)</f>
        <v>187.53943217665616</v>
      </c>
      <c r="L267">
        <f t="shared" si="205"/>
        <v>735.75418994413405</v>
      </c>
      <c r="M267">
        <f t="shared" si="206"/>
        <v>1250</v>
      </c>
      <c r="O267" s="53">
        <f t="shared" si="211"/>
        <v>44713</v>
      </c>
      <c r="P267" s="24">
        <f t="shared" ref="P267:T267" si="230">IFERROR(IF(OR(ISNA(B267),ISNA(B263)),NA(),B267/B263-1),NA())</f>
        <v>0.17704918032786887</v>
      </c>
      <c r="Q267" s="24">
        <f t="shared" si="230"/>
        <v>0.1562252180808883</v>
      </c>
      <c r="R267" s="24">
        <f t="shared" si="230"/>
        <v>0.18073485600794448</v>
      </c>
      <c r="S267" s="24">
        <f t="shared" si="230"/>
        <v>0.10672268907563009</v>
      </c>
      <c r="T267" s="24">
        <f t="shared" si="230"/>
        <v>0.12423780487804881</v>
      </c>
    </row>
    <row r="268" spans="1:20" x14ac:dyDescent="0.25">
      <c r="A268" s="53">
        <f>Data1!A227</f>
        <v>44805</v>
      </c>
      <c r="B268">
        <f>IF(ISBLANK(Data1!B227),NA(),Data1!B227)</f>
        <v>145.80000000000001</v>
      </c>
      <c r="C268">
        <f>IF(ISBLANK(Data1!E227),NA(),Data1!E227)</f>
        <v>147.80000000000001</v>
      </c>
      <c r="D268">
        <f>IF(ISBLANK(Data1!AJ227),NA(),Data1!AJ227)</f>
        <v>123.5</v>
      </c>
      <c r="E268">
        <f>IF(ISBLANK(Data1!BJ227),NA(),Data1!BJ227)</f>
        <v>182.6</v>
      </c>
      <c r="F268">
        <f>IF(ISBLANK(Data1!BK227),NA(),Data1!BK227)</f>
        <v>167.7</v>
      </c>
      <c r="H268" s="53">
        <f t="shared" si="203"/>
        <v>44805</v>
      </c>
      <c r="I268">
        <f t="shared" si="204"/>
        <v>1350</v>
      </c>
      <c r="J268" cm="1">
        <f t="array" ref="J268">IF(ISNA(C268),NA(),C268/INDEX($C$52:$C$282,MATCH(TRUE,INDEX(NOT(ISNA($C$52:$C$282)),0),0))*100)</f>
        <v>281.52380952380958</v>
      </c>
      <c r="K268" cm="1">
        <f t="array" ref="K268">IF(ISNA(D268),NA(),D268/INDEX($D$52:$D$282,MATCH(TRUE,INDEX(NOT(ISNA($D$52:$D$282)),0),0))*100)</f>
        <v>194.79495268138803</v>
      </c>
      <c r="L268">
        <f t="shared" si="205"/>
        <v>1020.1117318435754</v>
      </c>
      <c r="M268">
        <f t="shared" si="206"/>
        <v>1421.1864406779659</v>
      </c>
      <c r="O268" s="53">
        <f t="shared" si="211"/>
        <v>44805</v>
      </c>
      <c r="P268" s="24">
        <f t="shared" ref="P268:T268" si="231">IFERROR(IF(OR(ISNA(B268),ISNA(B264)),NA(),B268/B264-1),NA())</f>
        <v>0.14263322884012553</v>
      </c>
      <c r="Q268" s="24">
        <f t="shared" si="231"/>
        <v>0.12566641279512569</v>
      </c>
      <c r="R268" s="24">
        <f t="shared" si="231"/>
        <v>0.16840113528855238</v>
      </c>
      <c r="S268" s="24">
        <f t="shared" si="231"/>
        <v>0.46196957566052821</v>
      </c>
      <c r="T268" s="24">
        <f t="shared" si="231"/>
        <v>0.23218221895664959</v>
      </c>
    </row>
    <row r="269" spans="1:20" x14ac:dyDescent="0.25">
      <c r="A269" s="53">
        <f>Data1!A228</f>
        <v>44896</v>
      </c>
      <c r="B269">
        <f>IF(ISBLANK(Data1!B228),NA(),Data1!B228)</f>
        <v>145.4</v>
      </c>
      <c r="C269">
        <f>IF(ISBLANK(Data1!E228),NA(),Data1!E228)</f>
        <v>147.6</v>
      </c>
      <c r="D269">
        <f>IF(ISBLANK(Data1!AJ228),NA(),Data1!AJ228)</f>
        <v>134.30000000000001</v>
      </c>
      <c r="E269">
        <f>IF(ISBLANK(Data1!BJ228),NA(),Data1!BJ228)</f>
        <v>148.19999999999999</v>
      </c>
      <c r="F269">
        <f>IF(ISBLANK(Data1!BK228),NA(),Data1!BK228)</f>
        <v>152.4</v>
      </c>
      <c r="H269" s="53">
        <f t="shared" si="203"/>
        <v>44896</v>
      </c>
      <c r="I269">
        <f t="shared" si="204"/>
        <v>1346.2962962962961</v>
      </c>
      <c r="J269" cm="1">
        <f t="array" ref="J269">IF(ISNA(C269),NA(),C269/INDEX($C$52:$C$282,MATCH(TRUE,INDEX(NOT(ISNA($C$52:$C$282)),0),0))*100)</f>
        <v>281.14285714285711</v>
      </c>
      <c r="K269" cm="1">
        <f t="array" ref="K269">IF(ISNA(D269),NA(),D269/INDEX($D$52:$D$282,MATCH(TRUE,INDEX(NOT(ISNA($D$52:$D$282)),0),0))*100)</f>
        <v>211.82965299684545</v>
      </c>
      <c r="L269">
        <f t="shared" si="205"/>
        <v>827.93296089385478</v>
      </c>
      <c r="M269">
        <f t="shared" si="206"/>
        <v>1291.5254237288134</v>
      </c>
      <c r="O269" s="53">
        <f t="shared" si="211"/>
        <v>44896</v>
      </c>
      <c r="P269" s="24">
        <f t="shared" ref="P269:T269" si="232">IFERROR(IF(OR(ISNA(B269),ISNA(B265)),NA(),B269/B265-1),NA())</f>
        <v>0.10823170731707332</v>
      </c>
      <c r="Q269" s="24">
        <f t="shared" si="232"/>
        <v>9.6582466567607828E-2</v>
      </c>
      <c r="R269" s="24">
        <f t="shared" si="232"/>
        <v>0.2186932849364791</v>
      </c>
      <c r="S269" s="24">
        <f t="shared" si="232"/>
        <v>0.2068403908794787</v>
      </c>
      <c r="T269" s="24">
        <f t="shared" si="232"/>
        <v>0.12888888888888883</v>
      </c>
    </row>
    <row r="270" spans="1:20" x14ac:dyDescent="0.25">
      <c r="A270" s="53">
        <f>Data1!A229</f>
        <v>44986</v>
      </c>
      <c r="B270">
        <f>IF(ISBLANK(Data1!B229),NA(),Data1!B229)</f>
        <v>144.9</v>
      </c>
      <c r="C270">
        <f>IF(ISBLANK(Data1!E229),NA(),Data1!E229)</f>
        <v>148.19999999999999</v>
      </c>
      <c r="D270">
        <f>IF(ISBLANK(Data1!AJ229),NA(),Data1!AJ229)</f>
        <v>125.8</v>
      </c>
      <c r="E270">
        <f>IF(ISBLANK(Data1!BJ229),NA(),Data1!BJ229)</f>
        <v>189.8</v>
      </c>
      <c r="F270">
        <f>IF(ISBLANK(Data1!BK229),NA(),Data1!BK229)</f>
        <v>150.1</v>
      </c>
      <c r="H270" s="53">
        <f t="shared" si="203"/>
        <v>44986</v>
      </c>
      <c r="I270">
        <f t="shared" si="204"/>
        <v>1341.6666666666665</v>
      </c>
      <c r="J270" cm="1">
        <f t="array" ref="J270">IF(ISNA(C270),NA(),C270/INDEX($C$52:$C$282,MATCH(TRUE,INDEX(NOT(ISNA($C$52:$C$282)),0),0))*100)</f>
        <v>282.28571428571428</v>
      </c>
      <c r="K270" cm="1">
        <f t="array" ref="K270">IF(ISNA(D270),NA(),D270/INDEX($D$52:$D$282,MATCH(TRUE,INDEX(NOT(ISNA($D$52:$D$282)),0),0))*100)</f>
        <v>198.42271293375396</v>
      </c>
      <c r="L270">
        <f t="shared" si="205"/>
        <v>1060.3351955307264</v>
      </c>
      <c r="M270">
        <f t="shared" si="206"/>
        <v>1272.0338983050847</v>
      </c>
      <c r="O270" s="53">
        <f t="shared" si="211"/>
        <v>44986</v>
      </c>
      <c r="P270" s="24">
        <f t="shared" ref="P270:T270" si="233">IFERROR(IF(OR(ISNA(B270),ISNA(B266)),NA(),B270/B266-1),NA())</f>
        <v>4.020100502512558E-2</v>
      </c>
      <c r="Q270" s="24">
        <f t="shared" si="233"/>
        <v>4.66101694915253E-2</v>
      </c>
      <c r="R270" s="24">
        <f t="shared" si="233"/>
        <v>7.9828326180257481E-2</v>
      </c>
      <c r="S270" s="24">
        <f t="shared" si="233"/>
        <v>0.45440613026819943</v>
      </c>
      <c r="T270" s="24">
        <f t="shared" si="233"/>
        <v>6.3031161473087849E-2</v>
      </c>
    </row>
    <row r="271" spans="1:20" x14ac:dyDescent="0.25">
      <c r="A271" s="53">
        <f>Data1!A230</f>
        <v>45078</v>
      </c>
      <c r="B271">
        <f>IF(ISBLANK(Data1!B230),NA(),Data1!B230)</f>
        <v>144.6</v>
      </c>
      <c r="C271">
        <f>IF(ISBLANK(Data1!E230),NA(),Data1!E230)</f>
        <v>148.30000000000001</v>
      </c>
      <c r="D271">
        <f>IF(ISBLANK(Data1!AJ230),NA(),Data1!AJ230)</f>
        <v>124.7</v>
      </c>
      <c r="E271">
        <f>IF(ISBLANK(Data1!BJ230),NA(),Data1!BJ230)</f>
        <v>195.3</v>
      </c>
      <c r="F271">
        <f>IF(ISBLANK(Data1!BK230),NA(),Data1!BK230)</f>
        <v>154.69999999999999</v>
      </c>
      <c r="H271" s="53">
        <f t="shared" si="203"/>
        <v>45078</v>
      </c>
      <c r="I271">
        <f t="shared" si="204"/>
        <v>1338.8888888888887</v>
      </c>
      <c r="J271" cm="1">
        <f t="array" ref="J271">IF(ISNA(C271),NA(),C271/INDEX($C$52:$C$282,MATCH(TRUE,INDEX(NOT(ISNA($C$52:$C$282)),0),0))*100)</f>
        <v>282.47619047619048</v>
      </c>
      <c r="K271" cm="1">
        <f t="array" ref="K271">IF(ISNA(D271),NA(),D271/INDEX($D$52:$D$282,MATCH(TRUE,INDEX(NOT(ISNA($D$52:$D$282)),0),0))*100)</f>
        <v>196.68769716088329</v>
      </c>
      <c r="L271">
        <f t="shared" si="205"/>
        <v>1091.0614525139665</v>
      </c>
      <c r="M271">
        <f t="shared" si="206"/>
        <v>1311.0169491525421</v>
      </c>
      <c r="O271" s="53">
        <f t="shared" si="211"/>
        <v>45078</v>
      </c>
      <c r="P271" s="24">
        <f t="shared" ref="P271:T271" si="234">IFERROR(IF(OR(ISNA(B271),ISNA(B267)),NA(),B271/B267-1),NA())</f>
        <v>6.9637883008355494E-3</v>
      </c>
      <c r="Q271" s="24">
        <f t="shared" si="234"/>
        <v>1.7146776406035569E-2</v>
      </c>
      <c r="R271" s="24">
        <f t="shared" si="234"/>
        <v>4.8780487804878092E-2</v>
      </c>
      <c r="S271" s="24">
        <f t="shared" si="234"/>
        <v>0.48291571753986351</v>
      </c>
      <c r="T271" s="24">
        <f t="shared" si="234"/>
        <v>4.8813559322033795E-2</v>
      </c>
    </row>
    <row r="272" spans="1:20" x14ac:dyDescent="0.25">
      <c r="A272" s="53">
        <f>Data1!A231</f>
        <v>45170</v>
      </c>
      <c r="B272">
        <f>IF(ISBLANK(Data1!B231),NA(),Data1!B231)</f>
        <v>142.1</v>
      </c>
      <c r="C272">
        <f>IF(ISBLANK(Data1!E231),NA(),Data1!E231)</f>
        <v>145.19999999999999</v>
      </c>
      <c r="D272">
        <f>IF(ISBLANK(Data1!AJ231),NA(),Data1!AJ231)</f>
        <v>126.8</v>
      </c>
      <c r="E272">
        <f>IF(ISBLANK(Data1!BJ231),NA(),Data1!BJ231)</f>
        <v>198.2</v>
      </c>
      <c r="F272">
        <f>IF(ISBLANK(Data1!BK231),NA(),Data1!BK231)</f>
        <v>148.1</v>
      </c>
      <c r="H272" s="53">
        <f t="shared" si="203"/>
        <v>45170</v>
      </c>
      <c r="I272">
        <f t="shared" si="204"/>
        <v>1315.7407407407406</v>
      </c>
      <c r="J272" cm="1">
        <f t="array" ref="J272">IF(ISNA(C272),NA(),C272/INDEX($C$52:$C$282,MATCH(TRUE,INDEX(NOT(ISNA($C$52:$C$282)),0),0))*100)</f>
        <v>276.57142857142856</v>
      </c>
      <c r="K272" cm="1">
        <f t="array" ref="K272">IF(ISNA(D272),NA(),D272/INDEX($D$52:$D$282,MATCH(TRUE,INDEX(NOT(ISNA($D$52:$D$282)),0),0))*100)</f>
        <v>200</v>
      </c>
      <c r="L272">
        <f t="shared" si="205"/>
        <v>1107.2625698324023</v>
      </c>
      <c r="M272">
        <f t="shared" si="206"/>
        <v>1255.0847457627117</v>
      </c>
      <c r="O272" s="53">
        <f t="shared" si="211"/>
        <v>45170</v>
      </c>
      <c r="P272" s="24">
        <f t="shared" ref="P272:T272" si="235">IFERROR(IF(OR(ISNA(B272),ISNA(B268)),NA(),B272/B268-1),NA())</f>
        <v>-2.5377229080932873E-2</v>
      </c>
      <c r="Q272" s="24">
        <f t="shared" si="235"/>
        <v>-1.7591339648173387E-2</v>
      </c>
      <c r="R272" s="24">
        <f t="shared" si="235"/>
        <v>2.6720647773279316E-2</v>
      </c>
      <c r="S272" s="24">
        <f t="shared" si="235"/>
        <v>8.5432639649507092E-2</v>
      </c>
      <c r="T272" s="24">
        <f t="shared" si="235"/>
        <v>-0.11687537268932613</v>
      </c>
    </row>
    <row r="273" spans="1:20" x14ac:dyDescent="0.25">
      <c r="A273" s="53">
        <f>Data1!A232</f>
        <v>45261</v>
      </c>
      <c r="B273">
        <f>IF(ISBLANK(Data1!B232),NA(),Data1!B232)</f>
        <v>142.5</v>
      </c>
      <c r="C273">
        <f>IF(ISBLANK(Data1!E232),NA(),Data1!E232)</f>
        <v>145</v>
      </c>
      <c r="D273">
        <f>IF(ISBLANK(Data1!AJ232),NA(),Data1!AJ232)</f>
        <v>132</v>
      </c>
      <c r="E273">
        <f>IF(ISBLANK(Data1!BJ232),NA(),Data1!BJ232)</f>
        <v>188.4</v>
      </c>
      <c r="F273">
        <f>IF(ISBLANK(Data1!BK232),NA(),Data1!BK232)</f>
        <v>145.9</v>
      </c>
      <c r="H273" s="53">
        <f t="shared" si="203"/>
        <v>45261</v>
      </c>
      <c r="I273">
        <f t="shared" si="204"/>
        <v>1319.4444444444443</v>
      </c>
      <c r="J273" cm="1">
        <f t="array" ref="J273">IF(ISNA(C273),NA(),C273/INDEX($C$52:$C$282,MATCH(TRUE,INDEX(NOT(ISNA($C$52:$C$282)),0),0))*100)</f>
        <v>276.1904761904762</v>
      </c>
      <c r="K273" cm="1">
        <f t="array" ref="K273">IF(ISNA(D273),NA(),D273/INDEX($D$52:$D$282,MATCH(TRUE,INDEX(NOT(ISNA($D$52:$D$282)),0),0))*100)</f>
        <v>208.20189274447949</v>
      </c>
      <c r="L273">
        <f t="shared" si="205"/>
        <v>1052.5139664804469</v>
      </c>
      <c r="M273">
        <f t="shared" si="206"/>
        <v>1236.4406779661017</v>
      </c>
      <c r="O273" s="53">
        <f t="shared" si="211"/>
        <v>45261</v>
      </c>
      <c r="P273" s="24">
        <f t="shared" ref="P273:T273" si="236">IFERROR(IF(OR(ISNA(B273),ISNA(B269)),NA(),B273/B269-1),NA())</f>
        <v>-1.9944979367262805E-2</v>
      </c>
      <c r="Q273" s="24">
        <f t="shared" si="236"/>
        <v>-1.7615176151761447E-2</v>
      </c>
      <c r="R273" s="24">
        <f t="shared" si="236"/>
        <v>-1.7125837676842948E-2</v>
      </c>
      <c r="S273" s="24">
        <f t="shared" si="236"/>
        <v>0.27125506072874517</v>
      </c>
      <c r="T273" s="24">
        <f t="shared" si="236"/>
        <v>-4.2650918635170565E-2</v>
      </c>
    </row>
    <row r="274" spans="1:20" x14ac:dyDescent="0.25">
      <c r="A274" s="53">
        <f>Data1!A233</f>
        <v>45352</v>
      </c>
      <c r="B274">
        <f>IF(ISBLANK(Data1!B233),NA(),Data1!B233)</f>
        <v>143.6</v>
      </c>
      <c r="C274">
        <f>IF(ISBLANK(Data1!E233),NA(),Data1!E233)</f>
        <v>146.6</v>
      </c>
      <c r="D274">
        <f>IF(ISBLANK(Data1!AJ233),NA(),Data1!AJ233)</f>
        <v>126.1</v>
      </c>
      <c r="E274">
        <f>IF(ISBLANK(Data1!BJ233),NA(),Data1!BJ233)</f>
        <v>191.9</v>
      </c>
      <c r="F274">
        <f>IF(ISBLANK(Data1!BK233),NA(),Data1!BK233)</f>
        <v>148.9</v>
      </c>
      <c r="H274" s="53">
        <f t="shared" si="203"/>
        <v>45352</v>
      </c>
      <c r="I274">
        <f t="shared" si="204"/>
        <v>1329.6296296296293</v>
      </c>
      <c r="J274" cm="1">
        <f t="array" ref="J274">IF(ISNA(C274),NA(),C274/INDEX($C$52:$C$282,MATCH(TRUE,INDEX(NOT(ISNA($C$52:$C$282)),0),0))*100)</f>
        <v>279.23809523809524</v>
      </c>
      <c r="K274" cm="1">
        <f t="array" ref="K274">IF(ISNA(D274),NA(),D274/INDEX($D$52:$D$282,MATCH(TRUE,INDEX(NOT(ISNA($D$52:$D$282)),0),0))*100)</f>
        <v>198.89589905362774</v>
      </c>
      <c r="L274">
        <f t="shared" si="205"/>
        <v>1072.0670391061453</v>
      </c>
      <c r="M274">
        <f t="shared" si="206"/>
        <v>1261.8644067796611</v>
      </c>
      <c r="O274" s="53">
        <f t="shared" si="211"/>
        <v>45352</v>
      </c>
      <c r="P274" s="24">
        <f t="shared" ref="P274:T274" si="237">IFERROR(IF(OR(ISNA(B274),ISNA(B270)),NA(),B274/B270-1),NA())</f>
        <v>-8.9717046238786402E-3</v>
      </c>
      <c r="Q274" s="24">
        <f t="shared" si="237"/>
        <v>-1.0796221322537103E-2</v>
      </c>
      <c r="R274" s="24">
        <f t="shared" si="237"/>
        <v>2.3847376788552754E-3</v>
      </c>
      <c r="S274" s="24">
        <f t="shared" si="237"/>
        <v>1.1064278187565835E-2</v>
      </c>
      <c r="T274" s="24">
        <f t="shared" si="237"/>
        <v>-7.9946702198533393E-3</v>
      </c>
    </row>
    <row r="275" spans="1:20" x14ac:dyDescent="0.25">
      <c r="A275" s="53">
        <f>Data1!A234</f>
        <v>45444</v>
      </c>
      <c r="B275">
        <f>IF(ISBLANK(Data1!B234),NA(),Data1!B234)</f>
        <v>146.80000000000001</v>
      </c>
      <c r="C275">
        <f>IF(ISBLANK(Data1!E234),NA(),Data1!E234)</f>
        <v>149.9</v>
      </c>
      <c r="D275">
        <f>IF(ISBLANK(Data1!AJ234),NA(),Data1!AJ234)</f>
        <v>128</v>
      </c>
      <c r="E275">
        <f>IF(ISBLANK(Data1!BJ234),NA(),Data1!BJ234)</f>
        <v>187.8</v>
      </c>
      <c r="F275">
        <f>IF(ISBLANK(Data1!BK234),NA(),Data1!BK234)</f>
        <v>147.5</v>
      </c>
      <c r="H275" s="53">
        <f t="shared" si="203"/>
        <v>45444</v>
      </c>
      <c r="I275">
        <f t="shared" si="204"/>
        <v>1359.2592592592594</v>
      </c>
      <c r="J275" cm="1">
        <f t="array" ref="J275">IF(ISNA(C275),NA(),C275/INDEX($C$52:$C$282,MATCH(TRUE,INDEX(NOT(ISNA($C$52:$C$282)),0),0))*100)</f>
        <v>285.52380952380952</v>
      </c>
      <c r="K275" cm="1">
        <f t="array" ref="K275">IF(ISNA(D275),NA(),D275/INDEX($D$52:$D$282,MATCH(TRUE,INDEX(NOT(ISNA($D$52:$D$282)),0),0))*100)</f>
        <v>201.89274447949526</v>
      </c>
      <c r="L275">
        <f t="shared" si="205"/>
        <v>1049.1620111731845</v>
      </c>
      <c r="M275">
        <f t="shared" si="206"/>
        <v>1250</v>
      </c>
      <c r="O275" s="53">
        <f t="shared" si="211"/>
        <v>45444</v>
      </c>
      <c r="P275" s="24">
        <f t="shared" ref="P275:T275" si="238">IFERROR(IF(OR(ISNA(B275),ISNA(B271)),NA(),B275/B271-1),NA())</f>
        <v>1.5214384508990486E-2</v>
      </c>
      <c r="Q275" s="24">
        <f t="shared" si="238"/>
        <v>1.0788941335131419E-2</v>
      </c>
      <c r="R275" s="24">
        <f t="shared" si="238"/>
        <v>2.6463512429831582E-2</v>
      </c>
      <c r="S275" s="24">
        <f t="shared" si="238"/>
        <v>-3.8402457757296449E-2</v>
      </c>
      <c r="T275" s="24">
        <f t="shared" si="238"/>
        <v>-4.6541693600517076E-2</v>
      </c>
    </row>
    <row r="276" spans="1:20" x14ac:dyDescent="0.25">
      <c r="A276" s="53">
        <f>Data1!A235</f>
        <v>45536</v>
      </c>
      <c r="B276">
        <f>IF(ISBLANK(Data1!B235),NA(),Data1!B235)</f>
        <v>147.5</v>
      </c>
      <c r="C276">
        <f>IF(ISBLANK(Data1!E235),NA(),Data1!E235)</f>
        <v>151.1</v>
      </c>
      <c r="D276">
        <f>IF(ISBLANK(Data1!AJ235),NA(),Data1!AJ235)</f>
        <v>124.6</v>
      </c>
      <c r="E276">
        <f>IF(ISBLANK(Data1!BJ235),NA(),Data1!BJ235)</f>
        <v>189.9</v>
      </c>
      <c r="F276">
        <f>IF(ISBLANK(Data1!BK235),NA(),Data1!BK235)</f>
        <v>155.1</v>
      </c>
      <c r="H276" s="53">
        <f t="shared" si="203"/>
        <v>45536</v>
      </c>
      <c r="I276">
        <f t="shared" si="204"/>
        <v>1365.7407407407406</v>
      </c>
      <c r="J276" cm="1">
        <f t="array" ref="J276">IF(ISNA(C276),NA(),C276/INDEX($C$52:$C$282,MATCH(TRUE,INDEX(NOT(ISNA($C$52:$C$282)),0),0))*100)</f>
        <v>287.8095238095238</v>
      </c>
      <c r="K276" cm="1">
        <f t="array" ref="K276">IF(ISNA(D276),NA(),D276/INDEX($D$52:$D$282,MATCH(TRUE,INDEX(NOT(ISNA($D$52:$D$282)),0),0))*100)</f>
        <v>196.52996845425866</v>
      </c>
      <c r="L276">
        <f t="shared" si="205"/>
        <v>1060.8938547486036</v>
      </c>
      <c r="M276">
        <f t="shared" si="206"/>
        <v>1314.4067796610168</v>
      </c>
      <c r="O276" s="53">
        <f t="shared" si="211"/>
        <v>45536</v>
      </c>
      <c r="P276" s="24">
        <f t="shared" ref="P276:T276" si="239">IFERROR(IF(OR(ISNA(B276),ISNA(B272)),NA(),B276/B272-1),NA())</f>
        <v>3.8001407459535619E-2</v>
      </c>
      <c r="Q276" s="24">
        <f t="shared" si="239"/>
        <v>4.0633608815427102E-2</v>
      </c>
      <c r="R276" s="24">
        <f t="shared" si="239"/>
        <v>-1.7350157728706628E-2</v>
      </c>
      <c r="S276" s="24">
        <f t="shared" si="239"/>
        <v>-4.1876892028254176E-2</v>
      </c>
      <c r="T276" s="24">
        <f t="shared" si="239"/>
        <v>4.726536124240388E-2</v>
      </c>
    </row>
    <row r="277" spans="1:20" x14ac:dyDescent="0.25">
      <c r="A277" s="53">
        <f>Data1!A236</f>
        <v>45627</v>
      </c>
      <c r="B277">
        <f>IF(ISBLANK(Data1!B236),NA(),Data1!B236)</f>
        <v>149.6</v>
      </c>
      <c r="C277">
        <f>IF(ISBLANK(Data1!E236),NA(),Data1!E236)</f>
        <v>153.69999999999999</v>
      </c>
      <c r="D277">
        <f>IF(ISBLANK(Data1!AJ236),NA(),Data1!AJ236)</f>
        <v>126.2</v>
      </c>
      <c r="E277">
        <f>IF(ISBLANK(Data1!BJ236),NA(),Data1!BJ236)</f>
        <v>191</v>
      </c>
      <c r="F277">
        <f>IF(ISBLANK(Data1!BK236),NA(),Data1!BK236)</f>
        <v>154.80000000000001</v>
      </c>
      <c r="H277" s="53">
        <f t="shared" si="203"/>
        <v>45627</v>
      </c>
      <c r="I277">
        <f t="shared" si="204"/>
        <v>1385.1851851851852</v>
      </c>
      <c r="J277" cm="1">
        <f t="array" ref="J277">IF(ISNA(C277),NA(),C277/INDEX($C$52:$C$282,MATCH(TRUE,INDEX(NOT(ISNA($C$52:$C$282)),0),0))*100)</f>
        <v>292.76190476190476</v>
      </c>
      <c r="K277" cm="1">
        <f t="array" ref="K277">IF(ISNA(D277),NA(),D277/INDEX($D$52:$D$282,MATCH(TRUE,INDEX(NOT(ISNA($D$52:$D$282)),0),0))*100)</f>
        <v>199.05362776025237</v>
      </c>
      <c r="L277">
        <f t="shared" si="205"/>
        <v>1067.0391061452515</v>
      </c>
      <c r="M277">
        <f t="shared" si="206"/>
        <v>1311.8644067796611</v>
      </c>
      <c r="O277" s="53">
        <f t="shared" si="211"/>
        <v>45627</v>
      </c>
      <c r="P277" s="24">
        <f t="shared" ref="P277:T277" si="240">IFERROR(IF(OR(ISNA(B277),ISNA(B273)),NA(),B277/B273-1),NA())</f>
        <v>4.982456140350866E-2</v>
      </c>
      <c r="Q277" s="24">
        <f t="shared" si="240"/>
        <v>5.9999999999999831E-2</v>
      </c>
      <c r="R277" s="24">
        <f t="shared" si="240"/>
        <v>-4.3939393939393945E-2</v>
      </c>
      <c r="S277" s="24">
        <f t="shared" si="240"/>
        <v>1.3800424628449992E-2</v>
      </c>
      <c r="T277" s="24">
        <f t="shared" si="240"/>
        <v>6.1000685400959709E-2</v>
      </c>
    </row>
    <row r="278" spans="1:20" x14ac:dyDescent="0.25">
      <c r="A278" s="53">
        <f>Data1!A237</f>
        <v>45717</v>
      </c>
      <c r="B278">
        <f>IF(ISBLANK(Data1!B237),NA(),Data1!B237)</f>
        <v>155.4</v>
      </c>
      <c r="C278">
        <f>IF(ISBLANK(Data1!E237),NA(),Data1!E237)</f>
        <v>159.6</v>
      </c>
      <c r="D278">
        <f>IF(ISBLANK(Data1!AJ237),NA(),Data1!AJ237)</f>
        <v>131.6</v>
      </c>
      <c r="E278">
        <f>IF(ISBLANK(Data1!BJ237),NA(),Data1!BJ237)</f>
        <v>189.6</v>
      </c>
      <c r="F278">
        <f>IF(ISBLANK(Data1!BK237),NA(),Data1!BK237)</f>
        <v>156.19999999999999</v>
      </c>
      <c r="H278" s="53">
        <f t="shared" si="203"/>
        <v>45717</v>
      </c>
      <c r="I278">
        <f t="shared" si="204"/>
        <v>1438.8888888888889</v>
      </c>
      <c r="J278" cm="1">
        <f t="array" ref="J278">IF(ISNA(C278),NA(),C278/INDEX($C$52:$C$282,MATCH(TRUE,INDEX(NOT(ISNA($C$52:$C$282)),0),0))*100)</f>
        <v>304</v>
      </c>
      <c r="K278" cm="1">
        <f t="array" ref="K278">IF(ISNA(D278),NA(),D278/INDEX($D$52:$D$282,MATCH(TRUE,INDEX(NOT(ISNA($D$52:$D$282)),0),0))*100)</f>
        <v>207.57097791798108</v>
      </c>
      <c r="L278">
        <f t="shared" si="205"/>
        <v>1059.217877094972</v>
      </c>
      <c r="M278">
        <f t="shared" si="206"/>
        <v>1323.7288135593217</v>
      </c>
      <c r="O278" s="53">
        <f t="shared" si="211"/>
        <v>45717</v>
      </c>
      <c r="P278" s="24">
        <f t="shared" ref="P278:T278" si="241">IFERROR(IF(OR(ISNA(B278),ISNA(B274)),NA(),B278/B274-1),NA())</f>
        <v>8.2172701949860816E-2</v>
      </c>
      <c r="Q278" s="24">
        <f t="shared" si="241"/>
        <v>8.8676671214188207E-2</v>
      </c>
      <c r="R278" s="24">
        <f t="shared" si="241"/>
        <v>4.3616177636796261E-2</v>
      </c>
      <c r="S278" s="24">
        <f t="shared" si="241"/>
        <v>-1.1985409067222563E-2</v>
      </c>
      <c r="T278" s="24">
        <f t="shared" si="241"/>
        <v>4.9026192075218189E-2</v>
      </c>
    </row>
    <row r="279" spans="1:20" x14ac:dyDescent="0.25">
      <c r="A279" s="53">
        <f>Data1!A238</f>
        <v>45809</v>
      </c>
      <c r="B279">
        <f>IF(ISBLANK(Data1!B238),NA(),Data1!B238)</f>
        <v>158</v>
      </c>
      <c r="C279">
        <f>IF(ISBLANK(Data1!E238),NA(),Data1!E238)</f>
        <v>163.1</v>
      </c>
      <c r="D279">
        <f>IF(ISBLANK(Data1!AJ238),NA(),Data1!AJ238)</f>
        <v>129.69999999999999</v>
      </c>
      <c r="E279">
        <f>IF(ISBLANK(Data1!BJ238),NA(),Data1!BJ238)</f>
        <v>185.3</v>
      </c>
      <c r="F279">
        <f>IF(ISBLANK(Data1!BK238),NA(),Data1!BK238)</f>
        <v>155.5</v>
      </c>
      <c r="H279" s="53">
        <f t="shared" si="203"/>
        <v>45809</v>
      </c>
      <c r="I279">
        <f t="shared" si="204"/>
        <v>1462.9629629629628</v>
      </c>
      <c r="J279" cm="1">
        <f t="array" ref="J279">IF(ISNA(C279),NA(),C279/INDEX($C$52:$C$282,MATCH(TRUE,INDEX(NOT(ISNA($C$52:$C$282)),0),0))*100)</f>
        <v>310.66666666666663</v>
      </c>
      <c r="K279" cm="1">
        <f t="array" ref="K279">IF(ISNA(D279),NA(),D279/INDEX($D$52:$D$282,MATCH(TRUE,INDEX(NOT(ISNA($D$52:$D$282)),0),0))*100)</f>
        <v>204.57413249211353</v>
      </c>
      <c r="L279">
        <f t="shared" si="205"/>
        <v>1035.1955307262572</v>
      </c>
      <c r="M279">
        <f t="shared" si="206"/>
        <v>1317.7966101694915</v>
      </c>
      <c r="O279" s="53">
        <f t="shared" si="211"/>
        <v>45809</v>
      </c>
      <c r="P279" s="24">
        <f t="shared" ref="P279:T279" si="242">IFERROR(IF(OR(ISNA(B279),ISNA(B275)),NA(),B279/B275-1),NA())</f>
        <v>7.629427792915533E-2</v>
      </c>
      <c r="Q279" s="24">
        <f t="shared" si="242"/>
        <v>8.8058705803869097E-2</v>
      </c>
      <c r="R279" s="24">
        <f t="shared" si="242"/>
        <v>1.3281249999999911E-2</v>
      </c>
      <c r="S279" s="24">
        <f t="shared" si="242"/>
        <v>-1.3312034078807211E-2</v>
      </c>
      <c r="T279" s="24">
        <f t="shared" si="242"/>
        <v>5.4237288135593253E-2</v>
      </c>
    </row>
    <row r="280" spans="1:20" x14ac:dyDescent="0.25">
      <c r="A280" s="53">
        <f>Data1!A239</f>
        <v>45901</v>
      </c>
      <c r="B280">
        <f>IF(ISBLANK(Data1!B239),NA(),Data1!B239)</f>
        <v>159.1</v>
      </c>
      <c r="C280">
        <f>IF(ISBLANK(Data1!E239),NA(),Data1!E239)</f>
        <v>164.3</v>
      </c>
      <c r="D280">
        <f>IF(ISBLANK(Data1!AJ239),NA(),Data1!AJ239)</f>
        <v>128.9</v>
      </c>
      <c r="E280">
        <f>IF(ISBLANK(Data1!BJ239),NA(),Data1!BJ239)</f>
        <v>187.3</v>
      </c>
      <c r="F280">
        <f>IF(ISBLANK(Data1!BK239),NA(),Data1!BK239)</f>
        <v>155</v>
      </c>
      <c r="H280" s="53">
        <f t="shared" si="203"/>
        <v>45901</v>
      </c>
      <c r="I280">
        <f t="shared" si="204"/>
        <v>1473.1481481481478</v>
      </c>
      <c r="J280" cm="1">
        <f t="array" ref="J280">IF(ISNA(C280),NA(),C280/INDEX($C$52:$C$282,MATCH(TRUE,INDEX(NOT(ISNA($C$52:$C$282)),0),0))*100)</f>
        <v>312.95238095238096</v>
      </c>
      <c r="K280" cm="1">
        <f t="array" ref="K280">IF(ISNA(D280),NA(),D280/INDEX($D$52:$D$282,MATCH(TRUE,INDEX(NOT(ISNA($D$52:$D$282)),0),0))*100)</f>
        <v>203.31230283911674</v>
      </c>
      <c r="L280">
        <f t="shared" si="205"/>
        <v>1046.3687150837991</v>
      </c>
      <c r="M280">
        <f t="shared" si="206"/>
        <v>1313.5593220338983</v>
      </c>
      <c r="O280" s="53">
        <f t="shared" si="211"/>
        <v>45901</v>
      </c>
      <c r="P280" s="24">
        <f t="shared" ref="P280:T280" si="243">IFERROR(IF(OR(ISNA(B280),ISNA(B276)),NA(),B280/B276-1),NA())</f>
        <v>7.864406779661004E-2</v>
      </c>
      <c r="Q280" s="24">
        <f t="shared" si="243"/>
        <v>8.7359364659166161E-2</v>
      </c>
      <c r="R280" s="24">
        <f t="shared" si="243"/>
        <v>3.4510433386838013E-2</v>
      </c>
      <c r="S280" s="24">
        <f t="shared" si="243"/>
        <v>-1.3691416535018375E-2</v>
      </c>
      <c r="T280" s="24">
        <f t="shared" si="243"/>
        <v>-6.447453255963298E-4</v>
      </c>
    </row>
    <row r="281" spans="1:20" x14ac:dyDescent="0.25">
      <c r="A281" s="53">
        <f>Data1!A240</f>
        <v>45992</v>
      </c>
      <c r="B281">
        <f>IF(ISBLANK(Data1!B240),NA(),Data1!B240)</f>
        <v>166.9</v>
      </c>
      <c r="C281">
        <f>IF(ISBLANK(Data1!E240),NA(),Data1!E240)</f>
        <v>172.8</v>
      </c>
      <c r="D281">
        <f>IF(ISBLANK(Data1!AJ240),NA(),Data1!AJ240)</f>
        <v>128.9</v>
      </c>
      <c r="E281">
        <f>IF(ISBLANK(Data1!BJ240),NA(),Data1!BJ240)</f>
        <v>188.1</v>
      </c>
      <c r="F281">
        <f>IF(ISBLANK(Data1!BK240),NA(),Data1!BK240)</f>
        <v>150.69999999999999</v>
      </c>
      <c r="H281" s="53">
        <f t="shared" si="203"/>
        <v>45992</v>
      </c>
      <c r="I281">
        <f t="shared" si="204"/>
        <v>1545.3703703703702</v>
      </c>
      <c r="J281" cm="1">
        <f t="array" ref="J281">IF(ISNA(C281),NA(),C281/INDEX($C$52:$C$282,MATCH(TRUE,INDEX(NOT(ISNA($C$52:$C$282)),0),0))*100)</f>
        <v>329.14285714285717</v>
      </c>
      <c r="K281" cm="1">
        <f t="array" ref="K281">IF(ISNA(D281),NA(),D281/INDEX($D$52:$D$282,MATCH(TRUE,INDEX(NOT(ISNA($D$52:$D$282)),0),0))*100)</f>
        <v>203.31230283911674</v>
      </c>
      <c r="L281">
        <f t="shared" si="205"/>
        <v>1050.8379888268157</v>
      </c>
      <c r="M281">
        <f t="shared" si="206"/>
        <v>1277.1186440677964</v>
      </c>
      <c r="O281" s="53">
        <f t="shared" si="211"/>
        <v>45992</v>
      </c>
      <c r="P281" s="24">
        <f t="shared" ref="P281:T281" si="244">IFERROR(IF(OR(ISNA(B281),ISNA(B277)),NA(),B281/B277-1),NA())</f>
        <v>0.1156417112299466</v>
      </c>
      <c r="Q281" s="24">
        <f t="shared" si="244"/>
        <v>0.12426805465191948</v>
      </c>
      <c r="R281" s="24">
        <f t="shared" si="244"/>
        <v>2.1394611727416857E-2</v>
      </c>
      <c r="S281" s="24">
        <f t="shared" si="244"/>
        <v>-1.5183246073298462E-2</v>
      </c>
      <c r="T281" s="24">
        <f t="shared" si="244"/>
        <v>-2.6485788113695286E-2</v>
      </c>
    </row>
    <row r="282" spans="1:20" x14ac:dyDescent="0.25">
      <c r="A282" s="53">
        <f>Data1!A241</f>
        <v>46082</v>
      </c>
      <c r="B282">
        <f>IF(ISBLANK(Data1!B241),NA(),Data1!B241)</f>
        <v>173.4</v>
      </c>
      <c r="C282">
        <f>IF(ISBLANK(Data1!E241),NA(),Data1!E241)</f>
        <v>179.3</v>
      </c>
      <c r="D282">
        <f>IF(ISBLANK(Data1!AJ241),NA(),Data1!AJ241)</f>
        <v>132.6</v>
      </c>
      <c r="E282">
        <f>IF(ISBLANK(Data1!BJ241),NA(),Data1!BJ241)</f>
        <v>187.3</v>
      </c>
      <c r="F282">
        <f>IF(ISBLANK(Data1!BK241),NA(),Data1!BK241)</f>
        <v>152.19999999999999</v>
      </c>
      <c r="H282" s="53">
        <f t="shared" si="203"/>
        <v>46082</v>
      </c>
      <c r="I282">
        <f t="shared" si="204"/>
        <v>1605.5555555555554</v>
      </c>
      <c r="J282" cm="1">
        <f t="array" ref="J282">IF(ISNA(C282),NA(),C282/INDEX($C$52:$C$282,MATCH(TRUE,INDEX(NOT(ISNA($C$52:$C$282)),0),0))*100)</f>
        <v>341.52380952380958</v>
      </c>
      <c r="K282" cm="1">
        <f t="array" ref="K282">IF(ISNA(D282),NA(),D282/INDEX($D$52:$D$282,MATCH(TRUE,INDEX(NOT(ISNA($D$52:$D$282)),0),0))*100)</f>
        <v>209.14826498422713</v>
      </c>
      <c r="L282">
        <f t="shared" si="205"/>
        <v>1046.3687150837991</v>
      </c>
      <c r="M282">
        <f t="shared" si="206"/>
        <v>1289.8305084745762</v>
      </c>
      <c r="O282" s="53">
        <f t="shared" si="211"/>
        <v>46082</v>
      </c>
      <c r="P282" s="24">
        <f t="shared" ref="P282:T282" si="245">IFERROR(IF(OR(ISNA(B282),ISNA(B278)),NA(),B282/B278-1),NA())</f>
        <v>0.11583011583011582</v>
      </c>
      <c r="Q282" s="24">
        <f t="shared" si="245"/>
        <v>0.1234335839598999</v>
      </c>
      <c r="R282" s="24">
        <f t="shared" si="245"/>
        <v>7.5987841945288626E-3</v>
      </c>
      <c r="S282" s="24">
        <f t="shared" si="245"/>
        <v>-1.2130801687763593E-2</v>
      </c>
      <c r="T282" s="24">
        <f t="shared" si="245"/>
        <v>-2.5608194622279146E-2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188</vt:i4>
      </vt:variant>
    </vt:vector>
  </HeadingPairs>
  <TitlesOfParts>
    <vt:vector size="193" baseType="lpstr">
      <vt:lpstr>Index</vt:lpstr>
      <vt:lpstr>Data1</vt:lpstr>
      <vt:lpstr>Enquiries</vt:lpstr>
      <vt:lpstr>Summary Stats</vt:lpstr>
      <vt:lpstr>Charts</vt:lpstr>
      <vt:lpstr>A117729353V</vt:lpstr>
      <vt:lpstr>A117729353V_Data</vt:lpstr>
      <vt:lpstr>A117729353V_Latest</vt:lpstr>
      <vt:lpstr>A2309054F</vt:lpstr>
      <vt:lpstr>A2309054F_Data</vt:lpstr>
      <vt:lpstr>A2309054F_Latest</vt:lpstr>
      <vt:lpstr>A2309055J</vt:lpstr>
      <vt:lpstr>A2309055J_Data</vt:lpstr>
      <vt:lpstr>A2309055J_Latest</vt:lpstr>
      <vt:lpstr>A2309056K</vt:lpstr>
      <vt:lpstr>A2309056K_Data</vt:lpstr>
      <vt:lpstr>A2309056K_Latest</vt:lpstr>
      <vt:lpstr>A2309057L</vt:lpstr>
      <vt:lpstr>A2309057L_Data</vt:lpstr>
      <vt:lpstr>A2309057L_Latest</vt:lpstr>
      <vt:lpstr>A2309060A</vt:lpstr>
      <vt:lpstr>A2309060A_Data</vt:lpstr>
      <vt:lpstr>A2309060A_Latest</vt:lpstr>
      <vt:lpstr>A2309063J</vt:lpstr>
      <vt:lpstr>A2309063J_Data</vt:lpstr>
      <vt:lpstr>A2309063J_Latest</vt:lpstr>
      <vt:lpstr>A2309066R</vt:lpstr>
      <vt:lpstr>A2309066R_Data</vt:lpstr>
      <vt:lpstr>A2309066R_Latest</vt:lpstr>
      <vt:lpstr>A2309069W</vt:lpstr>
      <vt:lpstr>A2309069W_Data</vt:lpstr>
      <vt:lpstr>A2309069W_Latest</vt:lpstr>
      <vt:lpstr>A2309072K</vt:lpstr>
      <vt:lpstr>A2309072K_Data</vt:lpstr>
      <vt:lpstr>A2309072K_Latest</vt:lpstr>
      <vt:lpstr>A2309075T</vt:lpstr>
      <vt:lpstr>A2309075T_Data</vt:lpstr>
      <vt:lpstr>A2309075T_Latest</vt:lpstr>
      <vt:lpstr>A2309084V</vt:lpstr>
      <vt:lpstr>A2309084V_Data</vt:lpstr>
      <vt:lpstr>A2309084V_Latest</vt:lpstr>
      <vt:lpstr>A2309099K</vt:lpstr>
      <vt:lpstr>A2309099K_Data</vt:lpstr>
      <vt:lpstr>A2309099K_Latest</vt:lpstr>
      <vt:lpstr>A2309102L</vt:lpstr>
      <vt:lpstr>A2309102L_Data</vt:lpstr>
      <vt:lpstr>A2309102L_Latest</vt:lpstr>
      <vt:lpstr>A2309105V</vt:lpstr>
      <vt:lpstr>A2309105V_Data</vt:lpstr>
      <vt:lpstr>A2309105V_Latest</vt:lpstr>
      <vt:lpstr>A2309108A</vt:lpstr>
      <vt:lpstr>A2309108A_Data</vt:lpstr>
      <vt:lpstr>A2309108A_Latest</vt:lpstr>
      <vt:lpstr>A2309126F</vt:lpstr>
      <vt:lpstr>A2309126F_Data</vt:lpstr>
      <vt:lpstr>A2309126F_Latest</vt:lpstr>
      <vt:lpstr>A2309129L</vt:lpstr>
      <vt:lpstr>A2309129L_Data</vt:lpstr>
      <vt:lpstr>A2309129L_Latest</vt:lpstr>
      <vt:lpstr>A2309135J</vt:lpstr>
      <vt:lpstr>A2309135J_Data</vt:lpstr>
      <vt:lpstr>A2309135J_Latest</vt:lpstr>
      <vt:lpstr>A2309138R</vt:lpstr>
      <vt:lpstr>A2309138R_Data</vt:lpstr>
      <vt:lpstr>A2309138R_Latest</vt:lpstr>
      <vt:lpstr>A2309141C</vt:lpstr>
      <vt:lpstr>A2309141C_Data</vt:lpstr>
      <vt:lpstr>A2309141C_Latest</vt:lpstr>
      <vt:lpstr>A2309144K</vt:lpstr>
      <vt:lpstr>A2309144K_Data</vt:lpstr>
      <vt:lpstr>A2309144K_Latest</vt:lpstr>
      <vt:lpstr>A2309147T</vt:lpstr>
      <vt:lpstr>A2309147T_Data</vt:lpstr>
      <vt:lpstr>A2309147T_Latest</vt:lpstr>
      <vt:lpstr>A2309150F</vt:lpstr>
      <vt:lpstr>A2309150F_Data</vt:lpstr>
      <vt:lpstr>A2309150F_Latest</vt:lpstr>
      <vt:lpstr>A2309156V</vt:lpstr>
      <vt:lpstr>A2309156V_Data</vt:lpstr>
      <vt:lpstr>A2309156V_Latest</vt:lpstr>
      <vt:lpstr>A2309162R</vt:lpstr>
      <vt:lpstr>A2309162R_Data</vt:lpstr>
      <vt:lpstr>A2309162R_Latest</vt:lpstr>
      <vt:lpstr>A2309171T</vt:lpstr>
      <vt:lpstr>A2309171T_Data</vt:lpstr>
      <vt:lpstr>A2309171T_Latest</vt:lpstr>
      <vt:lpstr>A2309174X</vt:lpstr>
      <vt:lpstr>A2309174X_Data</vt:lpstr>
      <vt:lpstr>A2309174X_Latest</vt:lpstr>
      <vt:lpstr>A2309177F</vt:lpstr>
      <vt:lpstr>A2309177F_Data</vt:lpstr>
      <vt:lpstr>A2309177F_Latest</vt:lpstr>
      <vt:lpstr>A2309180V</vt:lpstr>
      <vt:lpstr>A2309180V_Data</vt:lpstr>
      <vt:lpstr>A2309180V_Latest</vt:lpstr>
      <vt:lpstr>A2309183A</vt:lpstr>
      <vt:lpstr>A2309183A_Data</vt:lpstr>
      <vt:lpstr>A2309183A_Latest</vt:lpstr>
      <vt:lpstr>A2309192C</vt:lpstr>
      <vt:lpstr>A2309192C_Data</vt:lpstr>
      <vt:lpstr>A2309192C_Latest</vt:lpstr>
      <vt:lpstr>A2309195K</vt:lpstr>
      <vt:lpstr>A2309195K_Data</vt:lpstr>
      <vt:lpstr>A2309195K_Latest</vt:lpstr>
      <vt:lpstr>A2313704X</vt:lpstr>
      <vt:lpstr>A2313704X_Data</vt:lpstr>
      <vt:lpstr>A2313704X_Latest</vt:lpstr>
      <vt:lpstr>A2313785L</vt:lpstr>
      <vt:lpstr>A2313785L_Data</vt:lpstr>
      <vt:lpstr>A2313785L_Latest</vt:lpstr>
      <vt:lpstr>A2313786R</vt:lpstr>
      <vt:lpstr>A2313786R_Data</vt:lpstr>
      <vt:lpstr>A2313786R_Latest</vt:lpstr>
      <vt:lpstr>A2313787T</vt:lpstr>
      <vt:lpstr>A2313787T_Data</vt:lpstr>
      <vt:lpstr>A2313787T_Latest</vt:lpstr>
      <vt:lpstr>A2313788V</vt:lpstr>
      <vt:lpstr>A2313788V_Data</vt:lpstr>
      <vt:lpstr>A2313788V_Latest</vt:lpstr>
      <vt:lpstr>A2313789W</vt:lpstr>
      <vt:lpstr>A2313789W_Data</vt:lpstr>
      <vt:lpstr>A2313789W_Latest</vt:lpstr>
      <vt:lpstr>A2313790F</vt:lpstr>
      <vt:lpstr>A2313790F_Data</vt:lpstr>
      <vt:lpstr>A2313790F_Latest</vt:lpstr>
      <vt:lpstr>A3343966C</vt:lpstr>
      <vt:lpstr>A3343966C_Data</vt:lpstr>
      <vt:lpstr>A3343966C_Latest</vt:lpstr>
      <vt:lpstr>A3343968J</vt:lpstr>
      <vt:lpstr>A3343968J_Data</vt:lpstr>
      <vt:lpstr>A3343968J_Latest</vt:lpstr>
      <vt:lpstr>A3343970V</vt:lpstr>
      <vt:lpstr>A3343970V_Data</vt:lpstr>
      <vt:lpstr>A3343970V_Latest</vt:lpstr>
      <vt:lpstr>A3343972X</vt:lpstr>
      <vt:lpstr>A3343972X_Data</vt:lpstr>
      <vt:lpstr>A3343972X_Latest</vt:lpstr>
      <vt:lpstr>A3343974C</vt:lpstr>
      <vt:lpstr>A3343974C_Data</vt:lpstr>
      <vt:lpstr>A3343974C_Latest</vt:lpstr>
      <vt:lpstr>A3343976J</vt:lpstr>
      <vt:lpstr>A3343976J_Data</vt:lpstr>
      <vt:lpstr>A3343976J_Latest</vt:lpstr>
      <vt:lpstr>A3343978L</vt:lpstr>
      <vt:lpstr>A3343978L_Data</vt:lpstr>
      <vt:lpstr>A3343978L_Latest</vt:lpstr>
      <vt:lpstr>A3343980X</vt:lpstr>
      <vt:lpstr>A3343980X_Data</vt:lpstr>
      <vt:lpstr>A3343980X_Latest</vt:lpstr>
      <vt:lpstr>A3343982C</vt:lpstr>
      <vt:lpstr>A3343982C_Data</vt:lpstr>
      <vt:lpstr>A3343982C_Latest</vt:lpstr>
      <vt:lpstr>A3343984J</vt:lpstr>
      <vt:lpstr>A3343984J_Data</vt:lpstr>
      <vt:lpstr>A3343984J_Latest</vt:lpstr>
      <vt:lpstr>A3343986L</vt:lpstr>
      <vt:lpstr>A3343986L_Data</vt:lpstr>
      <vt:lpstr>A3343986L_Latest</vt:lpstr>
      <vt:lpstr>A3343988T</vt:lpstr>
      <vt:lpstr>A3343988T_Data</vt:lpstr>
      <vt:lpstr>A3343988T_Latest</vt:lpstr>
      <vt:lpstr>A3343990C</vt:lpstr>
      <vt:lpstr>A3343990C_Data</vt:lpstr>
      <vt:lpstr>A3343990C_Latest</vt:lpstr>
      <vt:lpstr>A3343992J</vt:lpstr>
      <vt:lpstr>A3343992J_Data</vt:lpstr>
      <vt:lpstr>A3343992J_Latest</vt:lpstr>
      <vt:lpstr>A3343994L</vt:lpstr>
      <vt:lpstr>A3343994L_Data</vt:lpstr>
      <vt:lpstr>A3343994L_Latest</vt:lpstr>
      <vt:lpstr>A3343996T</vt:lpstr>
      <vt:lpstr>A3343996T_Data</vt:lpstr>
      <vt:lpstr>A3343996T_Latest</vt:lpstr>
      <vt:lpstr>A3343998W</vt:lpstr>
      <vt:lpstr>A3343998W_Data</vt:lpstr>
      <vt:lpstr>A3343998W_Latest</vt:lpstr>
      <vt:lpstr>A3344000X</vt:lpstr>
      <vt:lpstr>A3344000X_Data</vt:lpstr>
      <vt:lpstr>A3344000X_Latest</vt:lpstr>
      <vt:lpstr>A3344002C</vt:lpstr>
      <vt:lpstr>A3344002C_Data</vt:lpstr>
      <vt:lpstr>A3344002C_Latest</vt:lpstr>
      <vt:lpstr>A3344004J</vt:lpstr>
      <vt:lpstr>A3344004J_Data</vt:lpstr>
      <vt:lpstr>A3344004J_Latest</vt:lpstr>
      <vt:lpstr>A3344006L</vt:lpstr>
      <vt:lpstr>A3344006L_Data</vt:lpstr>
      <vt:lpstr>A3344006L_Latest</vt:lpstr>
      <vt:lpstr>A3344008T</vt:lpstr>
      <vt:lpstr>A3344008T_Data</vt:lpstr>
      <vt:lpstr>A3344008T_Latest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Grant Coble-Neal</cp:lastModifiedBy>
  <dcterms:created xsi:type="dcterms:W3CDTF">2026-04-28T07:57:13Z</dcterms:created>
  <dcterms:modified xsi:type="dcterms:W3CDTF">2026-05-14T03:15:36Z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d0b14e-5f06-433b-ad99-93311f4ddc1a_Enabled">
    <vt:lpwstr>true</vt:lpwstr>
  </property>
  <property fmtid="{D5CDD505-2E9C-101B-9397-08002B2CF9AE}" pid="3" name="MSIP_Label_68d0b14e-5f06-433b-ad99-93311f4ddc1a_SetDate">
    <vt:lpwstr>2026-04-30T04:45:47Z</vt:lpwstr>
  </property>
  <property fmtid="{D5CDD505-2E9C-101B-9397-08002B2CF9AE}" pid="4" name="MSIP_Label_68d0b14e-5f06-433b-ad99-93311f4ddc1a_Method">
    <vt:lpwstr>Privileged</vt:lpwstr>
  </property>
  <property fmtid="{D5CDD505-2E9C-101B-9397-08002B2CF9AE}" pid="5" name="MSIP_Label_68d0b14e-5f06-433b-ad99-93311f4ddc1a_Name">
    <vt:lpwstr>OFFICIAL Census and Statistics Act</vt:lpwstr>
  </property>
  <property fmtid="{D5CDD505-2E9C-101B-9397-08002B2CF9AE}" pid="6" name="MSIP_Label_68d0b14e-5f06-433b-ad99-93311f4ddc1a_SiteId">
    <vt:lpwstr>34cdb737-c4fa-4c21-9a34-88ac2d721f88</vt:lpwstr>
  </property>
  <property fmtid="{D5CDD505-2E9C-101B-9397-08002B2CF9AE}" pid="7" name="MSIP_Label_68d0b14e-5f06-433b-ad99-93311f4ddc1a_ActionId">
    <vt:lpwstr>41a2d7a1-3654-4d20-8e80-3e8a1fe02650</vt:lpwstr>
  </property>
  <property fmtid="{D5CDD505-2E9C-101B-9397-08002B2CF9AE}" pid="8" name="MSIP_Label_68d0b14e-5f06-433b-ad99-93311f4ddc1a_ContentBits">
    <vt:lpwstr>3</vt:lpwstr>
  </property>
  <property fmtid="{D5CDD505-2E9C-101B-9397-08002B2CF9AE}" pid="9" name="MSIP_Label_68d0b14e-5f06-433b-ad99-93311f4ddc1a_Tag">
    <vt:lpwstr>10, 0, 1, 1</vt:lpwstr>
  </property>
</Properties>
</file>