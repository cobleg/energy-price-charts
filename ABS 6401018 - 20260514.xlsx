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13_ncr:1_{9D11A6BF-6881-4EBE-973F-E2B0E1141D6A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Index" sheetId="4" r:id="rId1"/>
    <sheet name="Energy Prices" sheetId="5" r:id="rId2"/>
    <sheet name="Data1" sheetId="1" r:id="rId3"/>
    <sheet name="Data2" sheetId="2" r:id="rId4"/>
    <sheet name="Enquiries" sheetId="3" r:id="rId5"/>
  </sheets>
  <definedNames>
    <definedName name="A2325846C">Data1!$B$1:$B$10,Data1!$B$11:$B$320</definedName>
    <definedName name="A2325846C_Data">Data1!$B$11:$B$320</definedName>
    <definedName name="A2325846C_Latest">Data1!$B$320</definedName>
    <definedName name="A2325850V">Data1!$ED$1:$ED$10,Data1!$ED$12:$ED$320</definedName>
    <definedName name="A2325850V_Data">Data1!$ED$12:$ED$320</definedName>
    <definedName name="A2325850V_Latest">Data1!$ED$320</definedName>
    <definedName name="A2325891R">Data1!$C$1:$C$10,Data1!$C$107:$C$320</definedName>
    <definedName name="A2325891R_Data">Data1!$C$107:$C$320</definedName>
    <definedName name="A2325891R_Latest">Data1!$C$320</definedName>
    <definedName name="A2325895X">Data1!$EE$1:$EE$10,Data1!$EE$108:$EE$320</definedName>
    <definedName name="A2325895X_Data">Data1!$EE$108:$EE$320</definedName>
    <definedName name="A2325895X_Latest">Data1!$EE$320</definedName>
    <definedName name="A2325936J">Data1!$AQ$1:$AQ$10,Data1!$AQ$107:$AQ$320</definedName>
    <definedName name="A2325936J_Data">Data1!$AQ$107:$AQ$320</definedName>
    <definedName name="A2325936J_Latest">Data1!$AQ$320</definedName>
    <definedName name="A2325940X">Data1!$FS$1:$FS$10,Data1!$FS$108:$FS$320</definedName>
    <definedName name="A2325940X_Data">Data1!$FS$108:$FS$320</definedName>
    <definedName name="A2325940X_Latest">Data1!$FS$320</definedName>
    <definedName name="A2325981V">Data1!$BC$1:$BC$10,Data1!$BC$107:$BC$320</definedName>
    <definedName name="A2325981V_Data">Data1!$BC$107:$BC$320</definedName>
    <definedName name="A2325981V_Latest">Data1!$BC$320</definedName>
    <definedName name="A2325985C">Data1!$GE$1:$GE$10,Data1!$GE$108:$GE$320</definedName>
    <definedName name="A2325985C_Data">Data1!$GE$108:$GE$320</definedName>
    <definedName name="A2325985C_Latest">Data1!$GE$320</definedName>
    <definedName name="A2326026R">Data1!$BO$1:$BO$10,Data1!$BO$107:$BO$320</definedName>
    <definedName name="A2326026R_Data">Data1!$BO$107:$BO$320</definedName>
    <definedName name="A2326026R_Latest">Data1!$BO$320</definedName>
    <definedName name="A2326030F">Data1!$GQ$1:$GQ$10,Data1!$GQ$108:$GQ$320</definedName>
    <definedName name="A2326030F_Data">Data1!$GQ$108:$GQ$320</definedName>
    <definedName name="A2326030F_Latest">Data1!$GQ$320</definedName>
    <definedName name="A2326071A">Data1!$CO$1:$CO$10,Data1!$CO$107:$CO$320</definedName>
    <definedName name="A2326071A_Data">Data1!$CO$107:$CO$320</definedName>
    <definedName name="A2326071A_Latest">Data1!$CO$320</definedName>
    <definedName name="A2326075K">Data1!$HQ$1:$HQ$10,Data1!$HQ$108:$HQ$320</definedName>
    <definedName name="A2326075K_Data">Data1!$HQ$108:$HQ$320</definedName>
    <definedName name="A2326075K_Latest">Data1!$HQ$320</definedName>
    <definedName name="A2326116V">Data1!$AJ$1:$AJ$10,Data1!$AJ$107:$AJ$320</definedName>
    <definedName name="A2326116V_Data">Data1!$AJ$107:$AJ$320</definedName>
    <definedName name="A2326116V_Latest">Data1!$AJ$320</definedName>
    <definedName name="A2326120K">Data1!$FL$1:$FL$10,Data1!$FL$108:$FL$320</definedName>
    <definedName name="A2326120K_Data">Data1!$FL$108:$FL$320</definedName>
    <definedName name="A2326120K_Latest">Data1!$FL$320</definedName>
    <definedName name="A2326161F">Data1!$P$1:$P$10,Data1!$P$107:$P$320</definedName>
    <definedName name="A2326161F_Data">Data1!$P$107:$P$320</definedName>
    <definedName name="A2326161F_Latest">Data1!$P$320</definedName>
    <definedName name="A2326165R">Data1!$ER$1:$ER$10,Data1!$ER$108:$ER$320</definedName>
    <definedName name="A2326165R_Data">Data1!$ER$108:$ER$320</definedName>
    <definedName name="A2326165R_Latest">Data1!$ER$320</definedName>
    <definedName name="A2326206X">Data1!$D$1:$D$10,Data1!$D$107:$D$320</definedName>
    <definedName name="A2326206X_Data">Data1!$D$107:$D$320</definedName>
    <definedName name="A2326206X_Latest">Data1!$D$320</definedName>
    <definedName name="A2326210R">Data1!$EF$1:$EF$10,Data1!$EF$108:$EF$320</definedName>
    <definedName name="A2326210R_Data">Data1!$EF$108:$EF$320</definedName>
    <definedName name="A2326210R_Latest">Data1!$EF$320</definedName>
    <definedName name="A2326251K">Data1!$I$1:$I$10,Data1!$I$107:$I$320</definedName>
    <definedName name="A2326251K_Data">Data1!$I$107:$I$320</definedName>
    <definedName name="A2326251K_Latest">Data1!$I$320</definedName>
    <definedName name="A2326255V">Data1!$EK$1:$EK$10,Data1!$EK$108:$EK$320</definedName>
    <definedName name="A2326255V_Data">Data1!$EK$108:$EK$320</definedName>
    <definedName name="A2326255V_Latest">Data1!$EK$320</definedName>
    <definedName name="A2326296R">Data1!$AG$1:$AG$10,Data1!$AG$123:$AG$320</definedName>
    <definedName name="A2326296R_Data">Data1!$AG$123:$AG$320</definedName>
    <definedName name="A2326296R_Latest">Data1!$AG$320</definedName>
    <definedName name="A2326300V">Data1!$FI$1:$FI$10,Data1!$FI$124:$FI$320</definedName>
    <definedName name="A2326300V_Data">Data1!$FI$124:$FI$320</definedName>
    <definedName name="A2326300V_Latest">Data1!$FI$320</definedName>
    <definedName name="A2326386V">Data1!$AV$1:$AV$10,Data1!$AV$107:$AV$320</definedName>
    <definedName name="A2326386V_Data">Data1!$AV$107:$AV$320</definedName>
    <definedName name="A2326386V_Latest">Data1!$AV$320</definedName>
    <definedName name="A2326390K">Data1!$FX$1:$FX$10,Data1!$FX$108:$FX$320</definedName>
    <definedName name="A2326390K_Data">Data1!$FX$108:$FX$320</definedName>
    <definedName name="A2326390K_Latest">Data1!$FX$320</definedName>
    <definedName name="A2326431V">Data1!$BE$1:$BE$10,Data1!$BE$107:$BE$320</definedName>
    <definedName name="A2326431V_Data">Data1!$BE$107:$BE$320</definedName>
    <definedName name="A2326431V_Latest">Data1!$BE$320</definedName>
    <definedName name="A2326435C">Data1!$GG$1:$GG$10,Data1!$GG$108:$GG$320</definedName>
    <definedName name="A2326435C_Data">Data1!$GG$108:$GG$320</definedName>
    <definedName name="A2326435C_Latest">Data1!$GG$320</definedName>
    <definedName name="A2326521X">Data1!$BK$1:$BK$10,Data1!$BK$107:$BK$320</definedName>
    <definedName name="A2326521X_Data">Data1!$BK$107:$BK$320</definedName>
    <definedName name="A2326521X_Latest">Data1!$BK$320</definedName>
    <definedName name="A2326525J">Data1!$GM$1:$GM$10,Data1!$GM$108:$GM$320</definedName>
    <definedName name="A2326525J_Data">Data1!$GM$108:$GM$320</definedName>
    <definedName name="A2326525J_Latest">Data1!$GM$320</definedName>
    <definedName name="A2326611C">Data1!$CY$1:$CY$10,Data1!$CY$107:$CY$320</definedName>
    <definedName name="A2326611C_Data">Data1!$CY$107:$CY$320</definedName>
    <definedName name="A2326611C_Latest">Data1!$CY$320</definedName>
    <definedName name="A2326615L">Data1!$IA$1:$IA$10,Data1!$IA$108:$IA$320</definedName>
    <definedName name="A2326615L_Data">Data1!$IA$108:$IA$320</definedName>
    <definedName name="A2326615L_Latest">Data1!$IA$320</definedName>
    <definedName name="A2326656J">Data1!$CP$1:$CP$10,Data1!$CP$107:$CP$320</definedName>
    <definedName name="A2326656J_Data">Data1!$CP$107:$CP$320</definedName>
    <definedName name="A2326656J_Latest">Data1!$CP$320</definedName>
    <definedName name="A2326660X">Data1!$HR$1:$HR$10,Data1!$HR$108:$HR$320</definedName>
    <definedName name="A2326660X_Data">Data1!$HR$108:$HR$320</definedName>
    <definedName name="A2326660X_Latest">Data1!$HR$320</definedName>
    <definedName name="A2326701J">Data1!$CV$1:$CV$10,Data1!$CV$107:$CV$320</definedName>
    <definedName name="A2326701J_Data">Data1!$CV$107:$CV$320</definedName>
    <definedName name="A2326701J_Latest">Data1!$CV$320</definedName>
    <definedName name="A2326705T">Data1!$HX$1:$HX$10,Data1!$HX$108:$HX$320</definedName>
    <definedName name="A2326705T_Data">Data1!$HX$108:$HX$320</definedName>
    <definedName name="A2326705T_Latest">Data1!$HX$320</definedName>
    <definedName name="A2326746L">Data1!$AK$1:$AK$10,Data1!$AK$107:$AK$320</definedName>
    <definedName name="A2326746L_Data">Data1!$AK$107:$AK$320</definedName>
    <definedName name="A2326746L_Latest">Data1!$AK$320</definedName>
    <definedName name="A2326750C">Data1!$FM$1:$FM$10,Data1!$FM$108:$FM$320</definedName>
    <definedName name="A2326750C_Data">Data1!$FM$108:$FM$320</definedName>
    <definedName name="A2326750C_Latest">Data1!$FM$320</definedName>
    <definedName name="A2326791X">Data1!$AO$1:$AO$10,Data1!$AO$107:$AO$320</definedName>
    <definedName name="A2326791X_Data">Data1!$AO$107:$AO$320</definedName>
    <definedName name="A2326791X_Latest">Data1!$AO$320</definedName>
    <definedName name="A2326795J">Data1!$FQ$1:$FQ$10,Data1!$FQ$108:$FQ$320</definedName>
    <definedName name="A2326795J_Data">Data1!$FQ$108:$FQ$320</definedName>
    <definedName name="A2326795J_Latest">Data1!$FQ$320</definedName>
    <definedName name="A2326881C">Data1!$DI$1:$DI$10,Data1!$DI$145:$DI$320</definedName>
    <definedName name="A2326881C_Data">Data1!$DI$145:$DI$320</definedName>
    <definedName name="A2326881C_Latest">Data1!$DI$320</definedName>
    <definedName name="A2326885L">Data1!$IK$1:$IK$10,Data1!$IK$146:$IK$320</definedName>
    <definedName name="A2326885L_Data">Data1!$IK$146:$IK$320</definedName>
    <definedName name="A2326885L_Latest">Data1!$IK$320</definedName>
    <definedName name="A2326926W">Data1!$Q$1:$Q$10,Data1!$Q$139:$Q$320</definedName>
    <definedName name="A2326926W_Data">Data1!$Q$139:$Q$320</definedName>
    <definedName name="A2326926W_Latest">Data1!$Q$320</definedName>
    <definedName name="A2326930L">Data1!$ES$1:$ES$10,Data1!$ES$140:$ES$320</definedName>
    <definedName name="A2326930L_Data">Data1!$ES$140:$ES$320</definedName>
    <definedName name="A2326930L_Latest">Data1!$ES$320</definedName>
    <definedName name="A2326971J">Data1!$R$1:$R$10,Data1!$R$139:$R$320</definedName>
    <definedName name="A2326971J_Data">Data1!$R$139:$R$320</definedName>
    <definedName name="A2326971J_Latest">Data1!$R$320</definedName>
    <definedName name="A2326975T">Data1!$ET$1:$ET$10,Data1!$ET$140:$ET$320</definedName>
    <definedName name="A2326975T_Data">Data1!$ET$140:$ET$320</definedName>
    <definedName name="A2326975T_Latest">Data1!$ET$320</definedName>
    <definedName name="A2327016C">Data1!$S$1:$S$10,Data1!$S$139:$S$320</definedName>
    <definedName name="A2327016C_Data">Data1!$S$139:$S$320</definedName>
    <definedName name="A2327016C_Latest">Data1!$S$320</definedName>
    <definedName name="A2327020V">Data1!$EU$1:$EU$10,Data1!$EU$140:$EU$320</definedName>
    <definedName name="A2327020V_Data">Data1!$EU$140:$EU$320</definedName>
    <definedName name="A2327020V_Latest">Data1!$EU$320</definedName>
    <definedName name="A2327061R">Data1!$E$1:$E$10,Data1!$E$139:$E$320</definedName>
    <definedName name="A2327061R_Data">Data1!$E$139:$E$320</definedName>
    <definedName name="A2327061R_Latest">Data1!$E$320</definedName>
    <definedName name="A2327065X">Data1!$EG$1:$EG$10,Data1!$EG$140:$EG$320</definedName>
    <definedName name="A2327065X_Data">Data1!$EG$140:$EG$320</definedName>
    <definedName name="A2327065X_Latest">Data1!$EG$320</definedName>
    <definedName name="A2327106J">Data1!$F$1:$F$10,Data1!$F$139:$F$320</definedName>
    <definedName name="A2327106J_Data">Data1!$F$139:$F$320</definedName>
    <definedName name="A2327106J_Latest">Data1!$F$320</definedName>
    <definedName name="A2327110X">Data1!$EH$1:$EH$10,Data1!$EH$140:$EH$320</definedName>
    <definedName name="A2327110X_Data">Data1!$EH$140:$EH$320</definedName>
    <definedName name="A2327110X_Latest">Data1!$EH$320</definedName>
    <definedName name="A2327151V">Data1!$G$1:$G$10,Data1!$G$139:$G$320</definedName>
    <definedName name="A2327151V_Data">Data1!$G$139:$G$320</definedName>
    <definedName name="A2327151V_Latest">Data1!$G$320</definedName>
    <definedName name="A2327155C">Data1!$EI$1:$EI$10,Data1!$EI$140:$EI$320</definedName>
    <definedName name="A2327155C_Data">Data1!$EI$140:$EI$320</definedName>
    <definedName name="A2327155C_Latest">Data1!$EI$320</definedName>
    <definedName name="A2327196X">Data1!$H$1:$H$10,Data1!$H$139:$H$320</definedName>
    <definedName name="A2327196X_Data">Data1!$H$139:$H$320</definedName>
    <definedName name="A2327196X_Latest">Data1!$H$320</definedName>
    <definedName name="A2327200C">Data1!$EJ$1:$EJ$10,Data1!$EJ$140:$EJ$320</definedName>
    <definedName name="A2327200C_Data">Data1!$EJ$140:$EJ$320</definedName>
    <definedName name="A2327200C_Latest">Data1!$EJ$320</definedName>
    <definedName name="A2327241X">Data1!$J$1:$J$10,Data1!$J$107:$J$320</definedName>
    <definedName name="A2327241X_Data">Data1!$J$107:$J$320</definedName>
    <definedName name="A2327241X_Latest">Data1!$J$320</definedName>
    <definedName name="A2327245J">Data1!$EL$1:$EL$10,Data1!$EL$108:$EL$320</definedName>
    <definedName name="A2327245J_Data">Data1!$EL$108:$EL$320</definedName>
    <definedName name="A2327245J_Latest">Data1!$EL$320</definedName>
    <definedName name="A2327286C">Data1!$L$1:$L$10,Data1!$L$107:$L$320</definedName>
    <definedName name="A2327286C_Data">Data1!$L$107:$L$320</definedName>
    <definedName name="A2327286C_Latest">Data1!$L$320</definedName>
    <definedName name="A2327290V">Data1!$EN$1:$EN$10,Data1!$EN$108:$EN$320</definedName>
    <definedName name="A2327290V_Data">Data1!$EN$108:$EN$320</definedName>
    <definedName name="A2327290V_Latest">Data1!$EN$320</definedName>
    <definedName name="A2327376J">Data1!$M$1:$M$10,Data1!$M$107:$M$320</definedName>
    <definedName name="A2327376J_Data">Data1!$M$107:$M$320</definedName>
    <definedName name="A2327376J_Latest">Data1!$M$320</definedName>
    <definedName name="A2327380X">Data1!$EO$1:$EO$10,Data1!$EO$108:$EO$320</definedName>
    <definedName name="A2327380X_Data">Data1!$EO$108:$EO$320</definedName>
    <definedName name="A2327380X_Latest">Data1!$EO$320</definedName>
    <definedName name="A2327466L">Data1!$N$1:$N$10,Data1!$N$139:$N$320</definedName>
    <definedName name="A2327466L_Data">Data1!$N$139:$N$320</definedName>
    <definedName name="A2327466L_Latest">Data1!$N$320</definedName>
    <definedName name="A2327470C">Data1!$EP$1:$EP$10,Data1!$EP$140:$EP$320</definedName>
    <definedName name="A2327470C_Data">Data1!$EP$140:$EP$320</definedName>
    <definedName name="A2327470C_Latest">Data1!$EP$320</definedName>
    <definedName name="A2327511L">Data1!$O$1:$O$10,Data1!$O$123:$O$320</definedName>
    <definedName name="A2327511L_Data">Data1!$O$123:$O$320</definedName>
    <definedName name="A2327511L_Latest">Data1!$O$320</definedName>
    <definedName name="A2327515W">Data1!$EQ$1:$EQ$10,Data1!$EQ$124:$EQ$320</definedName>
    <definedName name="A2327515W_Data">Data1!$EQ$124:$EQ$320</definedName>
    <definedName name="A2327515W_Latest">Data1!$EQ$320</definedName>
    <definedName name="A2327556T">Data1!$AH$1:$AH$10,Data1!$AH$139:$AH$320</definedName>
    <definedName name="A2327556T_Data">Data1!$AH$139:$AH$320</definedName>
    <definedName name="A2327556T_Latest">Data1!$AH$320</definedName>
    <definedName name="A2327560J">Data1!$FJ$1:$FJ$10,Data1!$FJ$140:$FJ$320</definedName>
    <definedName name="A2327560J_Data">Data1!$FJ$140:$FJ$320</definedName>
    <definedName name="A2327560J_Latest">Data1!$FJ$320</definedName>
    <definedName name="A2327601T">Data1!$AI$1:$AI$10,Data1!$AI$139:$AI$320</definedName>
    <definedName name="A2327601T_Data">Data1!$AI$139:$AI$320</definedName>
    <definedName name="A2327601T_Latest">Data1!$AI$320</definedName>
    <definedName name="A2327605A">Data1!$FK$1:$FK$10,Data1!$FK$140:$FK$320</definedName>
    <definedName name="A2327605A_Data">Data1!$FK$140:$FK$320</definedName>
    <definedName name="A2327605A_Latest">Data1!$FK$320</definedName>
    <definedName name="A2327646W">Data1!$X$1:$X$10,Data1!$X$139:$X$320</definedName>
    <definedName name="A2327646W_Data">Data1!$X$139:$X$320</definedName>
    <definedName name="A2327646W_Latest">Data1!$X$320</definedName>
    <definedName name="A2327650L">Data1!$EZ$1:$EZ$10,Data1!$EZ$140:$EZ$320</definedName>
    <definedName name="A2327650L_Data">Data1!$EZ$140:$EZ$320</definedName>
    <definedName name="A2327650L_Latest">Data1!$EZ$320</definedName>
    <definedName name="A2327691J">Data1!$Y$1:$Y$10,Data1!$Y$139:$Y$320</definedName>
    <definedName name="A2327691J_Data">Data1!$Y$139:$Y$320</definedName>
    <definedName name="A2327691J_Latest">Data1!$Y$320</definedName>
    <definedName name="A2327695T">Data1!$FA$1:$FA$10,Data1!$FA$140:$FA$320</definedName>
    <definedName name="A2327695T_Data">Data1!$FA$140:$FA$320</definedName>
    <definedName name="A2327695T_Latest">Data1!$FA$320</definedName>
    <definedName name="A2327736A">Data1!$AE$1:$AE$10,Data1!$AE$139:$AE$320</definedName>
    <definedName name="A2327736A_Data">Data1!$AE$139:$AE$320</definedName>
    <definedName name="A2327736A_Latest">Data1!$AE$320</definedName>
    <definedName name="A2327740T">Data1!$FG$1:$FG$10,Data1!$FG$140:$FG$320</definedName>
    <definedName name="A2327740T_Data">Data1!$FG$140:$FG$320</definedName>
    <definedName name="A2327740T_Latest">Data1!$FG$320</definedName>
    <definedName name="A2327781L">Data1!$AC$1:$AC$10,Data1!$AC$139:$AC$320</definedName>
    <definedName name="A2327781L_Data">Data1!$AC$139:$AC$320</definedName>
    <definedName name="A2327781L_Latest">Data1!$AC$320</definedName>
    <definedName name="A2327785W">Data1!$FE$1:$FE$10,Data1!$FE$140:$FE$320</definedName>
    <definedName name="A2327785W_Data">Data1!$FE$140:$FE$320</definedName>
    <definedName name="A2327785W_Latest">Data1!$FE$320</definedName>
    <definedName name="A2327916K">Data1!$AW$1:$AW$10,Data1!$AW$139:$AW$320</definedName>
    <definedName name="A2327916K_Data">Data1!$AW$139:$AW$320</definedName>
    <definedName name="A2327916K_Latest">Data1!$AW$320</definedName>
    <definedName name="A2327920A">Data1!$FY$1:$FY$10,Data1!$FY$140:$FY$320</definedName>
    <definedName name="A2327920A_Data">Data1!$FY$140:$FY$320</definedName>
    <definedName name="A2327920A_Latest">Data1!$FY$320</definedName>
    <definedName name="A2327961W">Data1!$AX$1:$AX$10,Data1!$AX$139:$AX$320</definedName>
    <definedName name="A2327961W_Data">Data1!$AX$139:$AX$320</definedName>
    <definedName name="A2327961W_Latest">Data1!$AX$320</definedName>
    <definedName name="A2327965F">Data1!$FZ$1:$FZ$10,Data1!$FZ$140:$FZ$320</definedName>
    <definedName name="A2327965F_Data">Data1!$FZ$140:$FZ$320</definedName>
    <definedName name="A2327965F_Latest">Data1!$FZ$320</definedName>
    <definedName name="A2328006T">Data1!$AY$1:$AY$10,Data1!$AY$139:$AY$320</definedName>
    <definedName name="A2328006T_Data">Data1!$AY$139:$AY$320</definedName>
    <definedName name="A2328006T_Latest">Data1!$AY$320</definedName>
    <definedName name="A2328010J">Data1!$GA$1:$GA$10,Data1!$GA$140:$GA$320</definedName>
    <definedName name="A2328010J_Data">Data1!$GA$140:$GA$320</definedName>
    <definedName name="A2328010J_Latest">Data1!$GA$320</definedName>
    <definedName name="A2328051C">Data1!$BB$1:$BB$10,Data1!$BB$107:$BB$320</definedName>
    <definedName name="A2328051C_Data">Data1!$BB$107:$BB$320</definedName>
    <definedName name="A2328051C_Latest">Data1!$BB$320</definedName>
    <definedName name="A2328055L">Data1!$GD$1:$GD$10,Data1!$GD$108:$GD$320</definedName>
    <definedName name="A2328055L_Data">Data1!$GD$108:$GD$320</definedName>
    <definedName name="A2328055L_Latest">Data1!$GD$320</definedName>
    <definedName name="A2328096J">Data1!$BI$1:$BI$10,Data1!$BI$139:$BI$320</definedName>
    <definedName name="A2328096J_Data">Data1!$BI$139:$BI$320</definedName>
    <definedName name="A2328096J_Latest">Data1!$BI$320</definedName>
    <definedName name="A2328100L">Data1!$GK$1:$GK$10,Data1!$GK$140:$GK$320</definedName>
    <definedName name="A2328100L_Data">Data1!$GK$140:$GK$320</definedName>
    <definedName name="A2328100L_Latest">Data1!$GK$320</definedName>
    <definedName name="A2328141J">Data1!$BM$1:$BM$10,Data1!$BM$139:$BM$320</definedName>
    <definedName name="A2328141J_Data">Data1!$BM$139:$BM$320</definedName>
    <definedName name="A2328141J_Latest">Data1!$BM$320</definedName>
    <definedName name="A2328145T">Data1!$GO$1:$GO$10,Data1!$GO$140:$GO$320</definedName>
    <definedName name="A2328145T_Data">Data1!$GO$140:$GO$320</definedName>
    <definedName name="A2328145T_Latest">Data1!$GO$320</definedName>
    <definedName name="A2328186L">Data1!$BQ$1:$BQ$10,Data1!$BQ$139:$BQ$320</definedName>
    <definedName name="A2328186L_Data">Data1!$BQ$139:$BQ$320</definedName>
    <definedName name="A2328186L_Latest">Data1!$BQ$320</definedName>
    <definedName name="A2328190C">Data1!$GS$1:$GS$10,Data1!$GS$140:$GS$320</definedName>
    <definedName name="A2328190C_Data">Data1!$GS$140:$GS$320</definedName>
    <definedName name="A2328190C_Latest">Data1!$GS$320</definedName>
    <definedName name="A2328276T">Data1!$BV$1:$BV$10,Data1!$BV$107:$BV$320</definedName>
    <definedName name="A2328276T_Data">Data1!$BV$107:$BV$320</definedName>
    <definedName name="A2328276T_Latest">Data1!$BV$320</definedName>
    <definedName name="A2328280J">Data1!$GX$1:$GX$10,Data1!$GX$108:$GX$320</definedName>
    <definedName name="A2328280J_Data">Data1!$GX$108:$GX$320</definedName>
    <definedName name="A2328280J_Latest">Data1!$GX$320</definedName>
    <definedName name="A2328321T">Data1!$BY$1:$BY$10,Data1!$BY$139:$BY$320</definedName>
    <definedName name="A2328321T_Data">Data1!$BY$139:$BY$320</definedName>
    <definedName name="A2328321T_Latest">Data1!$BY$320</definedName>
    <definedName name="A2328325A">Data1!$HA$1:$HA$10,Data1!$HA$140:$HA$320</definedName>
    <definedName name="A2328325A_Data">Data1!$HA$140:$HA$320</definedName>
    <definedName name="A2328325A_Latest">Data1!$HA$320</definedName>
    <definedName name="A2328366W">Data1!$CA$1:$CA$10,Data1!$CA$139:$CA$320</definedName>
    <definedName name="A2328366W_Data">Data1!$CA$139:$CA$320</definedName>
    <definedName name="A2328366W_Latest">Data1!$CA$320</definedName>
    <definedName name="A2328370L">Data1!$HC$1:$HC$10,Data1!$HC$140:$HC$320</definedName>
    <definedName name="A2328370L_Data">Data1!$HC$140:$HC$320</definedName>
    <definedName name="A2328370L_Latest">Data1!$HC$320</definedName>
    <definedName name="A2328411W">Data1!$DP$1:$DP$10,Data1!$DP$164:$DP$320</definedName>
    <definedName name="A2328411W_Data">Data1!$DP$164:$DP$320</definedName>
    <definedName name="A2328411W_Latest">Data1!$DP$320</definedName>
    <definedName name="A2328415F">Data2!$B$1:$B$10,Data2!$B$165:$B$320</definedName>
    <definedName name="A2328415F_Data">Data2!$B$165:$B$320</definedName>
    <definedName name="A2328415F_Latest">Data2!$B$320</definedName>
    <definedName name="A2328456A">Data1!$DO$1:$DO$10,Data1!$DO$139:$DO$320</definedName>
    <definedName name="A2328456A_Data">Data1!$DO$139:$DO$320</definedName>
    <definedName name="A2328456A_Latest">Data1!$DO$320</definedName>
    <definedName name="A2328460T">Data1!$IQ$1:$IQ$10,Data1!$IQ$140:$IQ$320</definedName>
    <definedName name="A2328460T_Data">Data1!$IQ$140:$IQ$320</definedName>
    <definedName name="A2328460T_Latest">Data1!$IQ$320</definedName>
    <definedName name="A2328501A">Data1!$CZ$1:$CZ$10,Data1!$CZ$139:$CZ$320</definedName>
    <definedName name="A2328501A_Data">Data1!$CZ$139:$CZ$320</definedName>
    <definedName name="A2328501A_Latest">Data1!$CZ$320</definedName>
    <definedName name="A2328505K">Data1!$IB$1:$IB$10,Data1!$IB$140:$IB$320</definedName>
    <definedName name="A2328505K_Data">Data1!$IB$140:$IB$320</definedName>
    <definedName name="A2328505K_Latest">Data1!$IB$320</definedName>
    <definedName name="A2328546F">Data1!$DA$1:$DA$10,Data1!$DA$139:$DA$320</definedName>
    <definedName name="A2328546F_Data">Data1!$DA$139:$DA$320</definedName>
    <definedName name="A2328546F_Latest">Data1!$DA$320</definedName>
    <definedName name="A2328550W">Data1!$IC$1:$IC$10,Data1!$IC$140:$IC$320</definedName>
    <definedName name="A2328550W_Data">Data1!$IC$140:$IC$320</definedName>
    <definedName name="A2328550W_Latest">Data1!$IC$320</definedName>
    <definedName name="A2328591T">Data1!$CQ$1:$CQ$10,Data1!$CQ$107:$CQ$320</definedName>
    <definedName name="A2328591T_Data">Data1!$CQ$107:$CQ$320</definedName>
    <definedName name="A2328591T_Latest">Data1!$CQ$320</definedName>
    <definedName name="A2328595A">Data1!$HS$1:$HS$10,Data1!$HS$108:$HS$320</definedName>
    <definedName name="A2328595A_Data">Data1!$HS$108:$HS$320</definedName>
    <definedName name="A2328595A_Latest">Data1!$HS$320</definedName>
    <definedName name="A2328636K">Data1!$CS$1:$CS$10,Data1!$CS$107:$CS$320</definedName>
    <definedName name="A2328636K_Data">Data1!$CS$107:$CS$320</definedName>
    <definedName name="A2328636K_Latest">Data1!$CS$320</definedName>
    <definedName name="A2328640A">Data1!$HU$1:$HU$10,Data1!$HU$108:$HU$320</definedName>
    <definedName name="A2328640A_Data">Data1!$HU$108:$HU$320</definedName>
    <definedName name="A2328640A_Latest">Data1!$HU$320</definedName>
    <definedName name="A2328681W">Data1!$CU$1:$CU$10,Data1!$CU$139:$CU$320</definedName>
    <definedName name="A2328681W_Data">Data1!$CU$139:$CU$320</definedName>
    <definedName name="A2328681W_Latest">Data1!$CU$320</definedName>
    <definedName name="A2328685F">Data1!$HW$1:$HW$10,Data1!$HW$140:$HW$320</definedName>
    <definedName name="A2328685F_Data">Data1!$HW$140:$HW$320</definedName>
    <definedName name="A2328685F_Latest">Data1!$HW$320</definedName>
    <definedName name="A2328726R">Data1!$CR$1:$CR$10,Data1!$CR$139:$CR$320</definedName>
    <definedName name="A2328726R_Data">Data1!$CR$139:$CR$320</definedName>
    <definedName name="A2328726R_Latest">Data1!$CR$320</definedName>
    <definedName name="A2328730F">Data1!$HT$1:$HT$10,Data1!$HT$140:$HT$320</definedName>
    <definedName name="A2328730F_Data">Data1!$HT$140:$HT$320</definedName>
    <definedName name="A2328730F_Latest">Data1!$HT$320</definedName>
    <definedName name="A2328771A">Data1!$CT$1:$CT$10,Data1!$CT$139:$CT$320</definedName>
    <definedName name="A2328771A_Data">Data1!$CT$139:$CT$320</definedName>
    <definedName name="A2328771A_Latest">Data1!$CT$320</definedName>
    <definedName name="A2328775K">Data1!$HV$1:$HV$10,Data1!$HV$140:$HV$320</definedName>
    <definedName name="A2328775K_Data">Data1!$HV$140:$HV$320</definedName>
    <definedName name="A2328775K_Latest">Data1!$HV$320</definedName>
    <definedName name="A2328816V">Data1!$CW$1:$CW$10,Data1!$CW$107:$CW$320</definedName>
    <definedName name="A2328816V_Data">Data1!$CW$107:$CW$320</definedName>
    <definedName name="A2328816V_Latest">Data1!$CW$320</definedName>
    <definedName name="A2328820K">Data1!$HY$1:$HY$10,Data1!$HY$108:$HY$320</definedName>
    <definedName name="A2328820K_Data">Data1!$HY$108:$HY$320</definedName>
    <definedName name="A2328820K_Latest">Data1!$HY$320</definedName>
    <definedName name="A2328861F">Data1!$AN$1:$AN$10,Data1!$AN$107:$AN$320</definedName>
    <definedName name="A2328861F_Data">Data1!$AN$107:$AN$320</definedName>
    <definedName name="A2328861F_Latest">Data1!$AN$320</definedName>
    <definedName name="A2328865R">Data1!$FP$1:$FP$10,Data1!$FP$108:$FP$320</definedName>
    <definedName name="A2328865R_Data">Data1!$FP$108:$FP$320</definedName>
    <definedName name="A2328865R_Latest">Data1!$FP$320</definedName>
    <definedName name="A2328906X">Data1!$AM$1:$AM$10,Data1!$AM$139:$AM$320</definedName>
    <definedName name="A2328906X_Data">Data1!$AM$139:$AM$320</definedName>
    <definedName name="A2328906X_Latest">Data1!$AM$320</definedName>
    <definedName name="A2328910R">Data1!$FO$1:$FO$10,Data1!$FO$140:$FO$320</definedName>
    <definedName name="A2328910R_Data">Data1!$FO$140:$FO$320</definedName>
    <definedName name="A2328910R_Latest">Data1!$FO$320</definedName>
    <definedName name="A2328951K">Data1!$AL$1:$AL$10,Data1!$AL$139:$AL$320</definedName>
    <definedName name="A2328951K_Data">Data1!$AL$139:$AL$320</definedName>
    <definedName name="A2328951K_Latest">Data1!$AL$320</definedName>
    <definedName name="A2328955V">Data1!$FN$1:$FN$10,Data1!$FN$140:$FN$320</definedName>
    <definedName name="A2328955V_Data">Data1!$FN$140:$FN$320</definedName>
    <definedName name="A2328955V_Latest">Data1!$FN$320</definedName>
    <definedName name="A2328996R">Data1!$AP$1:$AP$10,Data1!$AP$107:$AP$320</definedName>
    <definedName name="A2328996R_Data">Data1!$AP$107:$AP$320</definedName>
    <definedName name="A2328996R_Latest">Data1!$AP$320</definedName>
    <definedName name="A2329000W">Data1!$FR$1:$FR$10,Data1!$FR$108:$FR$320</definedName>
    <definedName name="A2329000W_Data">Data1!$FR$108:$FR$320</definedName>
    <definedName name="A2329000W_Latest">Data1!$FR$320</definedName>
    <definedName name="A2329041T">Data1!$CM$1:$CM$10,Data1!$CM$139:$CM$320</definedName>
    <definedName name="A2329041T_Data">Data1!$CM$139:$CM$320</definedName>
    <definedName name="A2329041T_Latest">Data1!$CM$320</definedName>
    <definedName name="A2329045A">Data1!$HO$1:$HO$10,Data1!$HO$140:$HO$320</definedName>
    <definedName name="A2329045A_Data">Data1!$HO$140:$HO$320</definedName>
    <definedName name="A2329045A_Latest">Data1!$HO$320</definedName>
    <definedName name="A2329086W">Data1!$CK$1:$CK$10,Data1!$CK$164:$CK$320</definedName>
    <definedName name="A2329086W_Data">Data1!$CK$164:$CK$320</definedName>
    <definedName name="A2329086W_Latest">Data1!$CK$320</definedName>
    <definedName name="A2329090L">Data1!$HM$1:$HM$10,Data1!$HM$165:$HM$320</definedName>
    <definedName name="A2329090L_Data">Data1!$HM$165:$HM$320</definedName>
    <definedName name="A2329090L_Latest">Data1!$HM$320</definedName>
    <definedName name="A2329131W">Data1!$CN$1:$CN$10,Data1!$CN$139:$CN$320</definedName>
    <definedName name="A2329131W_Data">Data1!$CN$139:$CN$320</definedName>
    <definedName name="A2329131W_Latest">Data1!$CN$320</definedName>
    <definedName name="A2329135F">Data1!$HP$1:$HP$10,Data1!$HP$140:$HP$320</definedName>
    <definedName name="A2329135F_Data">Data1!$HP$140:$HP$320</definedName>
    <definedName name="A2329135F_Latest">Data1!$HP$320</definedName>
    <definedName name="A2329176A">Data1!$CJ$1:$CJ$10,Data1!$CJ$139:$CJ$320</definedName>
    <definedName name="A2329176A_Data">Data1!$CJ$139:$CJ$320</definedName>
    <definedName name="A2329176A_Latest">Data1!$CJ$320</definedName>
    <definedName name="A2329180T">Data1!$HL$1:$HL$10,Data1!$HL$140:$HL$320</definedName>
    <definedName name="A2329180T_Data">Data1!$HL$140:$HL$320</definedName>
    <definedName name="A2329180T_Latest">Data1!$HL$320</definedName>
    <definedName name="A2329221A">Data1!$CB$1:$CB$10,Data1!$CB$139:$CB$320</definedName>
    <definedName name="A2329221A_Data">Data1!$CB$139:$CB$320</definedName>
    <definedName name="A2329221A_Latest">Data1!$CB$320</definedName>
    <definedName name="A2329225K">Data1!$HD$1:$HD$10,Data1!$HD$140:$HD$320</definedName>
    <definedName name="A2329225K_Data">Data1!$HD$140:$HD$320</definedName>
    <definedName name="A2329225K_Latest">Data1!$HD$320</definedName>
    <definedName name="A2329266F">Data1!$CF$1:$CF$10,Data1!$CF$107:$CF$320</definedName>
    <definedName name="A2329266F_Data">Data1!$CF$107:$CF$320</definedName>
    <definedName name="A2329266F_Latest">Data1!$CF$320</definedName>
    <definedName name="A2329270W">Data1!$HH$1:$HH$10,Data1!$HH$108:$HH$320</definedName>
    <definedName name="A2329270W_Data">Data1!$HH$108:$HH$320</definedName>
    <definedName name="A2329270W_Latest">Data1!$HH$320</definedName>
    <definedName name="A2329311F">Data1!$DD$1:$DD$10,Data1!$DD$139:$DD$320</definedName>
    <definedName name="A2329311F_Data">Data1!$DD$139:$DD$320</definedName>
    <definedName name="A2329311F_Latest">Data1!$DD$320</definedName>
    <definedName name="A2329315R">Data1!$IF$1:$IF$10,Data1!$IF$140:$IF$320</definedName>
    <definedName name="A2329315R_Data">Data1!$IF$140:$IF$320</definedName>
    <definedName name="A2329315R_Latest">Data1!$IF$320</definedName>
    <definedName name="A2329356K">Data1!$DJ$1:$DJ$10,Data1!$DJ$145:$DJ$320</definedName>
    <definedName name="A2329356K_Data">Data1!$DJ$145:$DJ$320</definedName>
    <definedName name="A2329356K_Latest">Data1!$DJ$320</definedName>
    <definedName name="A2329360A">Data1!$IL$1:$IL$10,Data1!$IL$146:$IL$320</definedName>
    <definedName name="A2329360A_Data">Data1!$IL$146:$IL$320</definedName>
    <definedName name="A2329360A_Latest">Data1!$IL$320</definedName>
    <definedName name="A2329401K">Data1!$DK$1:$DK$10,Data1!$DK$145:$DK$320</definedName>
    <definedName name="A2329401K_Data">Data1!$DK$145:$DK$320</definedName>
    <definedName name="A2329401K_Latest">Data1!$DK$320</definedName>
    <definedName name="A2329405V">Data1!$IM$1:$IM$10,Data1!$IM$146:$IM$320</definedName>
    <definedName name="A2329405V_Data">Data1!$IM$146:$IM$320</definedName>
    <definedName name="A2329405V_Latest">Data1!$IM$320</definedName>
    <definedName name="A2329446R">Data1!$DT$1:$DT$10,Data1!$DT$145:$DT$320</definedName>
    <definedName name="A2329446R_Data">Data1!$DT$145:$DT$320</definedName>
    <definedName name="A2329446R_Latest">Data1!$DT$320</definedName>
    <definedName name="A2329450F">Data2!$F$1:$F$10,Data2!$F$146:$F$320</definedName>
    <definedName name="A2329450F_Data">Data2!$F$146:$F$320</definedName>
    <definedName name="A2329450F_Latest">Data2!$F$320</definedName>
    <definedName name="A2329491A">Data1!$Z$1:$Z$10,Data1!$Z$175:$Z$320</definedName>
    <definedName name="A2329491A_Data">Data1!$Z$175:$Z$320</definedName>
    <definedName name="A2329491A_Latest">Data1!$Z$320</definedName>
    <definedName name="A2329495K">Data1!$FB$1:$FB$10,Data1!$FB$176:$FB$320</definedName>
    <definedName name="A2329495K_Data">Data1!$FB$176:$FB$320</definedName>
    <definedName name="A2329495K_Latest">Data1!$FB$320</definedName>
    <definedName name="A2329536V">Data1!$AA$1:$AA$10,Data1!$AA$175:$AA$320</definedName>
    <definedName name="A2329536V_Data">Data1!$AA$175:$AA$320</definedName>
    <definedName name="A2329536V_Latest">Data1!$AA$320</definedName>
    <definedName name="A2329540K">Data1!$FC$1:$FC$10,Data1!$FC$176:$FC$320</definedName>
    <definedName name="A2329540K_Data">Data1!$FC$176:$FC$320</definedName>
    <definedName name="A2329540K_Latest">Data1!$FC$320</definedName>
    <definedName name="A2329581F">Data1!$AS$1:$AS$10,Data1!$AS$175:$AS$320</definedName>
    <definedName name="A2329581F_Data">Data1!$AS$175:$AS$320</definedName>
    <definedName name="A2329581F_Latest">Data1!$AS$320</definedName>
    <definedName name="A2329585R">Data1!$FU$1:$FU$10,Data1!$FU$176:$FU$320</definedName>
    <definedName name="A2329585R_Data">Data1!$FU$176:$FU$320</definedName>
    <definedName name="A2329585R_Latest">Data1!$FU$320</definedName>
    <definedName name="A2329716C">Data1!$AT$1:$AT$10,Data1!$AT$175:$AT$320</definedName>
    <definedName name="A2329716C_Data">Data1!$AT$175:$AT$320</definedName>
    <definedName name="A2329716C_Latest">Data1!$AT$320</definedName>
    <definedName name="A2329720V">Data1!$FV$1:$FV$10,Data1!$FV$176:$FV$320</definedName>
    <definedName name="A2329720V_Data">Data1!$FV$176:$FV$320</definedName>
    <definedName name="A2329720V_Latest">Data1!$FV$320</definedName>
    <definedName name="A2329761R">Data1!$AU$1:$AU$10,Data1!$AU$175:$AU$320</definedName>
    <definedName name="A2329761R_Data">Data1!$AU$175:$AU$320</definedName>
    <definedName name="A2329761R_Latest">Data1!$AU$320</definedName>
    <definedName name="A2329765X">Data1!$FW$1:$FW$10,Data1!$FW$176:$FW$320</definedName>
    <definedName name="A2329765X_Data">Data1!$FW$176:$FW$320</definedName>
    <definedName name="A2329765X_Latest">Data1!$FW$320</definedName>
    <definedName name="A2329806J">Data1!$AZ$1:$AZ$10,Data1!$AZ$210:$AZ$320</definedName>
    <definedName name="A2329806J_Data">Data1!$AZ$210:$AZ$320</definedName>
    <definedName name="A2329806J_Latest">Data1!$AZ$320</definedName>
    <definedName name="A2329810X">Data1!$GB$1:$GB$10,Data1!$GB$211:$GB$320</definedName>
    <definedName name="A2329810X_Data">Data1!$GB$211:$GB$320</definedName>
    <definedName name="A2329810X_Latest">Data1!$GB$320</definedName>
    <definedName name="A2329851V">Data1!$BA$1:$BA$10,Data1!$BA$210:$BA$320</definedName>
    <definedName name="A2329851V_Data">Data1!$BA$210:$BA$320</definedName>
    <definedName name="A2329851V_Latest">Data1!$BA$320</definedName>
    <definedName name="A2329855C">Data1!$GC$1:$GC$10,Data1!$GC$211:$GC$320</definedName>
    <definedName name="A2329855C_Data">Data1!$GC$211:$GC$320</definedName>
    <definedName name="A2329855C_Latest">Data1!$GC$320</definedName>
    <definedName name="A2329896X">Data1!$BL$1:$BL$10,Data1!$BL$210:$BL$320</definedName>
    <definedName name="A2329896X_Data">Data1!$BL$210:$BL$320</definedName>
    <definedName name="A2329896X_Latest">Data1!$BL$320</definedName>
    <definedName name="A2329900C">Data1!$GN$1:$GN$10,Data1!$GN$211:$GN$320</definedName>
    <definedName name="A2329900C_Data">Data1!$GN$211:$GN$320</definedName>
    <definedName name="A2329900C_Latest">Data1!$GN$320</definedName>
    <definedName name="A2329941X">Data1!$BG$1:$BG$10,Data1!$BG$210:$BG$320</definedName>
    <definedName name="A2329941X_Data">Data1!$BG$210:$BG$320</definedName>
    <definedName name="A2329941X_Latest">Data1!$BG$320</definedName>
    <definedName name="A2329945J">Data1!$GI$1:$GI$10,Data1!$GI$211:$GI$320</definedName>
    <definedName name="A2329945J_Data">Data1!$GI$211:$GI$320</definedName>
    <definedName name="A2329945J_Latest">Data1!$GI$320</definedName>
    <definedName name="A2329986C">Data1!$BJ$1:$BJ$10,Data1!$BJ$210:$BJ$320</definedName>
    <definedName name="A2329986C_Data">Data1!$BJ$210:$BJ$320</definedName>
    <definedName name="A2329986C_Latest">Data1!$BJ$320</definedName>
    <definedName name="A2329990V">Data1!$GL$1:$GL$10,Data1!$GL$211:$GL$320</definedName>
    <definedName name="A2329990V_Data">Data1!$GL$211:$GL$320</definedName>
    <definedName name="A2329990V_Latest">Data1!$GL$320</definedName>
    <definedName name="A2330031K">Data1!$BU$1:$BU$10,Data1!$BU$175:$BU$320</definedName>
    <definedName name="A2330031K_Data">Data1!$BU$175:$BU$320</definedName>
    <definedName name="A2330031K_Latest">Data1!$BU$320</definedName>
    <definedName name="A2330035V">Data1!$GW$1:$GW$10,Data1!$GW$176:$GW$320</definedName>
    <definedName name="A2330035V_Data">Data1!$GW$176:$GW$320</definedName>
    <definedName name="A2330035V_Latest">Data1!$GW$320</definedName>
    <definedName name="A2330076R">Data1!$BZ$1:$BZ$10,Data1!$BZ$175:$BZ$320</definedName>
    <definedName name="A2330076R_Data">Data1!$BZ$175:$BZ$320</definedName>
    <definedName name="A2330076R_Latest">Data1!$BZ$320</definedName>
    <definedName name="A2330080F">Data1!$HB$1:$HB$10,Data1!$HB$176:$HB$320</definedName>
    <definedName name="A2330080F_Data">Data1!$HB$176:$HB$320</definedName>
    <definedName name="A2330080F_Latest">Data1!$HB$320</definedName>
    <definedName name="A2330121R">Data1!$CC$1:$CC$10,Data1!$CC$175:$CC$320</definedName>
    <definedName name="A2330121R_Data">Data1!$CC$175:$CC$320</definedName>
    <definedName name="A2330121R_Latest">Data1!$CC$320</definedName>
    <definedName name="A2330125X">Data1!$HE$1:$HE$10,Data1!$HE$176:$HE$320</definedName>
    <definedName name="A2330125X_Data">Data1!$HE$176:$HE$320</definedName>
    <definedName name="A2330125X_Latest">Data1!$HE$320</definedName>
    <definedName name="A2330166V">Data1!$CD$1:$CD$10,Data1!$CD$175:$CD$320</definedName>
    <definedName name="A2330166V_Data">Data1!$CD$175:$CD$320</definedName>
    <definedName name="A2330166V_Latest">Data1!$CD$320</definedName>
    <definedName name="A2330170K">Data1!$HF$1:$HF$10,Data1!$HF$176:$HF$320</definedName>
    <definedName name="A2330170K_Data">Data1!$HF$176:$HF$320</definedName>
    <definedName name="A2330170K_Latest">Data1!$HF$320</definedName>
    <definedName name="A2330211V">Data1!$DG$1:$DG$10,Data1!$DG$210:$DG$320</definedName>
    <definedName name="A2330211V_Data">Data1!$DG$210:$DG$320</definedName>
    <definedName name="A2330211V_Latest">Data1!$DG$320</definedName>
    <definedName name="A2330215C">Data1!$II$1:$II$10,Data1!$II$211:$II$320</definedName>
    <definedName name="A2330215C_Data">Data1!$II$211:$II$320</definedName>
    <definedName name="A2330215C_Latest">Data1!$II$320</definedName>
    <definedName name="A2330346C">Data1!$DM$1:$DM$10,Data1!$DM$210:$DM$320</definedName>
    <definedName name="A2330346C_Data">Data1!$DM$210:$DM$320</definedName>
    <definedName name="A2330346C_Latest">Data1!$DM$320</definedName>
    <definedName name="A2330350V">Data1!$IO$1:$IO$10,Data1!$IO$211:$IO$320</definedName>
    <definedName name="A2330350V_Data">Data1!$IO$211:$IO$320</definedName>
    <definedName name="A2330350V_Latest">Data1!$IO$320</definedName>
    <definedName name="A2330391R">Data1!$DN$1:$DN$10,Data1!$DN$210:$DN$320</definedName>
    <definedName name="A2330391R_Data">Data1!$DN$210:$DN$320</definedName>
    <definedName name="A2330391R_Latest">Data1!$DN$320</definedName>
    <definedName name="A2330395X">Data1!$IP$1:$IP$10,Data1!$IP$211:$IP$320</definedName>
    <definedName name="A2330395X_Data">Data1!$IP$211:$IP$320</definedName>
    <definedName name="A2330395X_Latest">Data1!$IP$320</definedName>
    <definedName name="A2330436J">Data1!$DQ$1:$DQ$10,Data1!$DQ$210:$DQ$320</definedName>
    <definedName name="A2330436J_Data">Data1!$DQ$210:$DQ$320</definedName>
    <definedName name="A2330436J_Latest">Data1!$DQ$320</definedName>
    <definedName name="A2330440X">Data2!$C$1:$C$10,Data2!$C$211:$C$320</definedName>
    <definedName name="A2330440X_Data">Data2!$C$211:$C$320</definedName>
    <definedName name="A2330440X_Latest">Data2!$C$320</definedName>
    <definedName name="A2330481V">Data1!$DR$1:$DR$10,Data1!$DR$210:$DR$320</definedName>
    <definedName name="A2330481V_Data">Data1!$DR$210:$DR$320</definedName>
    <definedName name="A2330481V_Latest">Data1!$DR$320</definedName>
    <definedName name="A2330485C">Data2!$D$1:$D$10,Data2!$D$211:$D$320</definedName>
    <definedName name="A2330485C_Data">Data2!$D$211:$D$320</definedName>
    <definedName name="A2330485C_Latest">Data2!$D$320</definedName>
    <definedName name="A2330886T">Data1!$T$1:$T$10,Data1!$T$175:$T$320</definedName>
    <definedName name="A2330886T_Data">Data1!$T$175:$T$320</definedName>
    <definedName name="A2330886T_Latest">Data1!$T$320</definedName>
    <definedName name="A2330890J">Data1!$EV$1:$EV$10,Data1!$EV$176:$EV$320</definedName>
    <definedName name="A2330890J_Data">Data1!$EV$176:$EV$320</definedName>
    <definedName name="A2330890J_Latest">Data1!$EV$320</definedName>
    <definedName name="A2330931T">Data1!$U$1:$U$10,Data1!$U$175:$U$320</definedName>
    <definedName name="A2330931T_Data">Data1!$U$175:$U$320</definedName>
    <definedName name="A2330931T_Latest">Data1!$U$320</definedName>
    <definedName name="A2330935A">Data1!$EW$1:$EW$10,Data1!$EW$176:$EW$320</definedName>
    <definedName name="A2330935A_Data">Data1!$EW$176:$EW$320</definedName>
    <definedName name="A2330935A_Latest">Data1!$EW$320</definedName>
    <definedName name="A2330976W">Data1!$V$1:$V$10,Data1!$V$175:$V$320</definedName>
    <definedName name="A2330976W_Data">Data1!$V$175:$V$320</definedName>
    <definedName name="A2330976W_Latest">Data1!$V$320</definedName>
    <definedName name="A2330980L">Data1!$EX$1:$EX$10,Data1!$EX$176:$EX$320</definedName>
    <definedName name="A2330980L_Data">Data1!$EX$176:$EX$320</definedName>
    <definedName name="A2330980L_Latest">Data1!$EX$320</definedName>
    <definedName name="A2331021X">Data1!$BW$1:$BW$10,Data1!$BW$107:$BW$320</definedName>
    <definedName name="A2331021X_Data">Data1!$BW$107:$BW$320</definedName>
    <definedName name="A2331021X_Latest">Data1!$BW$320</definedName>
    <definedName name="A2331025J">Data1!$GY$1:$GY$10,Data1!$GY$108:$GY$320</definedName>
    <definedName name="A2331025J_Data">Data1!$GY$108:$GY$320</definedName>
    <definedName name="A2331025J_Latest">Data1!$GY$320</definedName>
    <definedName name="A2331066C">Data1!$BX$1:$BX$10,Data1!$BX$175:$BX$320</definedName>
    <definedName name="A2331066C_Data">Data1!$BX$175:$BX$320</definedName>
    <definedName name="A2331066C_Latest">Data1!$BX$320</definedName>
    <definedName name="A2331070V">Data1!$GZ$1:$GZ$10,Data1!$GZ$176:$GZ$320</definedName>
    <definedName name="A2331070V_Data">Data1!$GZ$176:$GZ$320</definedName>
    <definedName name="A2331070V_Latest">Data1!$GZ$320</definedName>
    <definedName name="A2331111C">Data1!$CH$1:$CH$10,Data1!$CH$175:$CH$320</definedName>
    <definedName name="A2331111C_Data">Data1!$CH$175:$CH$320</definedName>
    <definedName name="A2331111C_Latest">Data1!$CH$320</definedName>
    <definedName name="A2331115L">Data1!$HJ$1:$HJ$10,Data1!$HJ$176:$HJ$320</definedName>
    <definedName name="A2331115L_Data">Data1!$HJ$176:$HJ$320</definedName>
    <definedName name="A2331115L_Latest">Data1!$HJ$320</definedName>
    <definedName name="A2331201J">Data1!$CX$1:$CX$10,Data1!$CX$107:$CX$320</definedName>
    <definedName name="A2331201J_Data">Data1!$CX$107:$CX$320</definedName>
    <definedName name="A2331201J_Latest">Data1!$CX$320</definedName>
    <definedName name="A2331205T">Data1!$HZ$1:$HZ$10,Data1!$HZ$108:$HZ$320</definedName>
    <definedName name="A2331205T_Data">Data1!$HZ$108:$HZ$320</definedName>
    <definedName name="A2331205T_Latest">Data1!$HZ$320</definedName>
    <definedName name="A2331246L">Data1!$DB$1:$DB$10,Data1!$DB$175:$DB$320</definedName>
    <definedName name="A2331246L_Data">Data1!$DB$175:$DB$320</definedName>
    <definedName name="A2331246L_Latest">Data1!$DB$320</definedName>
    <definedName name="A2331250C">Data1!$ID$1:$ID$10,Data1!$ID$176:$ID$320</definedName>
    <definedName name="A2331250C_Data">Data1!$ID$176:$ID$320</definedName>
    <definedName name="A2331250C_Latest">Data1!$ID$320</definedName>
    <definedName name="A2331381C">Data1!$DL$1:$DL$10,Data1!$DL$175:$DL$320</definedName>
    <definedName name="A2331381C_Data">Data1!$DL$175:$DL$320</definedName>
    <definedName name="A2331381C_Latest">Data1!$DL$320</definedName>
    <definedName name="A2331385L">Data1!$IN$1:$IN$10,Data1!$IN$176:$IN$320</definedName>
    <definedName name="A2331385L_Data">Data1!$IN$176:$IN$320</definedName>
    <definedName name="A2331385L_Latest">Data1!$IN$320</definedName>
    <definedName name="A2331426W">Data1!$DS$1:$DS$10,Data1!$DS$145:$DS$320</definedName>
    <definedName name="A2331426W_Data">Data1!$DS$145:$DS$320</definedName>
    <definedName name="A2331426W_Latest">Data1!$DS$320</definedName>
    <definedName name="A2331430L">Data2!$E$1:$E$10,Data2!$E$146:$E$320</definedName>
    <definedName name="A2331430L_Data">Data2!$E$146:$E$320</definedName>
    <definedName name="A2331430L_Latest">Data2!$E$320</definedName>
    <definedName name="A2331471J">Data1!$DU$1:$DU$10,Data1!$DU$218:$DU$320</definedName>
    <definedName name="A2331471J_Data">Data1!$DU$218:$DU$320</definedName>
    <definedName name="A2331471J_Latest">Data1!$DU$320</definedName>
    <definedName name="A2331475T">Data2!$G$1:$G$10,Data2!$G$219:$G$320</definedName>
    <definedName name="A2331475T_Data">Data2!$G$219:$G$320</definedName>
    <definedName name="A2331475T_Latest">Data2!$G$320</definedName>
    <definedName name="A2331516A">Data1!$DV$1:$DV$10,Data1!$DV$218:$DV$320</definedName>
    <definedName name="A2331516A_Data">Data1!$DV$218:$DV$320</definedName>
    <definedName name="A2331516A_Latest">Data1!$DV$320</definedName>
    <definedName name="A2331520T">Data2!$H$1:$H$10,Data2!$H$219:$H$320</definedName>
    <definedName name="A2331520T_Data">Data2!$H$219:$H$320</definedName>
    <definedName name="A2331520T_Latest">Data2!$H$320</definedName>
    <definedName name="A2331561L">Data1!$DW$1:$DW$10,Data1!$DW$218:$DW$320</definedName>
    <definedName name="A2331561L_Data">Data1!$DW$218:$DW$320</definedName>
    <definedName name="A2331561L_Latest">Data1!$DW$320</definedName>
    <definedName name="A2331565W">Data2!$I$1:$I$10,Data2!$I$219:$I$320</definedName>
    <definedName name="A2331565W_Data">Data2!$I$219:$I$320</definedName>
    <definedName name="A2331565W_Latest">Data2!$I$320</definedName>
    <definedName name="A2331606F">Data1!$CE$1:$CE$10,Data1!$CE$145:$CE$320</definedName>
    <definedName name="A2331606F_Data">Data1!$CE$145:$CE$320</definedName>
    <definedName name="A2331606F_Latest">Data1!$CE$320</definedName>
    <definedName name="A2331610W">Data1!$HG$1:$HG$10,Data1!$HG$146:$HG$320</definedName>
    <definedName name="A2331610W_Data">Data1!$HG$146:$HG$320</definedName>
    <definedName name="A2331610W_Latest">Data1!$HG$320</definedName>
    <definedName name="A2331696W">Data1!$CG$1:$CG$10,Data1!$CG$175:$CG$320</definedName>
    <definedName name="A2331696W_Data">Data1!$CG$175:$CG$320</definedName>
    <definedName name="A2331696W_Latest">Data1!$CG$320</definedName>
    <definedName name="A2331700A">Data1!$HI$1:$HI$10,Data1!$HI$176:$HI$320</definedName>
    <definedName name="A2331700A_Data">Data1!$HI$176:$HI$320</definedName>
    <definedName name="A2331700A_Latest">Data1!$HI$320</definedName>
    <definedName name="A2331741W">Data1!$AB$1:$AB$10,Data1!$AB$175:$AB$320</definedName>
    <definedName name="A2331741W_Data">Data1!$AB$175:$AB$320</definedName>
    <definedName name="A2331741W_Latest">Data1!$AB$320</definedName>
    <definedName name="A2331745F">Data1!$FD$1:$FD$10,Data1!$FD$176:$FD$320</definedName>
    <definedName name="A2331745F_Data">Data1!$FD$176:$FD$320</definedName>
    <definedName name="A2331745F_Latest">Data1!$FD$320</definedName>
    <definedName name="A2331786A">Data1!$AF$1:$AF$10,Data1!$AF$175:$AF$320</definedName>
    <definedName name="A2331786A_Data">Data1!$AF$175:$AF$320</definedName>
    <definedName name="A2331786A_Latest">Data1!$AF$320</definedName>
    <definedName name="A2331790T">Data1!$FH$1:$FH$10,Data1!$FH$176:$FH$320</definedName>
    <definedName name="A2331790T_Data">Data1!$FH$176:$FH$320</definedName>
    <definedName name="A2331790T_Latest">Data1!$FH$320</definedName>
    <definedName name="A2331876F">Data1!$BD$1:$BD$10,Data1!$BD$107:$BD$320</definedName>
    <definedName name="A2331876F_Data">Data1!$BD$107:$BD$320</definedName>
    <definedName name="A2331876F_Latest">Data1!$BD$320</definedName>
    <definedName name="A2331880W">Data1!$GF$1:$GF$10,Data1!$GF$108:$GF$320</definedName>
    <definedName name="A2331880W_Data">Data1!$GF$108:$GF$320</definedName>
    <definedName name="A2331880W_Latest">Data1!$GF$320</definedName>
    <definedName name="A2331921F">Data1!$BN$1:$BN$10,Data1!$BN$175:$BN$320</definedName>
    <definedName name="A2331921F_Data">Data1!$BN$175:$BN$320</definedName>
    <definedName name="A2331921F_Latest">Data1!$BN$320</definedName>
    <definedName name="A2331925R">Data1!$GP$1:$GP$10,Data1!$GP$176:$GP$320</definedName>
    <definedName name="A2331925R_Data">Data1!$GP$176:$GP$320</definedName>
    <definedName name="A2331925R_Latest">Data1!$GP$320</definedName>
    <definedName name="A2332596F">Data1!$DX$1:$DX$10,Data1!$DX$238:$DX$320</definedName>
    <definedName name="A2332596F_Data">Data1!$DX$238:$DX$320</definedName>
    <definedName name="A2332596F_Latest">Data1!$DX$320</definedName>
    <definedName name="A2332600K">Data2!$J$1:$J$10,Data2!$J$239:$J$320</definedName>
    <definedName name="A2332600K_Data">Data2!$J$239:$J$320</definedName>
    <definedName name="A2332600K_Latest">Data2!$J$320</definedName>
    <definedName name="A2332776R">Data1!$EC$1:$EC$10,Data1!$EC$238:$EC$320</definedName>
    <definedName name="A2332776R_Data">Data1!$EC$238:$EC$320</definedName>
    <definedName name="A2332776R_Latest">Data1!$EC$320</definedName>
    <definedName name="A2332780F">Data2!$O$1:$O$10,Data2!$O$239:$O$320</definedName>
    <definedName name="A2332780F_Data">Data2!$O$239:$O$320</definedName>
    <definedName name="A2332780F_Latest">Data2!$O$320</definedName>
    <definedName name="A3597525W">Data2!$P$1:$P$10,Data2!$P$320</definedName>
    <definedName name="A3597525W_Data">Data2!$P$320</definedName>
    <definedName name="A3597525W_Latest">Data2!$P$320</definedName>
    <definedName name="A3597570J">Data2!$Q$1:$Q$10,Data2!$Q$320</definedName>
    <definedName name="A3597570J_Data">Data2!$Q$320</definedName>
    <definedName name="A3597570J_Latest">Data2!$Q$320</definedName>
    <definedName name="A3597615A">Data2!$BE$1:$BE$10,Data2!$BE$320</definedName>
    <definedName name="A3597615A_Data">Data2!$BE$320</definedName>
    <definedName name="A3597615A_Latest">Data2!$BE$320</definedName>
    <definedName name="A3597660L">Data2!$BQ$1:$BQ$10,Data2!$BQ$320</definedName>
    <definedName name="A3597660L_Data">Data2!$BQ$320</definedName>
    <definedName name="A3597660L_Latest">Data2!$BQ$320</definedName>
    <definedName name="A3597705F">Data2!$CC$1:$CC$10,Data2!$CC$320</definedName>
    <definedName name="A3597705F_Data">Data2!$CC$320</definedName>
    <definedName name="A3597705F_Latest">Data2!$CC$320</definedName>
    <definedName name="A3597750T">Data2!$DC$1:$DC$10,Data2!$DC$320</definedName>
    <definedName name="A3597750T_Data">Data2!$DC$320</definedName>
    <definedName name="A3597750T_Latest">Data2!$DC$320</definedName>
    <definedName name="A3597795W">Data2!$AX$1:$AX$10,Data2!$AX$320</definedName>
    <definedName name="A3597795W_Data">Data2!$AX$320</definedName>
    <definedName name="A3597795W_Latest">Data2!$AX$320</definedName>
    <definedName name="A3597840W">Data2!$AD$1:$AD$10,Data2!$AD$320</definedName>
    <definedName name="A3597840W_Data">Data2!$AD$320</definedName>
    <definedName name="A3597840W_Latest">Data2!$AD$320</definedName>
    <definedName name="A3597885A">Data2!$R$1:$R$10,Data2!$R$320</definedName>
    <definedName name="A3597885A_Data">Data2!$R$320</definedName>
    <definedName name="A3597885A_Latest">Data2!$R$320</definedName>
    <definedName name="A3597930A">Data2!$W$1:$W$10,Data2!$W$320</definedName>
    <definedName name="A3597930A_Data">Data2!$W$320</definedName>
    <definedName name="A3597930A_Latest">Data2!$W$320</definedName>
    <definedName name="A3597975F">Data2!$AU$1:$AU$10,Data2!$AU$320</definedName>
    <definedName name="A3597975F_Data">Data2!$AU$320</definedName>
    <definedName name="A3597975F_Latest">Data2!$AU$320</definedName>
    <definedName name="A3598020J">Data2!$BJ$1:$BJ$10,Data2!$BJ$320</definedName>
    <definedName name="A3598020J_Data">Data2!$BJ$320</definedName>
    <definedName name="A3598020J_Latest">Data2!$BJ$320</definedName>
    <definedName name="A3598065L">Data2!$BS$1:$BS$10,Data2!$BS$320</definedName>
    <definedName name="A3598065L_Data">Data2!$BS$320</definedName>
    <definedName name="A3598065L_Latest">Data2!$BS$320</definedName>
    <definedName name="A3598110L">Data2!$BY$1:$BY$10,Data2!$BY$320</definedName>
    <definedName name="A3598110L_Data">Data2!$BY$320</definedName>
    <definedName name="A3598110L_Latest">Data2!$BY$320</definedName>
    <definedName name="A3598155T">Data2!$DM$1:$DM$10,Data2!$DM$320</definedName>
    <definedName name="A3598155T_Data">Data2!$DM$320</definedName>
    <definedName name="A3598155T_Latest">Data2!$DM$320</definedName>
    <definedName name="A3598200T">Data2!$DD$1:$DD$10,Data2!$DD$320</definedName>
    <definedName name="A3598200T_Data">Data2!$DD$320</definedName>
    <definedName name="A3598200T_Latest">Data2!$DD$320</definedName>
    <definedName name="A3598245W">Data2!$DJ$1:$DJ$10,Data2!$DJ$320</definedName>
    <definedName name="A3598245W_Data">Data2!$DJ$320</definedName>
    <definedName name="A3598245W_Latest">Data2!$DJ$320</definedName>
    <definedName name="A3598290J">Data2!$AY$1:$AY$10,Data2!$AY$320</definedName>
    <definedName name="A3598290J_Data">Data2!$AY$320</definedName>
    <definedName name="A3598290J_Latest">Data2!$AY$320</definedName>
    <definedName name="A3598335A">Data2!$BC$1:$BC$10,Data2!$BC$320</definedName>
    <definedName name="A3598335A_Data">Data2!$BC$320</definedName>
    <definedName name="A3598335A_Latest">Data2!$BC$320</definedName>
    <definedName name="A3598380L">Data2!$DW$1:$DW$10,Data2!$DW$320</definedName>
    <definedName name="A3598380L_Data">Data2!$DW$320</definedName>
    <definedName name="A3598380L_Latest">Data2!$DW$320</definedName>
    <definedName name="A3598425F">Data2!$AE$1:$AE$10,Data2!$AE$320</definedName>
    <definedName name="A3598425F_Data">Data2!$AE$320</definedName>
    <definedName name="A3598425F_Latest">Data2!$AE$320</definedName>
    <definedName name="A3598470T">Data2!$AF$1:$AF$10,Data2!$AF$320</definedName>
    <definedName name="A3598470T_Data">Data2!$AF$320</definedName>
    <definedName name="A3598470T_Latest">Data2!$AF$320</definedName>
    <definedName name="A3598515K">Data2!$AG$1:$AG$10,Data2!$AG$320</definedName>
    <definedName name="A3598515K_Data">Data2!$AG$320</definedName>
    <definedName name="A3598515K_Latest">Data2!$AG$320</definedName>
    <definedName name="A3598560W">Data2!$S$1:$S$10,Data2!$S$320</definedName>
    <definedName name="A3598560W_Data">Data2!$S$320</definedName>
    <definedName name="A3598560W_Latest">Data2!$S$320</definedName>
    <definedName name="A3598605R">Data2!$T$1:$T$10,Data2!$T$320</definedName>
    <definedName name="A3598605R_Data">Data2!$T$320</definedName>
    <definedName name="A3598605R_Latest">Data2!$T$320</definedName>
    <definedName name="A3598650A">Data2!$U$1:$U$10,Data2!$U$320</definedName>
    <definedName name="A3598650A_Data">Data2!$U$320</definedName>
    <definedName name="A3598650A_Latest">Data2!$U$320</definedName>
    <definedName name="A3598695F">Data2!$V$1:$V$10,Data2!$V$320</definedName>
    <definedName name="A3598695F_Data">Data2!$V$320</definedName>
    <definedName name="A3598695F_Latest">Data2!$V$320</definedName>
    <definedName name="A3598740F">Data2!$X$1:$X$10,Data2!$X$320</definedName>
    <definedName name="A3598740F_Data">Data2!$X$320</definedName>
    <definedName name="A3598740F_Latest">Data2!$X$320</definedName>
    <definedName name="A3598785K">Data2!$Z$1:$Z$10,Data2!$Z$320</definedName>
    <definedName name="A3598785K_Data">Data2!$Z$320</definedName>
    <definedName name="A3598785K_Latest">Data2!$Z$320</definedName>
    <definedName name="A3598830K">Data2!$AA$1:$AA$10,Data2!$AA$320</definedName>
    <definedName name="A3598830K_Data">Data2!$AA$320</definedName>
    <definedName name="A3598830K_Latest">Data2!$AA$320</definedName>
    <definedName name="A3598875R">Data2!$AB$1:$AB$10,Data2!$AB$320</definedName>
    <definedName name="A3598875R_Data">Data2!$AB$320</definedName>
    <definedName name="A3598875R_Latest">Data2!$AB$320</definedName>
    <definedName name="A3598920R">Data2!$AC$1:$AC$10,Data2!$AC$320</definedName>
    <definedName name="A3598920R_Data">Data2!$AC$320</definedName>
    <definedName name="A3598920R_Latest">Data2!$AC$320</definedName>
    <definedName name="A3598965V">Data2!$AV$1:$AV$10,Data2!$AV$320</definedName>
    <definedName name="A3598965V_Data">Data2!$AV$320</definedName>
    <definedName name="A3598965V_Latest">Data2!$AV$320</definedName>
    <definedName name="A3599010W">Data2!$AW$1:$AW$10,Data2!$AW$320</definedName>
    <definedName name="A3599010W_Data">Data2!$AW$320</definedName>
    <definedName name="A3599010W_Latest">Data2!$AW$320</definedName>
    <definedName name="A3599055A">Data2!$AL$1:$AL$10,Data2!$AL$320</definedName>
    <definedName name="A3599055A_Data">Data2!$AL$320</definedName>
    <definedName name="A3599055A_Latest">Data2!$AL$320</definedName>
    <definedName name="A3599100A">Data2!$AM$1:$AM$10,Data2!$AM$320</definedName>
    <definedName name="A3599100A_Data">Data2!$AM$320</definedName>
    <definedName name="A3599100A_Latest">Data2!$AM$320</definedName>
    <definedName name="A3599145F">Data2!$AS$1:$AS$10,Data2!$AS$320</definedName>
    <definedName name="A3599145F_Data">Data2!$AS$320</definedName>
    <definedName name="A3599145F_Latest">Data2!$AS$320</definedName>
    <definedName name="A3599190T">Data2!$AQ$1:$AQ$10,Data2!$AQ$320</definedName>
    <definedName name="A3599190T_Data">Data2!$AQ$320</definedName>
    <definedName name="A3599190T_Latest">Data2!$AQ$320</definedName>
    <definedName name="A3599235K">Data2!$BK$1:$BK$10,Data2!$BK$320</definedName>
    <definedName name="A3599235K_Data">Data2!$BK$320</definedName>
    <definedName name="A3599235K_Latest">Data2!$BK$320</definedName>
    <definedName name="A3599280W">Data2!$BL$1:$BL$10,Data2!$BL$320</definedName>
    <definedName name="A3599280W_Data">Data2!$BL$320</definedName>
    <definedName name="A3599280W_Latest">Data2!$BL$320</definedName>
    <definedName name="A3599325R">Data2!$BM$1:$BM$10,Data2!$BM$320</definedName>
    <definedName name="A3599325R_Data">Data2!$BM$320</definedName>
    <definedName name="A3599325R_Latest">Data2!$BM$320</definedName>
    <definedName name="A3599370A">Data2!$BP$1:$BP$10,Data2!$BP$320</definedName>
    <definedName name="A3599370A_Data">Data2!$BP$320</definedName>
    <definedName name="A3599370A_Latest">Data2!$BP$320</definedName>
    <definedName name="A3599415V">Data2!$BW$1:$BW$10,Data2!$BW$320</definedName>
    <definedName name="A3599415V_Data">Data2!$BW$320</definedName>
    <definedName name="A3599415V_Latest">Data2!$BW$320</definedName>
    <definedName name="A3599460F">Data2!$CA$1:$CA$10,Data2!$CA$320</definedName>
    <definedName name="A3599460F_Data">Data2!$CA$320</definedName>
    <definedName name="A3599460F_Latest">Data2!$CA$320</definedName>
    <definedName name="A3599505X">Data2!$CE$1:$CE$10,Data2!$CE$320</definedName>
    <definedName name="A3599505X_Data">Data2!$CE$320</definedName>
    <definedName name="A3599505X_Latest">Data2!$CE$320</definedName>
    <definedName name="A3599550K">Data2!$CJ$1:$CJ$10,Data2!$CJ$320</definedName>
    <definedName name="A3599550K_Data">Data2!$CJ$320</definedName>
    <definedName name="A3599550K_Latest">Data2!$CJ$320</definedName>
    <definedName name="A3599595R">Data2!$CM$1:$CM$10,Data2!$CM$320</definedName>
    <definedName name="A3599595R_Data">Data2!$CM$320</definedName>
    <definedName name="A3599595R_Latest">Data2!$CM$320</definedName>
    <definedName name="A3599640R">Data2!$CO$1:$CO$10,Data2!$CO$320</definedName>
    <definedName name="A3599640R_Data">Data2!$CO$320</definedName>
    <definedName name="A3599640R_Latest">Data2!$CO$320</definedName>
    <definedName name="A3599685V">Data2!$ED$1:$ED$10,Data2!$ED$320</definedName>
    <definedName name="A3599685V_Data">Data2!$ED$320</definedName>
    <definedName name="A3599685V_Latest">Data2!$ED$320</definedName>
    <definedName name="A3599730V">Data2!$EC$1:$EC$10,Data2!$EC$320</definedName>
    <definedName name="A3599730V_Data">Data2!$EC$320</definedName>
    <definedName name="A3599730V_Latest">Data2!$EC$320</definedName>
    <definedName name="A3599775X">Data2!$DN$1:$DN$10,Data2!$DN$320</definedName>
    <definedName name="A3599775X_Data">Data2!$DN$320</definedName>
    <definedName name="A3599775X_Latest">Data2!$DN$320</definedName>
    <definedName name="A3599820X">Data2!$DO$1:$DO$10,Data2!$DO$320</definedName>
    <definedName name="A3599820X_Data">Data2!$DO$320</definedName>
    <definedName name="A3599820X_Latest">Data2!$DO$320</definedName>
    <definedName name="A3599865C">Data2!$DE$1:$DE$10,Data2!$DE$320</definedName>
    <definedName name="A3599865C_Data">Data2!$DE$320</definedName>
    <definedName name="A3599865C_Latest">Data2!$DE$320</definedName>
    <definedName name="A3599910C">Data2!$DG$1:$DG$10,Data2!$DG$320</definedName>
    <definedName name="A3599910C_Data">Data2!$DG$320</definedName>
    <definedName name="A3599910C_Latest">Data2!$DG$320</definedName>
    <definedName name="A3599955J">Data2!$DI$1:$DI$10,Data2!$DI$320</definedName>
    <definedName name="A3599955J_Data">Data2!$DI$320</definedName>
    <definedName name="A3599955J_Latest">Data2!$DI$320</definedName>
    <definedName name="A3600000X">Data2!$DF$1:$DF$10,Data2!$DF$320</definedName>
    <definedName name="A3600000X_Data">Data2!$DF$320</definedName>
    <definedName name="A3600000X_Latest">Data2!$DF$320</definedName>
    <definedName name="A3600045C">Data2!$DH$1:$DH$10,Data2!$DH$320</definedName>
    <definedName name="A3600045C_Data">Data2!$DH$320</definedName>
    <definedName name="A3600045C_Latest">Data2!$DH$320</definedName>
    <definedName name="A3600090R">Data2!$DK$1:$DK$10,Data2!$DK$320</definedName>
    <definedName name="A3600090R_Data">Data2!$DK$320</definedName>
    <definedName name="A3600090R_Latest">Data2!$DK$320</definedName>
    <definedName name="A3600135J">Data2!$BB$1:$BB$10,Data2!$BB$320</definedName>
    <definedName name="A3600135J_Data">Data2!$BB$320</definedName>
    <definedName name="A3600135J_Latest">Data2!$BB$320</definedName>
    <definedName name="A3600180V">Data2!$BA$1:$BA$10,Data2!$BA$320</definedName>
    <definedName name="A3600180V_Data">Data2!$BA$320</definedName>
    <definedName name="A3600180V_Latest">Data2!$BA$320</definedName>
    <definedName name="A3600225L">Data2!$AZ$1:$AZ$10,Data2!$AZ$320</definedName>
    <definedName name="A3600225L_Data">Data2!$AZ$320</definedName>
    <definedName name="A3600225L_Latest">Data2!$AZ$320</definedName>
    <definedName name="A3600270X">Data2!$BD$1:$BD$10,Data2!$BD$320</definedName>
    <definedName name="A3600270X_Data">Data2!$BD$320</definedName>
    <definedName name="A3600270X_Latest">Data2!$BD$320</definedName>
    <definedName name="A3600315T">Data2!$DA$1:$DA$10,Data2!$DA$320</definedName>
    <definedName name="A3600315T_Data">Data2!$DA$320</definedName>
    <definedName name="A3600315T_Latest">Data2!$DA$320</definedName>
    <definedName name="A3600360C">Data2!$CY$1:$CY$10,Data2!$CY$320</definedName>
    <definedName name="A3600360C_Data">Data2!$CY$320</definedName>
    <definedName name="A3600360C_Latest">Data2!$CY$320</definedName>
    <definedName name="A3600405W">Data2!$DB$1:$DB$10,Data2!$DB$320</definedName>
    <definedName name="A3600405W_Data">Data2!$DB$320</definedName>
    <definedName name="A3600405W_Latest">Data2!$DB$320</definedName>
    <definedName name="A3600450J">Data2!$CX$1:$CX$10,Data2!$CX$320</definedName>
    <definedName name="A3600450J_Data">Data2!$CX$320</definedName>
    <definedName name="A3600450J_Latest">Data2!$CX$320</definedName>
    <definedName name="A3600495L">Data2!$CP$1:$CP$10,Data2!$CP$320</definedName>
    <definedName name="A3600495L_Data">Data2!$CP$320</definedName>
    <definedName name="A3600495L_Latest">Data2!$CP$320</definedName>
    <definedName name="A3600540L">Data2!$CT$1:$CT$10,Data2!$CT$320</definedName>
    <definedName name="A3600540L_Data">Data2!$CT$320</definedName>
    <definedName name="A3600540L_Latest">Data2!$CT$320</definedName>
    <definedName name="A3600585T">Data2!$DR$1:$DR$10,Data2!$DR$320</definedName>
    <definedName name="A3600585T_Data">Data2!$DR$320</definedName>
    <definedName name="A3600585T_Latest">Data2!$DR$320</definedName>
    <definedName name="A3600630T">Data2!$DX$1:$DX$10,Data2!$DX$320</definedName>
    <definedName name="A3600630T_Data">Data2!$DX$320</definedName>
    <definedName name="A3600630T_Latest">Data2!$DX$320</definedName>
    <definedName name="A3600675W">Data2!$DY$1:$DY$10,Data2!$DY$320</definedName>
    <definedName name="A3600675W_Data">Data2!$DY$320</definedName>
    <definedName name="A3600675W_Latest">Data2!$DY$320</definedName>
    <definedName name="A3600720W">Data2!$EH$1:$EH$10,Data2!$EH$320</definedName>
    <definedName name="A3600720W_Data">Data2!$EH$320</definedName>
    <definedName name="A3600720W_Latest">Data2!$EH$320</definedName>
    <definedName name="A3600765A">Data2!$AN$1:$AN$10,Data2!$AN$320</definedName>
    <definedName name="A3600765A_Data">Data2!$AN$320</definedName>
    <definedName name="A3600765A_Latest">Data2!$AN$320</definedName>
    <definedName name="A3600810A">Data2!$AO$1:$AO$10,Data2!$AO$320</definedName>
    <definedName name="A3600810A_Data">Data2!$AO$320</definedName>
    <definedName name="A3600810A_Latest">Data2!$AO$320</definedName>
    <definedName name="A3600855F">Data2!$BG$1:$BG$10,Data2!$BG$320</definedName>
    <definedName name="A3600855F_Data">Data2!$BG$320</definedName>
    <definedName name="A3600855F_Latest">Data2!$BG$320</definedName>
    <definedName name="A3600900F">Data2!$BH$1:$BH$10,Data2!$BH$320</definedName>
    <definedName name="A3600900F_Data">Data2!$BH$320</definedName>
    <definedName name="A3600900F_Latest">Data2!$BH$320</definedName>
    <definedName name="A3600945K">Data2!$BI$1:$BI$10,Data2!$BI$320</definedName>
    <definedName name="A3600945K_Data">Data2!$BI$320</definedName>
    <definedName name="A3600945K_Latest">Data2!$BI$320</definedName>
    <definedName name="A3600990W">Data2!$BN$1:$BN$10,Data2!$BN$320</definedName>
    <definedName name="A3600990W_Data">Data2!$BN$320</definedName>
    <definedName name="A3600990W_Latest">Data2!$BN$320</definedName>
    <definedName name="A3601035T">Data2!$BO$1:$BO$10,Data2!$BO$320</definedName>
    <definedName name="A3601035T_Data">Data2!$BO$320</definedName>
    <definedName name="A3601035T_Latest">Data2!$BO$320</definedName>
    <definedName name="A3601080C">Data2!$BZ$1:$BZ$10,Data2!$BZ$320</definedName>
    <definedName name="A3601080C_Data">Data2!$BZ$320</definedName>
    <definedName name="A3601080C_Latest">Data2!$BZ$320</definedName>
    <definedName name="A3601125W">Data2!$BU$1:$BU$10,Data2!$BU$320</definedName>
    <definedName name="A3601125W_Data">Data2!$BU$320</definedName>
    <definedName name="A3601125W_Latest">Data2!$BU$320</definedName>
    <definedName name="A3601170J">Data2!$BX$1:$BX$10,Data2!$BX$320</definedName>
    <definedName name="A3601170J_Data">Data2!$BX$320</definedName>
    <definedName name="A3601170J_Latest">Data2!$BX$320</definedName>
    <definedName name="A3601215A">Data2!$CI$1:$CI$10,Data2!$CI$320</definedName>
    <definedName name="A3601215A_Data">Data2!$CI$320</definedName>
    <definedName name="A3601215A_Latest">Data2!$CI$320</definedName>
    <definedName name="A3601260L">Data2!$CN$1:$CN$10,Data2!$CN$320</definedName>
    <definedName name="A3601260L_Data">Data2!$CN$320</definedName>
    <definedName name="A3601260L_Latest">Data2!$CN$320</definedName>
    <definedName name="A3601305F">Data2!$CQ$1:$CQ$10,Data2!$CQ$320</definedName>
    <definedName name="A3601305F_Data">Data2!$CQ$320</definedName>
    <definedName name="A3601305F_Latest">Data2!$CQ$320</definedName>
    <definedName name="A3601350T">Data2!$CR$1:$CR$10,Data2!$CR$320</definedName>
    <definedName name="A3601350T_Data">Data2!$CR$320</definedName>
    <definedName name="A3601350T_Latest">Data2!$CR$320</definedName>
    <definedName name="A3601395W">Data2!$DU$1:$DU$10,Data2!$DU$320</definedName>
    <definedName name="A3601395W_Data">Data2!$DU$320</definedName>
    <definedName name="A3601395W_Latest">Data2!$DU$320</definedName>
    <definedName name="A3601440W">Data2!$EA$1:$EA$10,Data2!$EA$320</definedName>
    <definedName name="A3601440W_Data">Data2!$EA$320</definedName>
    <definedName name="A3601440W_Latest">Data2!$EA$320</definedName>
    <definedName name="A3601485A">Data2!$EB$1:$EB$10,Data2!$EB$320</definedName>
    <definedName name="A3601485A_Data">Data2!$EB$320</definedName>
    <definedName name="A3601485A_Latest">Data2!$EB$320</definedName>
    <definedName name="A3601530A">Data2!$EE$1:$EE$10,Data2!$EE$320</definedName>
    <definedName name="A3601530A_Data">Data2!$EE$320</definedName>
    <definedName name="A3601530A_Latest">Data2!$EE$320</definedName>
    <definedName name="A3601575F">Data2!$EF$1:$EF$10,Data2!$EF$320</definedName>
    <definedName name="A3601575F_Data">Data2!$EF$320</definedName>
    <definedName name="A3601575F_Latest">Data2!$EF$320</definedName>
    <definedName name="A3601980K">Data2!$AH$1:$AH$10,Data2!$AH$320</definedName>
    <definedName name="A3601980K_Data">Data2!$AH$320</definedName>
    <definedName name="A3601980K_Latest">Data2!$AH$320</definedName>
    <definedName name="A3602025F">Data2!$AI$1:$AI$10,Data2!$AI$320</definedName>
    <definedName name="A3602025F_Data">Data2!$AI$320</definedName>
    <definedName name="A3602025F_Latest">Data2!$AI$320</definedName>
    <definedName name="A3602070T">Data2!$AJ$1:$AJ$10,Data2!$AJ$320</definedName>
    <definedName name="A3602070T_Data">Data2!$AJ$320</definedName>
    <definedName name="A3602070T_Latest">Data2!$AJ$320</definedName>
    <definedName name="A3602115K">Data2!$CK$1:$CK$10,Data2!$CK$320</definedName>
    <definedName name="A3602115K_Data">Data2!$CK$320</definedName>
    <definedName name="A3602115K_Latest">Data2!$CK$320</definedName>
    <definedName name="A3602160W">Data2!$CL$1:$CL$10,Data2!$CL$320</definedName>
    <definedName name="A3602160W_Data">Data2!$CL$320</definedName>
    <definedName name="A3602160W_Latest">Data2!$CL$320</definedName>
    <definedName name="A3602205R">Data2!$CV$1:$CV$10,Data2!$CV$320</definedName>
    <definedName name="A3602205R_Data">Data2!$CV$320</definedName>
    <definedName name="A3602205R_Latest">Data2!$CV$320</definedName>
    <definedName name="A3602250A">Data2!$DL$1:$DL$10,Data2!$DL$320</definedName>
    <definedName name="A3602250A_Data">Data2!$DL$320</definedName>
    <definedName name="A3602250A_Latest">Data2!$DL$320</definedName>
    <definedName name="A3602295F">Data2!$DP$1:$DP$10,Data2!$DP$320</definedName>
    <definedName name="A3602295F_Data">Data2!$DP$320</definedName>
    <definedName name="A3602295F_Latest">Data2!$DP$320</definedName>
    <definedName name="A3602340F">Data2!$DZ$1:$DZ$10,Data2!$DZ$320</definedName>
    <definedName name="A3602340F_Data">Data2!$DZ$320</definedName>
    <definedName name="A3602340F_Latest">Data2!$DZ$320</definedName>
    <definedName name="A3602385K">Data2!$EG$1:$EG$10,Data2!$EG$320</definedName>
    <definedName name="A3602385K_Data">Data2!$EG$320</definedName>
    <definedName name="A3602385K_Latest">Data2!$EG$320</definedName>
    <definedName name="A3602430K">Data2!$EI$1:$EI$10,Data2!$EI$320</definedName>
    <definedName name="A3602430K_Data">Data2!$EI$320</definedName>
    <definedName name="A3602430K_Latest">Data2!$EI$320</definedName>
    <definedName name="A3602475R">Data2!$EJ$1:$EJ$10,Data2!$EJ$320</definedName>
    <definedName name="A3602475R_Data">Data2!$EJ$320</definedName>
    <definedName name="A3602475R_Latest">Data2!$EJ$320</definedName>
    <definedName name="A3602520R">Data2!$EK$1:$EK$10,Data2!$EK$320</definedName>
    <definedName name="A3602520R_Data">Data2!$EK$320</definedName>
    <definedName name="A3602520R_Latest">Data2!$EK$320</definedName>
    <definedName name="A3602565V">Data2!$CS$1:$CS$10,Data2!$CS$320</definedName>
    <definedName name="A3602565V_Data">Data2!$CS$320</definedName>
    <definedName name="A3602565V_Latest">Data2!$CS$320</definedName>
    <definedName name="A3602610V">Data2!$CU$1:$CU$10,Data2!$CU$320</definedName>
    <definedName name="A3602610V_Data">Data2!$CU$320</definedName>
    <definedName name="A3602610V_Latest">Data2!$CU$320</definedName>
    <definedName name="A3602655X">Data2!$AP$1:$AP$10,Data2!$AP$320</definedName>
    <definedName name="A3602655X_Data">Data2!$AP$320</definedName>
    <definedName name="A3602655X_Latest">Data2!$AP$320</definedName>
    <definedName name="A3602700X">Data2!$AT$1:$AT$10,Data2!$AT$320</definedName>
    <definedName name="A3602700X_Data">Data2!$AT$320</definedName>
    <definedName name="A3602700X_Latest">Data2!$AT$320</definedName>
    <definedName name="A3602745C">Data2!$BR$1:$BR$10,Data2!$BR$320</definedName>
    <definedName name="A3602745C_Data">Data2!$BR$320</definedName>
    <definedName name="A3602745C_Latest">Data2!$BR$320</definedName>
    <definedName name="A3602790R">Data2!$CB$1:$CB$10,Data2!$CB$320</definedName>
    <definedName name="A3602790R_Data">Data2!$CB$320</definedName>
    <definedName name="A3602790R_Latest">Data2!$CB$320</definedName>
    <definedName name="A3602833C">Data1!$DY$1:$DY$10,Data1!$DY$175:$DY$320</definedName>
    <definedName name="A3602833C_Data">Data1!$DY$175:$DY$320</definedName>
    <definedName name="A3602833C_Latest">Data1!$DY$320</definedName>
    <definedName name="A3602835J">Data2!$EM$1:$EM$10,Data2!$EM$320</definedName>
    <definedName name="A3602835J_Data">Data2!$EM$320</definedName>
    <definedName name="A3602835J_Latest">Data2!$EM$320</definedName>
    <definedName name="A3602837L">Data2!$K$1:$K$10,Data2!$K$176:$K$320</definedName>
    <definedName name="A3602837L_Data">Data2!$K$176:$K$320</definedName>
    <definedName name="A3602837L_Latest">Data2!$K$320</definedName>
    <definedName name="A3602878J">Data1!$DZ$1:$DZ$10,Data1!$DZ$175:$DZ$320</definedName>
    <definedName name="A3602878J_Data">Data1!$DZ$175:$DZ$320</definedName>
    <definedName name="A3602878J_Latest">Data1!$DZ$320</definedName>
    <definedName name="A3602880V">Data2!$EN$1:$EN$10,Data2!$EN$320</definedName>
    <definedName name="A3602880V_Data">Data2!$EN$320</definedName>
    <definedName name="A3602880V_Latest">Data2!$EN$320</definedName>
    <definedName name="A3602882X">Data2!$L$1:$L$10,Data2!$L$176:$L$320</definedName>
    <definedName name="A3602882X_Data">Data2!$L$176:$L$320</definedName>
    <definedName name="A3602882X_Latest">Data2!$L$320</definedName>
    <definedName name="A3603420X">Data2!$EL$1:$EL$10,Data2!$EL$320</definedName>
    <definedName name="A3603420X_Data">Data2!$EL$320</definedName>
    <definedName name="A3603420X_Latest">Data2!$EL$320</definedName>
    <definedName name="A3603555J">Data2!$EQ$1:$EQ$10,Data2!$EQ$320</definedName>
    <definedName name="A3603555J_Data">Data2!$EQ$320</definedName>
    <definedName name="A3603555J_Latest">Data2!$EQ$320</definedName>
    <definedName name="A3604358R">Data1!$K$1:$K$10,Data1!$K$139:$K$320</definedName>
    <definedName name="A3604358R_Data">Data1!$K$139:$K$320</definedName>
    <definedName name="A3604358R_Latest">Data1!$K$320</definedName>
    <definedName name="A3604360A">Data2!$Y$1:$Y$10,Data2!$Y$320</definedName>
    <definedName name="A3604360A_Data">Data2!$Y$320</definedName>
    <definedName name="A3604360A_Latest">Data2!$Y$320</definedName>
    <definedName name="A3604362F">Data1!$EM$1:$EM$10,Data1!$EM$140:$EM$320</definedName>
    <definedName name="A3604362F_Data">Data1!$EM$140:$EM$320</definedName>
    <definedName name="A3604362F_Latest">Data1!$EM$320</definedName>
    <definedName name="A3604363J">Data1!$W$1:$W$10,Data1!$W$175:$W$320</definedName>
    <definedName name="A3604363J_Data">Data1!$W$175:$W$320</definedName>
    <definedName name="A3604363J_Latest">Data1!$W$320</definedName>
    <definedName name="A3604365L">Data2!$AK$1:$AK$10,Data2!$AK$320</definedName>
    <definedName name="A3604365L_Data">Data2!$AK$320</definedName>
    <definedName name="A3604365L_Latest">Data2!$AK$320</definedName>
    <definedName name="A3604367T">Data1!$EY$1:$EY$10,Data1!$EY$176:$EY$320</definedName>
    <definedName name="A3604367T_Data">Data1!$EY$176:$EY$320</definedName>
    <definedName name="A3604367T_Latest">Data1!$EY$320</definedName>
    <definedName name="A3604368V">Data1!$AR$1:$AR$10,Data1!$AR$175:$AR$320</definedName>
    <definedName name="A3604368V_Data">Data1!$AR$175:$AR$320</definedName>
    <definedName name="A3604368V_Latest">Data1!$AR$320</definedName>
    <definedName name="A3604370F">Data2!$BF$1:$BF$10,Data2!$BF$320</definedName>
    <definedName name="A3604370F_Data">Data2!$BF$320</definedName>
    <definedName name="A3604370F_Latest">Data2!$BF$320</definedName>
    <definedName name="A3604372K">Data1!$FT$1:$FT$10,Data1!$FT$176:$FT$320</definedName>
    <definedName name="A3604372K_Data">Data1!$FT$176:$FT$320</definedName>
    <definedName name="A3604372K_Latest">Data1!$FT$320</definedName>
    <definedName name="A3604373L">Data1!$BF$1:$BF$10,Data1!$BF$210:$BF$320</definedName>
    <definedName name="A3604373L_Data">Data1!$BF$210:$BF$320</definedName>
    <definedName name="A3604373L_Latest">Data1!$BF$320</definedName>
    <definedName name="A3604375T">Data2!$BT$1:$BT$10,Data2!$BT$320</definedName>
    <definedName name="A3604375T_Data">Data2!$BT$320</definedName>
    <definedName name="A3604375T_Latest">Data2!$BT$320</definedName>
    <definedName name="A3604377W">Data1!$GH$1:$GH$10,Data1!$GH$211:$GH$320</definedName>
    <definedName name="A3604377W_Data">Data1!$GH$211:$GH$320</definedName>
    <definedName name="A3604377W_Latest">Data1!$GH$320</definedName>
    <definedName name="A3604383T">Data1!$BT$1:$BT$10,Data1!$BT$107:$BT$320</definedName>
    <definedName name="A3604383T_Data">Data1!$BT$107:$BT$320</definedName>
    <definedName name="A3604383T_Latest">Data1!$BT$320</definedName>
    <definedName name="A3604385W">Data2!$CH$1:$CH$10,Data2!$CH$320</definedName>
    <definedName name="A3604385W_Data">Data2!$CH$320</definedName>
    <definedName name="A3604385W_Latest">Data2!$CH$320</definedName>
    <definedName name="A3604387A">Data1!$GV$1:$GV$10,Data1!$GV$108:$GV$320</definedName>
    <definedName name="A3604387A_Data">Data1!$GV$108:$GV$320</definedName>
    <definedName name="A3604387A_Latest">Data1!$GV$320</definedName>
    <definedName name="A3604388C">Data1!$CL$1:$CL$10,Data1!$CL$139:$CL$320</definedName>
    <definedName name="A3604388C_Data">Data1!$CL$139:$CL$320</definedName>
    <definedName name="A3604388C_Latest">Data1!$CL$320</definedName>
    <definedName name="A3604390R">Data2!$CZ$1:$CZ$10,Data2!$CZ$320</definedName>
    <definedName name="A3604390R_Data">Data2!$CZ$320</definedName>
    <definedName name="A3604390R_Latest">Data2!$CZ$320</definedName>
    <definedName name="A3604392V">Data1!$HN$1:$HN$10,Data1!$HN$140:$HN$320</definedName>
    <definedName name="A3604392V_Data">Data1!$HN$140:$HN$320</definedName>
    <definedName name="A3604392V_Latest">Data1!$HN$320</definedName>
    <definedName name="A3604393W">Data1!$DH$1:$DH$10,Data1!$DH$210:$DH$320</definedName>
    <definedName name="A3604393W_Data">Data1!$DH$210:$DH$320</definedName>
    <definedName name="A3604393W_Latest">Data1!$DH$320</definedName>
    <definedName name="A3604395A">Data2!$DV$1:$DV$10,Data2!$DV$320</definedName>
    <definedName name="A3604395A_Data">Data2!$DV$320</definedName>
    <definedName name="A3604395A_Latest">Data2!$DV$320</definedName>
    <definedName name="A3604397F">Data1!$IJ$1:$IJ$10,Data1!$IJ$211:$IJ$320</definedName>
    <definedName name="A3604397F_Data">Data1!$IJ$211:$IJ$320</definedName>
    <definedName name="A3604397F_Latest">Data1!$IJ$320</definedName>
    <definedName name="A3604403R">Data1!$BP$1:$BP$10,Data1!$BP$107:$BP$320</definedName>
    <definedName name="A3604403R_Data">Data1!$BP$107:$BP$320</definedName>
    <definedName name="A3604403R_Latest">Data1!$BP$320</definedName>
    <definedName name="A3604405V">Data2!$CD$1:$CD$10,Data2!$CD$320</definedName>
    <definedName name="A3604405V_Data">Data2!$CD$320</definedName>
    <definedName name="A3604405V_Latest">Data2!$CD$320</definedName>
    <definedName name="A3604407X">Data1!$GR$1:$GR$10,Data1!$GR$108:$GR$320</definedName>
    <definedName name="A3604407X_Data">Data1!$GR$108:$GR$320</definedName>
    <definedName name="A3604407X_Latest">Data1!$GR$320</definedName>
    <definedName name="A3604408A">Data1!$DF$1:$DF$10,Data1!$DF$175:$DF$320</definedName>
    <definedName name="A3604408A_Data">Data1!$DF$175:$DF$320</definedName>
    <definedName name="A3604408A_Latest">Data1!$DF$320</definedName>
    <definedName name="A3604410L">Data2!$DT$1:$DT$10,Data2!$DT$320</definedName>
    <definedName name="A3604410L_Data">Data2!$DT$320</definedName>
    <definedName name="A3604410L_Latest">Data2!$DT$320</definedName>
    <definedName name="A3604412T">Data1!$IH$1:$IH$10,Data1!$IH$176:$IH$320</definedName>
    <definedName name="A3604412T_Data">Data1!$IH$176:$IH$320</definedName>
    <definedName name="A3604412T_Latest">Data1!$IH$320</definedName>
    <definedName name="A3604413V">Data1!$BH$1:$BH$10,Data1!$BH$210:$BH$320</definedName>
    <definedName name="A3604413V_Data">Data1!$BH$210:$BH$320</definedName>
    <definedName name="A3604413V_Latest">Data1!$BH$320</definedName>
    <definedName name="A3604415X">Data2!$BV$1:$BV$10,Data2!$BV$320</definedName>
    <definedName name="A3604415X_Data">Data2!$BV$320</definedName>
    <definedName name="A3604415X_Latest">Data2!$BV$320</definedName>
    <definedName name="A3604417C">Data1!$GJ$1:$GJ$10,Data1!$GJ$211:$GJ$320</definedName>
    <definedName name="A3604417C_Data">Data1!$GJ$211:$GJ$320</definedName>
    <definedName name="A3604417C_Latest">Data1!$GJ$320</definedName>
    <definedName name="A3604418F">Data1!$AD$1:$AD$10,Data1!$AD$175:$AD$320</definedName>
    <definedName name="A3604418F_Data">Data1!$AD$175:$AD$320</definedName>
    <definedName name="A3604418F_Latest">Data1!$AD$320</definedName>
    <definedName name="A3604420T">Data2!$AR$1:$AR$10,Data2!$AR$320</definedName>
    <definedName name="A3604420T_Data">Data2!$AR$320</definedName>
    <definedName name="A3604420T_Latest">Data2!$AR$320</definedName>
    <definedName name="A3604422W">Data1!$FF$1:$FF$10,Data1!$FF$176:$FF$320</definedName>
    <definedName name="A3604422W_Data">Data1!$FF$176:$FF$320</definedName>
    <definedName name="A3604422W_Latest">Data1!$FF$320</definedName>
    <definedName name="A3604423X">Data1!$DC$1:$DC$10,Data1!$DC$175:$DC$320</definedName>
    <definedName name="A3604423X_Data">Data1!$DC$175:$DC$320</definedName>
    <definedName name="A3604423X_Latest">Data1!$DC$320</definedName>
    <definedName name="A3604425C">Data2!$DQ$1:$DQ$10,Data2!$DQ$320</definedName>
    <definedName name="A3604425C_Data">Data2!$DQ$320</definedName>
    <definedName name="A3604425C_Latest">Data2!$DQ$320</definedName>
    <definedName name="A3604427J">Data1!$IE$1:$IE$10,Data1!$IE$176:$IE$320</definedName>
    <definedName name="A3604427J_Data">Data1!$IE$176:$IE$320</definedName>
    <definedName name="A3604427J_Latest">Data1!$IE$320</definedName>
    <definedName name="A3604428K">Data1!$BS$1:$BS$10,Data1!$BS$107:$BS$320</definedName>
    <definedName name="A3604428K_Data">Data1!$BS$107:$BS$320</definedName>
    <definedName name="A3604428K_Latest">Data1!$BS$320</definedName>
    <definedName name="A3604430W">Data2!$CG$1:$CG$10,Data2!$CG$320</definedName>
    <definedName name="A3604430W_Data">Data2!$CG$320</definedName>
    <definedName name="A3604430W_Latest">Data2!$CG$320</definedName>
    <definedName name="A3604432A">Data1!$GU$1:$GU$10,Data1!$GU$108:$GU$320</definedName>
    <definedName name="A3604432A_Data">Data1!$GU$108:$GU$320</definedName>
    <definedName name="A3604432A_Latest">Data1!$GU$320</definedName>
    <definedName name="A3604433C">Data1!$BR$1:$BR$10,Data1!$BR$139:$BR$320</definedName>
    <definedName name="A3604433C_Data">Data1!$BR$139:$BR$320</definedName>
    <definedName name="A3604433C_Latest">Data1!$BR$320</definedName>
    <definedName name="A3604435J">Data2!$CF$1:$CF$10,Data2!$CF$320</definedName>
    <definedName name="A3604435J_Data">Data2!$CF$320</definedName>
    <definedName name="A3604435J_Latest">Data2!$CF$320</definedName>
    <definedName name="A3604437L">Data1!$GT$1:$GT$10,Data1!$GT$140:$GT$320</definedName>
    <definedName name="A3604437L_Data">Data1!$GT$140:$GT$320</definedName>
    <definedName name="A3604437L_Latest">Data1!$GT$320</definedName>
    <definedName name="A3604438R">Data1!$CI$1:$CI$10,Data1!$CI$164:$CI$320</definedName>
    <definedName name="A3604438R_Data">Data1!$CI$164:$CI$320</definedName>
    <definedName name="A3604438R_Latest">Data1!$CI$320</definedName>
    <definedName name="A3604440A">Data2!$CW$1:$CW$10,Data2!$CW$320</definedName>
    <definedName name="A3604440A_Data">Data2!$CW$320</definedName>
    <definedName name="A3604440A_Latest">Data2!$CW$320</definedName>
    <definedName name="A3604442F">Data1!$HK$1:$HK$10,Data1!$HK$165:$HK$320</definedName>
    <definedName name="A3604442F_Data">Data1!$HK$165:$HK$320</definedName>
    <definedName name="A3604442F_Latest">Data1!$HK$320</definedName>
    <definedName name="A3604443J">Data1!$DE$1:$DE$10,Data1!$DE$175:$DE$320</definedName>
    <definedName name="A3604443J_Data">Data1!$DE$175:$DE$320</definedName>
    <definedName name="A3604443J_Latest">Data1!$DE$320</definedName>
    <definedName name="A3604445L">Data2!$DS$1:$DS$10,Data2!$DS$320</definedName>
    <definedName name="A3604445L_Data">Data2!$DS$320</definedName>
    <definedName name="A3604445L_Latest">Data2!$DS$320</definedName>
    <definedName name="A3604447T">Data1!$IG$1:$IG$10,Data1!$IG$176:$IG$320</definedName>
    <definedName name="A3604447T_Data">Data1!$IG$176:$IG$320</definedName>
    <definedName name="A3604447T_Latest">Data1!$IG$320</definedName>
    <definedName name="A3604448V">Data1!$EB$1:$EB$10,Data1!$EB$262:$EB$320</definedName>
    <definedName name="A3604448V_Data">Data1!$EB$262:$EB$320</definedName>
    <definedName name="A3604448V_Latest">Data1!$EB$320</definedName>
    <definedName name="A3604450F">Data2!$EP$1:$EP$10,Data2!$EP$320</definedName>
    <definedName name="A3604450F_Data">Data2!$EP$320</definedName>
    <definedName name="A3604450F_Latest">Data2!$EP$320</definedName>
    <definedName name="A3604452K">Data2!$N$1:$N$10,Data2!$N$263:$N$320</definedName>
    <definedName name="A3604452K_Data">Data2!$N$263:$N$320</definedName>
    <definedName name="A3604452K_Latest">Data2!$N$320</definedName>
    <definedName name="A3604453L">Data1!$EA$1:$EA$10,Data1!$EA$262:$EA$320</definedName>
    <definedName name="A3604453L_Data">Data1!$EA$262:$EA$320</definedName>
    <definedName name="A3604453L_Latest">Data1!$EA$320</definedName>
    <definedName name="A3604455T">Data2!$EO$1:$EO$10,Data2!$EO$320</definedName>
    <definedName name="A3604455T_Data">Data2!$EO$320</definedName>
    <definedName name="A3604455T_Latest">Data2!$EO$320</definedName>
    <definedName name="A3604457W">Data2!$M$1:$M$10,Data2!$M$263:$M$320</definedName>
    <definedName name="A3604457W_Data">Data2!$M$263:$M$320</definedName>
    <definedName name="A3604457W_Latest">Data2!$M$320</definedName>
    <definedName name="Date_Range">Data1!$A$2:$A$10,Data1!$A$11:$A$320</definedName>
    <definedName name="Date_Range_Data">Data1!$A$11:$A$320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5" l="1"/>
  <c r="W8" i="5"/>
  <c r="X8" i="5"/>
  <c r="Y8" i="5"/>
  <c r="V9" i="5"/>
  <c r="W9" i="5"/>
  <c r="X9" i="5"/>
  <c r="Y9" i="5"/>
  <c r="V10" i="5"/>
  <c r="W10" i="5"/>
  <c r="X10" i="5"/>
  <c r="Y10" i="5"/>
  <c r="V11" i="5"/>
  <c r="W11" i="5"/>
  <c r="X11" i="5"/>
  <c r="Y11" i="5"/>
  <c r="V12" i="5"/>
  <c r="W12" i="5"/>
  <c r="X12" i="5"/>
  <c r="Y12" i="5"/>
  <c r="V13" i="5"/>
  <c r="W13" i="5"/>
  <c r="X13" i="5"/>
  <c r="Y13" i="5"/>
  <c r="V14" i="5"/>
  <c r="W14" i="5"/>
  <c r="X14" i="5"/>
  <c r="Y14" i="5"/>
  <c r="V15" i="5"/>
  <c r="W15" i="5"/>
  <c r="X15" i="5"/>
  <c r="Y15" i="5"/>
  <c r="V16" i="5"/>
  <c r="W16" i="5"/>
  <c r="X16" i="5"/>
  <c r="Y16" i="5"/>
  <c r="V17" i="5"/>
  <c r="W17" i="5"/>
  <c r="X17" i="5"/>
  <c r="Y17" i="5"/>
  <c r="V18" i="5"/>
  <c r="W18" i="5"/>
  <c r="X18" i="5"/>
  <c r="Y18" i="5"/>
  <c r="V19" i="5"/>
  <c r="W19" i="5"/>
  <c r="X19" i="5"/>
  <c r="Y19" i="5"/>
  <c r="V20" i="5"/>
  <c r="W20" i="5"/>
  <c r="X20" i="5"/>
  <c r="Y20" i="5"/>
  <c r="V21" i="5"/>
  <c r="W21" i="5"/>
  <c r="X21" i="5"/>
  <c r="Y21" i="5"/>
  <c r="V22" i="5"/>
  <c r="W22" i="5"/>
  <c r="X22" i="5"/>
  <c r="Y22" i="5"/>
  <c r="V23" i="5"/>
  <c r="W23" i="5"/>
  <c r="X23" i="5"/>
  <c r="Y23" i="5"/>
  <c r="V24" i="5"/>
  <c r="W24" i="5"/>
  <c r="X24" i="5"/>
  <c r="Y24" i="5"/>
  <c r="V25" i="5"/>
  <c r="W25" i="5"/>
  <c r="X25" i="5"/>
  <c r="Y25" i="5"/>
  <c r="V26" i="5"/>
  <c r="W26" i="5"/>
  <c r="X26" i="5"/>
  <c r="Y26" i="5"/>
  <c r="V27" i="5"/>
  <c r="W27" i="5"/>
  <c r="X27" i="5"/>
  <c r="Y27" i="5"/>
  <c r="V28" i="5"/>
  <c r="W28" i="5"/>
  <c r="X28" i="5"/>
  <c r="Y28" i="5"/>
  <c r="V29" i="5"/>
  <c r="W29" i="5"/>
  <c r="X29" i="5"/>
  <c r="Y29" i="5"/>
  <c r="V30" i="5"/>
  <c r="W30" i="5"/>
  <c r="X30" i="5"/>
  <c r="Y30" i="5"/>
  <c r="V31" i="5"/>
  <c r="W31" i="5"/>
  <c r="X31" i="5"/>
  <c r="Y31" i="5"/>
  <c r="V32" i="5"/>
  <c r="W32" i="5"/>
  <c r="X32" i="5"/>
  <c r="Y32" i="5"/>
  <c r="V33" i="5"/>
  <c r="W33" i="5"/>
  <c r="X33" i="5"/>
  <c r="Y33" i="5"/>
  <c r="V34" i="5"/>
  <c r="W34" i="5"/>
  <c r="X34" i="5"/>
  <c r="Y34" i="5"/>
  <c r="V35" i="5"/>
  <c r="W35" i="5"/>
  <c r="X35" i="5"/>
  <c r="Y35" i="5"/>
  <c r="V36" i="5"/>
  <c r="W36" i="5"/>
  <c r="X36" i="5"/>
  <c r="Y36" i="5"/>
  <c r="V37" i="5"/>
  <c r="W37" i="5"/>
  <c r="X37" i="5"/>
  <c r="Y37" i="5"/>
  <c r="V38" i="5"/>
  <c r="W38" i="5"/>
  <c r="X38" i="5"/>
  <c r="Y38" i="5"/>
  <c r="V39" i="5"/>
  <c r="W39" i="5"/>
  <c r="X39" i="5"/>
  <c r="Y39" i="5"/>
  <c r="V40" i="5"/>
  <c r="W40" i="5"/>
  <c r="X40" i="5"/>
  <c r="Y40" i="5"/>
  <c r="V41" i="5"/>
  <c r="W41" i="5"/>
  <c r="X41" i="5"/>
  <c r="Y41" i="5"/>
  <c r="V42" i="5"/>
  <c r="W42" i="5"/>
  <c r="X42" i="5"/>
  <c r="Y42" i="5"/>
  <c r="V43" i="5"/>
  <c r="W43" i="5"/>
  <c r="X43" i="5"/>
  <c r="Y43" i="5"/>
  <c r="V44" i="5"/>
  <c r="W44" i="5"/>
  <c r="X44" i="5"/>
  <c r="Y44" i="5"/>
  <c r="V45" i="5"/>
  <c r="W45" i="5"/>
  <c r="X45" i="5"/>
  <c r="Y45" i="5"/>
  <c r="V46" i="5"/>
  <c r="W46" i="5"/>
  <c r="X46" i="5"/>
  <c r="Y46" i="5"/>
  <c r="V47" i="5"/>
  <c r="W47" i="5"/>
  <c r="X47" i="5"/>
  <c r="Y47" i="5"/>
  <c r="V48" i="5"/>
  <c r="W48" i="5"/>
  <c r="X48" i="5"/>
  <c r="Y48" i="5"/>
  <c r="V49" i="5"/>
  <c r="W49" i="5"/>
  <c r="X49" i="5"/>
  <c r="Y49" i="5"/>
  <c r="V50" i="5"/>
  <c r="W50" i="5"/>
  <c r="X50" i="5"/>
  <c r="Y50" i="5"/>
  <c r="V51" i="5"/>
  <c r="W51" i="5"/>
  <c r="X51" i="5"/>
  <c r="Y51" i="5"/>
  <c r="V52" i="5"/>
  <c r="W52" i="5"/>
  <c r="X52" i="5"/>
  <c r="Y52" i="5"/>
  <c r="V53" i="5"/>
  <c r="W53" i="5"/>
  <c r="X53" i="5"/>
  <c r="Y53" i="5"/>
  <c r="V54" i="5"/>
  <c r="W54" i="5"/>
  <c r="X54" i="5"/>
  <c r="Y54" i="5"/>
  <c r="V55" i="5"/>
  <c r="W55" i="5"/>
  <c r="X55" i="5"/>
  <c r="Y55" i="5"/>
  <c r="V56" i="5"/>
  <c r="W56" i="5"/>
  <c r="X56" i="5"/>
  <c r="Y56" i="5"/>
  <c r="V57" i="5"/>
  <c r="W57" i="5"/>
  <c r="X57" i="5"/>
  <c r="Y57" i="5"/>
  <c r="V58" i="5"/>
  <c r="W58" i="5"/>
  <c r="X58" i="5"/>
  <c r="Y58" i="5"/>
  <c r="V59" i="5"/>
  <c r="W59" i="5"/>
  <c r="X59" i="5"/>
  <c r="Y59" i="5"/>
  <c r="V60" i="5"/>
  <c r="W60" i="5"/>
  <c r="X60" i="5"/>
  <c r="Y60" i="5"/>
  <c r="V61" i="5"/>
  <c r="W61" i="5"/>
  <c r="X61" i="5"/>
  <c r="Y61" i="5"/>
  <c r="V62" i="5"/>
  <c r="W62" i="5"/>
  <c r="X62" i="5"/>
  <c r="Y62" i="5"/>
  <c r="V63" i="5"/>
  <c r="W63" i="5"/>
  <c r="X63" i="5"/>
  <c r="Y63" i="5"/>
  <c r="V64" i="5"/>
  <c r="W64" i="5"/>
  <c r="X64" i="5"/>
  <c r="Y64" i="5"/>
  <c r="V65" i="5"/>
  <c r="W65" i="5"/>
  <c r="X65" i="5"/>
  <c r="Y65" i="5"/>
  <c r="V66" i="5"/>
  <c r="W66" i="5"/>
  <c r="X66" i="5"/>
  <c r="Y66" i="5"/>
  <c r="V67" i="5"/>
  <c r="W67" i="5"/>
  <c r="X67" i="5"/>
  <c r="Y67" i="5"/>
  <c r="V68" i="5"/>
  <c r="W68" i="5"/>
  <c r="X68" i="5"/>
  <c r="Y68" i="5"/>
  <c r="V69" i="5"/>
  <c r="W69" i="5"/>
  <c r="X69" i="5"/>
  <c r="Y69" i="5"/>
  <c r="V70" i="5"/>
  <c r="W70" i="5"/>
  <c r="X70" i="5"/>
  <c r="Y70" i="5"/>
  <c r="V71" i="5"/>
  <c r="W71" i="5"/>
  <c r="X71" i="5"/>
  <c r="Y71" i="5"/>
  <c r="V72" i="5"/>
  <c r="W72" i="5"/>
  <c r="X72" i="5"/>
  <c r="Y72" i="5"/>
  <c r="V73" i="5"/>
  <c r="W73" i="5"/>
  <c r="X73" i="5"/>
  <c r="Y73" i="5"/>
  <c r="V74" i="5"/>
  <c r="W74" i="5"/>
  <c r="X74" i="5"/>
  <c r="Y74" i="5"/>
  <c r="V75" i="5"/>
  <c r="W75" i="5"/>
  <c r="X75" i="5"/>
  <c r="Y75" i="5"/>
  <c r="V76" i="5"/>
  <c r="W76" i="5"/>
  <c r="X76" i="5"/>
  <c r="Y76" i="5"/>
  <c r="V77" i="5"/>
  <c r="W77" i="5"/>
  <c r="X77" i="5"/>
  <c r="Y77" i="5"/>
  <c r="V78" i="5"/>
  <c r="W78" i="5"/>
  <c r="X78" i="5"/>
  <c r="Y78" i="5"/>
  <c r="V79" i="5"/>
  <c r="W79" i="5"/>
  <c r="X79" i="5"/>
  <c r="Y79" i="5"/>
  <c r="V80" i="5"/>
  <c r="W80" i="5"/>
  <c r="X80" i="5"/>
  <c r="Y80" i="5"/>
  <c r="V81" i="5"/>
  <c r="W81" i="5"/>
  <c r="X81" i="5"/>
  <c r="Y81" i="5"/>
  <c r="V82" i="5"/>
  <c r="W82" i="5"/>
  <c r="X82" i="5"/>
  <c r="Y82" i="5"/>
  <c r="V83" i="5"/>
  <c r="W83" i="5"/>
  <c r="X83" i="5"/>
  <c r="Y83" i="5"/>
  <c r="V84" i="5"/>
  <c r="W84" i="5"/>
  <c r="X84" i="5"/>
  <c r="Y84" i="5"/>
  <c r="V85" i="5"/>
  <c r="W85" i="5"/>
  <c r="X85" i="5"/>
  <c r="Y85" i="5"/>
  <c r="V86" i="5"/>
  <c r="W86" i="5"/>
  <c r="X86" i="5"/>
  <c r="Y86" i="5"/>
  <c r="V87" i="5"/>
  <c r="W87" i="5"/>
  <c r="X87" i="5"/>
  <c r="Y87" i="5"/>
  <c r="V88" i="5"/>
  <c r="W88" i="5"/>
  <c r="X88" i="5"/>
  <c r="Y88" i="5"/>
  <c r="V89" i="5"/>
  <c r="W89" i="5"/>
  <c r="X89" i="5"/>
  <c r="Y89" i="5"/>
  <c r="V90" i="5"/>
  <c r="W90" i="5"/>
  <c r="X90" i="5"/>
  <c r="Y90" i="5"/>
  <c r="V91" i="5"/>
  <c r="W91" i="5"/>
  <c r="X91" i="5"/>
  <c r="Y91" i="5"/>
  <c r="V92" i="5"/>
  <c r="W92" i="5"/>
  <c r="X92" i="5"/>
  <c r="Y92" i="5"/>
  <c r="V93" i="5"/>
  <c r="W93" i="5"/>
  <c r="X93" i="5"/>
  <c r="Y93" i="5"/>
  <c r="V94" i="5"/>
  <c r="W94" i="5"/>
  <c r="X94" i="5"/>
  <c r="Y94" i="5"/>
  <c r="V95" i="5"/>
  <c r="W95" i="5"/>
  <c r="X95" i="5"/>
  <c r="Y95" i="5"/>
  <c r="V96" i="5"/>
  <c r="W96" i="5"/>
  <c r="X96" i="5"/>
  <c r="Y96" i="5"/>
  <c r="V97" i="5"/>
  <c r="W97" i="5"/>
  <c r="X97" i="5"/>
  <c r="Y97" i="5"/>
  <c r="V98" i="5"/>
  <c r="W98" i="5"/>
  <c r="X98" i="5"/>
  <c r="Y98" i="5"/>
  <c r="V99" i="5"/>
  <c r="W99" i="5"/>
  <c r="X99" i="5"/>
  <c r="Y99" i="5"/>
  <c r="V100" i="5"/>
  <c r="W100" i="5"/>
  <c r="X100" i="5"/>
  <c r="Y100" i="5"/>
  <c r="V101" i="5"/>
  <c r="W101" i="5"/>
  <c r="X101" i="5"/>
  <c r="Y101" i="5"/>
  <c r="V102" i="5"/>
  <c r="W102" i="5"/>
  <c r="X102" i="5"/>
  <c r="Y102" i="5"/>
  <c r="V103" i="5"/>
  <c r="W103" i="5"/>
  <c r="X103" i="5"/>
  <c r="Y103" i="5"/>
  <c r="V104" i="5"/>
  <c r="W104" i="5"/>
  <c r="X104" i="5"/>
  <c r="Y104" i="5"/>
  <c r="V105" i="5"/>
  <c r="W105" i="5"/>
  <c r="X105" i="5"/>
  <c r="Y105" i="5"/>
  <c r="V106" i="5"/>
  <c r="W106" i="5"/>
  <c r="X106" i="5"/>
  <c r="Y106" i="5"/>
  <c r="V107" i="5"/>
  <c r="W107" i="5"/>
  <c r="X107" i="5"/>
  <c r="Y107" i="5"/>
  <c r="V108" i="5"/>
  <c r="W108" i="5"/>
  <c r="X108" i="5"/>
  <c r="Y108" i="5"/>
  <c r="V109" i="5"/>
  <c r="W109" i="5"/>
  <c r="X109" i="5"/>
  <c r="Y109" i="5"/>
  <c r="V110" i="5"/>
  <c r="W110" i="5"/>
  <c r="X110" i="5"/>
  <c r="Y110" i="5"/>
  <c r="V111" i="5"/>
  <c r="W111" i="5"/>
  <c r="X111" i="5"/>
  <c r="Y111" i="5"/>
  <c r="V112" i="5"/>
  <c r="W112" i="5"/>
  <c r="X112" i="5"/>
  <c r="Y112" i="5"/>
  <c r="V113" i="5"/>
  <c r="W113" i="5"/>
  <c r="X113" i="5"/>
  <c r="Y113" i="5"/>
  <c r="V114" i="5"/>
  <c r="W114" i="5"/>
  <c r="X114" i="5"/>
  <c r="Y114" i="5"/>
  <c r="V115" i="5"/>
  <c r="W115" i="5"/>
  <c r="X115" i="5"/>
  <c r="Y115" i="5"/>
  <c r="V116" i="5"/>
  <c r="W116" i="5"/>
  <c r="X116" i="5"/>
  <c r="Y116" i="5"/>
  <c r="V117" i="5"/>
  <c r="W117" i="5"/>
  <c r="X117" i="5"/>
  <c r="Y117" i="5"/>
  <c r="V118" i="5"/>
  <c r="W118" i="5"/>
  <c r="X118" i="5"/>
  <c r="Y118" i="5"/>
  <c r="V119" i="5"/>
  <c r="W119" i="5"/>
  <c r="X119" i="5"/>
  <c r="Y119" i="5"/>
  <c r="V120" i="5"/>
  <c r="W120" i="5"/>
  <c r="X120" i="5"/>
  <c r="Y120" i="5"/>
  <c r="V121" i="5"/>
  <c r="W121" i="5"/>
  <c r="X121" i="5"/>
  <c r="Y121" i="5"/>
  <c r="V122" i="5"/>
  <c r="W122" i="5"/>
  <c r="X122" i="5"/>
  <c r="Y122" i="5"/>
  <c r="V123" i="5"/>
  <c r="W123" i="5"/>
  <c r="X123" i="5"/>
  <c r="Y123" i="5"/>
  <c r="V124" i="5"/>
  <c r="W124" i="5"/>
  <c r="X124" i="5"/>
  <c r="Y124" i="5"/>
  <c r="V125" i="5"/>
  <c r="W125" i="5"/>
  <c r="X125" i="5"/>
  <c r="Y125" i="5"/>
  <c r="V126" i="5"/>
  <c r="W126" i="5"/>
  <c r="X126" i="5"/>
  <c r="Y126" i="5"/>
  <c r="V127" i="5"/>
  <c r="W127" i="5"/>
  <c r="X127" i="5"/>
  <c r="Y127" i="5"/>
  <c r="V128" i="5"/>
  <c r="W128" i="5"/>
  <c r="X128" i="5"/>
  <c r="Y128" i="5"/>
  <c r="V129" i="5"/>
  <c r="W129" i="5"/>
  <c r="X129" i="5"/>
  <c r="Y129" i="5"/>
  <c r="V130" i="5"/>
  <c r="W130" i="5"/>
  <c r="X130" i="5"/>
  <c r="Y130" i="5"/>
  <c r="V131" i="5"/>
  <c r="W131" i="5"/>
  <c r="X131" i="5"/>
  <c r="Y131" i="5"/>
  <c r="V132" i="5"/>
  <c r="W132" i="5"/>
  <c r="X132" i="5"/>
  <c r="Y132" i="5"/>
  <c r="V133" i="5"/>
  <c r="W133" i="5"/>
  <c r="X133" i="5"/>
  <c r="Y133" i="5"/>
  <c r="V134" i="5"/>
  <c r="W134" i="5"/>
  <c r="X134" i="5"/>
  <c r="Y134" i="5"/>
  <c r="V135" i="5"/>
  <c r="W135" i="5"/>
  <c r="X135" i="5"/>
  <c r="Y135" i="5"/>
  <c r="V136" i="5"/>
  <c r="W136" i="5"/>
  <c r="X136" i="5"/>
  <c r="Y136" i="5"/>
  <c r="V137" i="5"/>
  <c r="W137" i="5"/>
  <c r="X137" i="5"/>
  <c r="Y137" i="5"/>
  <c r="V138" i="5"/>
  <c r="W138" i="5"/>
  <c r="X138" i="5"/>
  <c r="Y138" i="5"/>
  <c r="V139" i="5"/>
  <c r="W139" i="5"/>
  <c r="X139" i="5"/>
  <c r="Y139" i="5"/>
  <c r="V140" i="5"/>
  <c r="W140" i="5"/>
  <c r="X140" i="5"/>
  <c r="Y140" i="5"/>
  <c r="V141" i="5"/>
  <c r="W141" i="5"/>
  <c r="X141" i="5"/>
  <c r="Y141" i="5"/>
  <c r="V142" i="5"/>
  <c r="W142" i="5"/>
  <c r="X142" i="5"/>
  <c r="Y142" i="5"/>
  <c r="V143" i="5"/>
  <c r="W143" i="5"/>
  <c r="X143" i="5"/>
  <c r="Y143" i="5"/>
  <c r="V144" i="5"/>
  <c r="W144" i="5"/>
  <c r="X144" i="5"/>
  <c r="Y144" i="5"/>
  <c r="V145" i="5"/>
  <c r="W145" i="5"/>
  <c r="X145" i="5"/>
  <c r="Y145" i="5"/>
  <c r="V146" i="5"/>
  <c r="W146" i="5"/>
  <c r="X146" i="5"/>
  <c r="Y146" i="5"/>
  <c r="V147" i="5"/>
  <c r="W147" i="5"/>
  <c r="X147" i="5"/>
  <c r="Y147" i="5"/>
  <c r="V148" i="5"/>
  <c r="W148" i="5"/>
  <c r="X148" i="5"/>
  <c r="Y148" i="5"/>
  <c r="V149" i="5"/>
  <c r="W149" i="5"/>
  <c r="X149" i="5"/>
  <c r="Y149" i="5"/>
  <c r="V150" i="5"/>
  <c r="W150" i="5"/>
  <c r="X150" i="5"/>
  <c r="Y150" i="5"/>
  <c r="V151" i="5"/>
  <c r="W151" i="5"/>
  <c r="X151" i="5"/>
  <c r="Y151" i="5"/>
  <c r="V152" i="5"/>
  <c r="W152" i="5"/>
  <c r="X152" i="5"/>
  <c r="Y152" i="5"/>
  <c r="V153" i="5"/>
  <c r="W153" i="5"/>
  <c r="X153" i="5"/>
  <c r="Y153" i="5"/>
  <c r="V154" i="5"/>
  <c r="W154" i="5"/>
  <c r="X154" i="5"/>
  <c r="Y154" i="5"/>
  <c r="V155" i="5"/>
  <c r="W155" i="5"/>
  <c r="X155" i="5"/>
  <c r="Y155" i="5"/>
  <c r="V156" i="5"/>
  <c r="W156" i="5"/>
  <c r="X156" i="5"/>
  <c r="Y156" i="5"/>
  <c r="V157" i="5"/>
  <c r="W157" i="5"/>
  <c r="X157" i="5"/>
  <c r="Y157" i="5"/>
  <c r="V158" i="5"/>
  <c r="W158" i="5"/>
  <c r="X158" i="5"/>
  <c r="Y158" i="5"/>
  <c r="V159" i="5"/>
  <c r="W159" i="5"/>
  <c r="X159" i="5"/>
  <c r="Y159" i="5"/>
  <c r="V160" i="5"/>
  <c r="W160" i="5"/>
  <c r="X160" i="5"/>
  <c r="Y160" i="5"/>
  <c r="V161" i="5"/>
  <c r="W161" i="5"/>
  <c r="X161" i="5"/>
  <c r="Y161" i="5"/>
  <c r="V162" i="5"/>
  <c r="W162" i="5"/>
  <c r="X162" i="5"/>
  <c r="Y162" i="5"/>
  <c r="V163" i="5"/>
  <c r="W163" i="5"/>
  <c r="X163" i="5"/>
  <c r="Y163" i="5"/>
  <c r="V164" i="5"/>
  <c r="W164" i="5"/>
  <c r="X164" i="5"/>
  <c r="Y164" i="5"/>
  <c r="V165" i="5"/>
  <c r="W165" i="5"/>
  <c r="X165" i="5"/>
  <c r="Y165" i="5"/>
  <c r="V166" i="5"/>
  <c r="W166" i="5"/>
  <c r="X166" i="5"/>
  <c r="Y166" i="5"/>
  <c r="V167" i="5"/>
  <c r="W167" i="5"/>
  <c r="X167" i="5"/>
  <c r="Y167" i="5"/>
  <c r="V168" i="5"/>
  <c r="W168" i="5"/>
  <c r="X168" i="5"/>
  <c r="Y168" i="5"/>
  <c r="V169" i="5"/>
  <c r="W169" i="5"/>
  <c r="X169" i="5"/>
  <c r="Y169" i="5"/>
  <c r="V170" i="5"/>
  <c r="W170" i="5"/>
  <c r="X170" i="5"/>
  <c r="Y170" i="5"/>
  <c r="V171" i="5"/>
  <c r="W171" i="5"/>
  <c r="X171" i="5"/>
  <c r="Y171" i="5"/>
  <c r="V172" i="5"/>
  <c r="W172" i="5"/>
  <c r="X172" i="5"/>
  <c r="Y172" i="5"/>
  <c r="V173" i="5"/>
  <c r="W173" i="5"/>
  <c r="X173" i="5"/>
  <c r="Y173" i="5"/>
  <c r="V174" i="5"/>
  <c r="W174" i="5"/>
  <c r="X174" i="5"/>
  <c r="Y174" i="5"/>
  <c r="V175" i="5"/>
  <c r="W175" i="5"/>
  <c r="X175" i="5"/>
  <c r="Y175" i="5"/>
  <c r="V176" i="5"/>
  <c r="W176" i="5"/>
  <c r="X176" i="5"/>
  <c r="Y176" i="5"/>
  <c r="V177" i="5"/>
  <c r="W177" i="5"/>
  <c r="X177" i="5"/>
  <c r="Y177" i="5"/>
  <c r="V178" i="5"/>
  <c r="W178" i="5"/>
  <c r="X178" i="5"/>
  <c r="Y178" i="5"/>
  <c r="V179" i="5"/>
  <c r="W179" i="5"/>
  <c r="X179" i="5"/>
  <c r="Y179" i="5"/>
  <c r="V180" i="5"/>
  <c r="W180" i="5"/>
  <c r="X180" i="5"/>
  <c r="Y180" i="5"/>
  <c r="V181" i="5"/>
  <c r="W181" i="5"/>
  <c r="X181" i="5"/>
  <c r="Y181" i="5"/>
  <c r="V182" i="5"/>
  <c r="W182" i="5"/>
  <c r="X182" i="5"/>
  <c r="Y182" i="5"/>
  <c r="V183" i="5"/>
  <c r="W183" i="5"/>
  <c r="X183" i="5"/>
  <c r="Y183" i="5"/>
  <c r="V184" i="5"/>
  <c r="W184" i="5"/>
  <c r="X184" i="5"/>
  <c r="Y184" i="5"/>
  <c r="V185" i="5"/>
  <c r="W185" i="5"/>
  <c r="X185" i="5"/>
  <c r="Y185" i="5"/>
  <c r="V186" i="5"/>
  <c r="W186" i="5"/>
  <c r="X186" i="5"/>
  <c r="Y186" i="5"/>
  <c r="V187" i="5"/>
  <c r="W187" i="5"/>
  <c r="X187" i="5"/>
  <c r="Y187" i="5"/>
  <c r="V188" i="5"/>
  <c r="W188" i="5"/>
  <c r="X188" i="5"/>
  <c r="Y188" i="5"/>
  <c r="V189" i="5"/>
  <c r="W189" i="5"/>
  <c r="X189" i="5"/>
  <c r="Y189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B22" i="5"/>
  <c r="N10" i="5"/>
  <c r="Q9" i="5" a="1"/>
  <c r="P9" i="5" a="1"/>
  <c r="O9" i="5" a="1"/>
  <c r="N9" i="5"/>
  <c r="Q8" i="5" a="1"/>
  <c r="Q8" i="5"/>
  <c r="P8" i="5" a="1"/>
  <c r="O8" i="5" a="1"/>
  <c r="L189" i="5"/>
  <c r="K189" i="5"/>
  <c r="J189" i="5"/>
  <c r="I189" i="5"/>
  <c r="H189" i="5"/>
  <c r="G189" i="5"/>
  <c r="F189" i="5"/>
  <c r="L188" i="5"/>
  <c r="K188" i="5"/>
  <c r="J188" i="5"/>
  <c r="I188" i="5"/>
  <c r="H188" i="5"/>
  <c r="G188" i="5"/>
  <c r="F188" i="5"/>
  <c r="L187" i="5"/>
  <c r="K187" i="5"/>
  <c r="J187" i="5"/>
  <c r="I187" i="5"/>
  <c r="H187" i="5"/>
  <c r="G187" i="5"/>
  <c r="F187" i="5"/>
  <c r="L186" i="5"/>
  <c r="K186" i="5"/>
  <c r="J186" i="5"/>
  <c r="I186" i="5"/>
  <c r="H186" i="5"/>
  <c r="G186" i="5"/>
  <c r="F186" i="5"/>
  <c r="L185" i="5"/>
  <c r="K185" i="5"/>
  <c r="J185" i="5"/>
  <c r="I185" i="5"/>
  <c r="H185" i="5"/>
  <c r="G185" i="5"/>
  <c r="F185" i="5"/>
  <c r="L184" i="5"/>
  <c r="K184" i="5"/>
  <c r="J184" i="5"/>
  <c r="I184" i="5"/>
  <c r="H184" i="5"/>
  <c r="G184" i="5"/>
  <c r="F184" i="5"/>
  <c r="L183" i="5"/>
  <c r="K183" i="5"/>
  <c r="J183" i="5"/>
  <c r="I183" i="5"/>
  <c r="H183" i="5"/>
  <c r="G183" i="5"/>
  <c r="F183" i="5"/>
  <c r="L182" i="5"/>
  <c r="K182" i="5"/>
  <c r="J182" i="5"/>
  <c r="I182" i="5"/>
  <c r="H182" i="5"/>
  <c r="G182" i="5"/>
  <c r="F182" i="5"/>
  <c r="L181" i="5"/>
  <c r="K181" i="5"/>
  <c r="J181" i="5"/>
  <c r="I181" i="5"/>
  <c r="H181" i="5"/>
  <c r="G181" i="5"/>
  <c r="F181" i="5"/>
  <c r="L180" i="5"/>
  <c r="K180" i="5"/>
  <c r="J180" i="5"/>
  <c r="I180" i="5"/>
  <c r="H180" i="5"/>
  <c r="G180" i="5"/>
  <c r="F180" i="5"/>
  <c r="L179" i="5"/>
  <c r="K179" i="5"/>
  <c r="J179" i="5"/>
  <c r="I179" i="5"/>
  <c r="H179" i="5"/>
  <c r="G179" i="5"/>
  <c r="F179" i="5"/>
  <c r="L178" i="5"/>
  <c r="K178" i="5"/>
  <c r="J178" i="5"/>
  <c r="I178" i="5"/>
  <c r="H178" i="5"/>
  <c r="G178" i="5"/>
  <c r="F178" i="5"/>
  <c r="L177" i="5"/>
  <c r="K177" i="5"/>
  <c r="J177" i="5"/>
  <c r="I177" i="5"/>
  <c r="H177" i="5"/>
  <c r="G177" i="5"/>
  <c r="F177" i="5"/>
  <c r="L176" i="5"/>
  <c r="K176" i="5"/>
  <c r="J176" i="5"/>
  <c r="I176" i="5"/>
  <c r="H176" i="5"/>
  <c r="G176" i="5"/>
  <c r="F176" i="5"/>
  <c r="L175" i="5"/>
  <c r="K175" i="5"/>
  <c r="J175" i="5"/>
  <c r="I175" i="5"/>
  <c r="H175" i="5"/>
  <c r="G175" i="5"/>
  <c r="F175" i="5"/>
  <c r="L174" i="5"/>
  <c r="K174" i="5"/>
  <c r="J174" i="5"/>
  <c r="I174" i="5"/>
  <c r="H174" i="5"/>
  <c r="G174" i="5"/>
  <c r="F174" i="5"/>
  <c r="L173" i="5"/>
  <c r="K173" i="5"/>
  <c r="J173" i="5"/>
  <c r="I173" i="5"/>
  <c r="H173" i="5"/>
  <c r="G173" i="5"/>
  <c r="F173" i="5"/>
  <c r="L172" i="5"/>
  <c r="K172" i="5"/>
  <c r="J172" i="5"/>
  <c r="I172" i="5"/>
  <c r="H172" i="5"/>
  <c r="G172" i="5"/>
  <c r="F172" i="5"/>
  <c r="L171" i="5"/>
  <c r="K171" i="5"/>
  <c r="J171" i="5"/>
  <c r="I171" i="5"/>
  <c r="H171" i="5"/>
  <c r="G171" i="5"/>
  <c r="F171" i="5"/>
  <c r="L170" i="5"/>
  <c r="K170" i="5"/>
  <c r="J170" i="5"/>
  <c r="I170" i="5"/>
  <c r="H170" i="5"/>
  <c r="G170" i="5"/>
  <c r="F170" i="5"/>
  <c r="L169" i="5"/>
  <c r="K169" i="5"/>
  <c r="J169" i="5"/>
  <c r="I169" i="5"/>
  <c r="H169" i="5"/>
  <c r="G169" i="5"/>
  <c r="F169" i="5"/>
  <c r="L168" i="5"/>
  <c r="K168" i="5"/>
  <c r="J168" i="5"/>
  <c r="I168" i="5"/>
  <c r="H168" i="5"/>
  <c r="G168" i="5"/>
  <c r="F168" i="5"/>
  <c r="L167" i="5"/>
  <c r="K167" i="5"/>
  <c r="J167" i="5"/>
  <c r="I167" i="5"/>
  <c r="H167" i="5"/>
  <c r="G167" i="5"/>
  <c r="F167" i="5"/>
  <c r="L166" i="5"/>
  <c r="K166" i="5"/>
  <c r="J166" i="5"/>
  <c r="I166" i="5"/>
  <c r="H166" i="5"/>
  <c r="G166" i="5"/>
  <c r="F166" i="5"/>
  <c r="L165" i="5"/>
  <c r="K165" i="5"/>
  <c r="J165" i="5"/>
  <c r="I165" i="5"/>
  <c r="H165" i="5"/>
  <c r="G165" i="5"/>
  <c r="F165" i="5"/>
  <c r="L164" i="5"/>
  <c r="K164" i="5"/>
  <c r="J164" i="5"/>
  <c r="I164" i="5"/>
  <c r="H164" i="5"/>
  <c r="G164" i="5"/>
  <c r="F164" i="5"/>
  <c r="L163" i="5"/>
  <c r="K163" i="5"/>
  <c r="J163" i="5"/>
  <c r="I163" i="5"/>
  <c r="H163" i="5"/>
  <c r="G163" i="5"/>
  <c r="F163" i="5"/>
  <c r="L162" i="5"/>
  <c r="K162" i="5"/>
  <c r="J162" i="5"/>
  <c r="I162" i="5"/>
  <c r="H162" i="5"/>
  <c r="G162" i="5"/>
  <c r="F162" i="5"/>
  <c r="L161" i="5"/>
  <c r="K161" i="5"/>
  <c r="J161" i="5"/>
  <c r="I161" i="5"/>
  <c r="H161" i="5"/>
  <c r="G161" i="5"/>
  <c r="F161" i="5"/>
  <c r="L160" i="5"/>
  <c r="K160" i="5"/>
  <c r="J160" i="5"/>
  <c r="I160" i="5"/>
  <c r="H160" i="5"/>
  <c r="G160" i="5"/>
  <c r="F160" i="5"/>
  <c r="L159" i="5"/>
  <c r="K159" i="5"/>
  <c r="J159" i="5"/>
  <c r="I159" i="5"/>
  <c r="H159" i="5"/>
  <c r="G159" i="5"/>
  <c r="F159" i="5"/>
  <c r="L158" i="5"/>
  <c r="K158" i="5"/>
  <c r="J158" i="5"/>
  <c r="I158" i="5"/>
  <c r="H158" i="5"/>
  <c r="G158" i="5"/>
  <c r="F158" i="5"/>
  <c r="L157" i="5"/>
  <c r="K157" i="5"/>
  <c r="J157" i="5"/>
  <c r="I157" i="5"/>
  <c r="H157" i="5"/>
  <c r="G157" i="5"/>
  <c r="F157" i="5"/>
  <c r="L156" i="5"/>
  <c r="K156" i="5"/>
  <c r="J156" i="5"/>
  <c r="I156" i="5"/>
  <c r="H156" i="5"/>
  <c r="G156" i="5"/>
  <c r="F156" i="5"/>
  <c r="L155" i="5"/>
  <c r="K155" i="5"/>
  <c r="J155" i="5"/>
  <c r="I155" i="5"/>
  <c r="H155" i="5"/>
  <c r="G155" i="5"/>
  <c r="F155" i="5"/>
  <c r="L154" i="5"/>
  <c r="K154" i="5"/>
  <c r="J154" i="5"/>
  <c r="I154" i="5"/>
  <c r="H154" i="5"/>
  <c r="G154" i="5"/>
  <c r="F154" i="5"/>
  <c r="L153" i="5"/>
  <c r="K153" i="5"/>
  <c r="J153" i="5"/>
  <c r="I153" i="5"/>
  <c r="H153" i="5"/>
  <c r="G153" i="5"/>
  <c r="F153" i="5"/>
  <c r="L152" i="5"/>
  <c r="K152" i="5"/>
  <c r="J152" i="5"/>
  <c r="I152" i="5"/>
  <c r="H152" i="5"/>
  <c r="G152" i="5"/>
  <c r="F152" i="5"/>
  <c r="L151" i="5"/>
  <c r="K151" i="5"/>
  <c r="J151" i="5"/>
  <c r="I151" i="5"/>
  <c r="H151" i="5"/>
  <c r="G151" i="5"/>
  <c r="F151" i="5"/>
  <c r="L150" i="5"/>
  <c r="K150" i="5"/>
  <c r="J150" i="5"/>
  <c r="I150" i="5"/>
  <c r="H150" i="5"/>
  <c r="G150" i="5"/>
  <c r="F150" i="5"/>
  <c r="L149" i="5"/>
  <c r="K149" i="5"/>
  <c r="J149" i="5"/>
  <c r="I149" i="5"/>
  <c r="H149" i="5"/>
  <c r="G149" i="5"/>
  <c r="F149" i="5"/>
  <c r="L148" i="5"/>
  <c r="K148" i="5"/>
  <c r="J148" i="5"/>
  <c r="I148" i="5"/>
  <c r="H148" i="5"/>
  <c r="G148" i="5"/>
  <c r="F148" i="5"/>
  <c r="L147" i="5"/>
  <c r="K147" i="5"/>
  <c r="J147" i="5"/>
  <c r="I147" i="5"/>
  <c r="H147" i="5"/>
  <c r="G147" i="5"/>
  <c r="F147" i="5"/>
  <c r="L146" i="5"/>
  <c r="K146" i="5"/>
  <c r="J146" i="5"/>
  <c r="I146" i="5"/>
  <c r="H146" i="5"/>
  <c r="G146" i="5"/>
  <c r="F146" i="5"/>
  <c r="L145" i="5"/>
  <c r="K145" i="5"/>
  <c r="J145" i="5"/>
  <c r="I145" i="5"/>
  <c r="H145" i="5"/>
  <c r="G145" i="5"/>
  <c r="F145" i="5"/>
  <c r="L144" i="5"/>
  <c r="K144" i="5"/>
  <c r="J144" i="5"/>
  <c r="I144" i="5"/>
  <c r="H144" i="5"/>
  <c r="G144" i="5"/>
  <c r="F144" i="5"/>
  <c r="L143" i="5"/>
  <c r="K143" i="5"/>
  <c r="J143" i="5"/>
  <c r="I143" i="5"/>
  <c r="H143" i="5"/>
  <c r="G143" i="5"/>
  <c r="F143" i="5"/>
  <c r="L142" i="5"/>
  <c r="K142" i="5"/>
  <c r="J142" i="5"/>
  <c r="I142" i="5"/>
  <c r="H142" i="5"/>
  <c r="G142" i="5"/>
  <c r="F142" i="5"/>
  <c r="L141" i="5"/>
  <c r="K141" i="5"/>
  <c r="J141" i="5"/>
  <c r="I141" i="5"/>
  <c r="H141" i="5"/>
  <c r="G141" i="5"/>
  <c r="F141" i="5"/>
  <c r="L140" i="5"/>
  <c r="K140" i="5"/>
  <c r="J140" i="5"/>
  <c r="I140" i="5"/>
  <c r="H140" i="5"/>
  <c r="G140" i="5"/>
  <c r="F140" i="5"/>
  <c r="L139" i="5"/>
  <c r="K139" i="5"/>
  <c r="J139" i="5"/>
  <c r="I139" i="5"/>
  <c r="H139" i="5"/>
  <c r="G139" i="5"/>
  <c r="F139" i="5"/>
  <c r="L138" i="5"/>
  <c r="K138" i="5"/>
  <c r="J138" i="5"/>
  <c r="I138" i="5"/>
  <c r="H138" i="5"/>
  <c r="G138" i="5"/>
  <c r="F138" i="5"/>
  <c r="L137" i="5"/>
  <c r="K137" i="5"/>
  <c r="J137" i="5"/>
  <c r="I137" i="5"/>
  <c r="H137" i="5"/>
  <c r="G137" i="5"/>
  <c r="F137" i="5"/>
  <c r="L136" i="5"/>
  <c r="K136" i="5"/>
  <c r="J136" i="5"/>
  <c r="I136" i="5"/>
  <c r="H136" i="5"/>
  <c r="G136" i="5"/>
  <c r="F136" i="5"/>
  <c r="L135" i="5"/>
  <c r="K135" i="5"/>
  <c r="J135" i="5"/>
  <c r="I135" i="5"/>
  <c r="H135" i="5"/>
  <c r="G135" i="5"/>
  <c r="F135" i="5"/>
  <c r="L134" i="5"/>
  <c r="K134" i="5"/>
  <c r="J134" i="5"/>
  <c r="I134" i="5"/>
  <c r="H134" i="5"/>
  <c r="G134" i="5"/>
  <c r="F134" i="5"/>
  <c r="L133" i="5"/>
  <c r="K133" i="5"/>
  <c r="J133" i="5"/>
  <c r="I133" i="5"/>
  <c r="H133" i="5"/>
  <c r="G133" i="5"/>
  <c r="F133" i="5"/>
  <c r="L132" i="5"/>
  <c r="K132" i="5"/>
  <c r="J132" i="5"/>
  <c r="I132" i="5"/>
  <c r="H132" i="5"/>
  <c r="G132" i="5"/>
  <c r="F132" i="5"/>
  <c r="L131" i="5"/>
  <c r="K131" i="5"/>
  <c r="J131" i="5"/>
  <c r="I131" i="5"/>
  <c r="H131" i="5"/>
  <c r="G131" i="5"/>
  <c r="F131" i="5"/>
  <c r="L130" i="5"/>
  <c r="K130" i="5"/>
  <c r="J130" i="5"/>
  <c r="I130" i="5"/>
  <c r="H130" i="5"/>
  <c r="G130" i="5"/>
  <c r="F130" i="5"/>
  <c r="L129" i="5"/>
  <c r="K129" i="5"/>
  <c r="J129" i="5"/>
  <c r="I129" i="5"/>
  <c r="H129" i="5"/>
  <c r="G129" i="5"/>
  <c r="F129" i="5"/>
  <c r="L128" i="5"/>
  <c r="K128" i="5"/>
  <c r="J128" i="5"/>
  <c r="I128" i="5"/>
  <c r="H128" i="5"/>
  <c r="G128" i="5"/>
  <c r="F128" i="5"/>
  <c r="L127" i="5"/>
  <c r="K127" i="5"/>
  <c r="J127" i="5"/>
  <c r="I127" i="5"/>
  <c r="H127" i="5"/>
  <c r="G127" i="5"/>
  <c r="F127" i="5"/>
  <c r="L126" i="5"/>
  <c r="K126" i="5"/>
  <c r="J126" i="5"/>
  <c r="I126" i="5"/>
  <c r="H126" i="5"/>
  <c r="G126" i="5"/>
  <c r="F126" i="5"/>
  <c r="L125" i="5"/>
  <c r="K125" i="5"/>
  <c r="J125" i="5"/>
  <c r="I125" i="5"/>
  <c r="H125" i="5"/>
  <c r="G125" i="5"/>
  <c r="F125" i="5"/>
  <c r="L124" i="5"/>
  <c r="K124" i="5"/>
  <c r="J124" i="5"/>
  <c r="I124" i="5"/>
  <c r="H124" i="5"/>
  <c r="G124" i="5"/>
  <c r="F124" i="5"/>
  <c r="L123" i="5"/>
  <c r="K123" i="5"/>
  <c r="J123" i="5"/>
  <c r="I123" i="5"/>
  <c r="H123" i="5"/>
  <c r="G123" i="5"/>
  <c r="F123" i="5"/>
  <c r="L122" i="5"/>
  <c r="K122" i="5"/>
  <c r="J122" i="5"/>
  <c r="I122" i="5"/>
  <c r="H122" i="5"/>
  <c r="G122" i="5"/>
  <c r="F122" i="5"/>
  <c r="L121" i="5"/>
  <c r="K121" i="5"/>
  <c r="J121" i="5"/>
  <c r="I121" i="5"/>
  <c r="H121" i="5"/>
  <c r="G121" i="5"/>
  <c r="F121" i="5"/>
  <c r="L120" i="5"/>
  <c r="K120" i="5"/>
  <c r="J120" i="5"/>
  <c r="I120" i="5"/>
  <c r="H120" i="5"/>
  <c r="G120" i="5"/>
  <c r="F120" i="5"/>
  <c r="L119" i="5"/>
  <c r="K119" i="5"/>
  <c r="J119" i="5"/>
  <c r="I119" i="5"/>
  <c r="H119" i="5"/>
  <c r="G119" i="5"/>
  <c r="F119" i="5"/>
  <c r="L118" i="5"/>
  <c r="K118" i="5"/>
  <c r="J118" i="5"/>
  <c r="I118" i="5"/>
  <c r="H118" i="5"/>
  <c r="G118" i="5"/>
  <c r="F118" i="5"/>
  <c r="L117" i="5"/>
  <c r="K117" i="5"/>
  <c r="J117" i="5"/>
  <c r="I117" i="5"/>
  <c r="H117" i="5"/>
  <c r="G117" i="5"/>
  <c r="F117" i="5"/>
  <c r="L116" i="5"/>
  <c r="K116" i="5"/>
  <c r="J116" i="5"/>
  <c r="I116" i="5"/>
  <c r="H116" i="5"/>
  <c r="G116" i="5"/>
  <c r="F116" i="5"/>
  <c r="L115" i="5"/>
  <c r="K115" i="5"/>
  <c r="J115" i="5"/>
  <c r="I115" i="5"/>
  <c r="H115" i="5"/>
  <c r="G115" i="5"/>
  <c r="F115" i="5"/>
  <c r="L114" i="5"/>
  <c r="K114" i="5"/>
  <c r="J114" i="5"/>
  <c r="I114" i="5"/>
  <c r="H114" i="5"/>
  <c r="G114" i="5"/>
  <c r="F114" i="5"/>
  <c r="L113" i="5"/>
  <c r="K113" i="5"/>
  <c r="J113" i="5"/>
  <c r="I113" i="5"/>
  <c r="H113" i="5"/>
  <c r="G113" i="5"/>
  <c r="F113" i="5"/>
  <c r="L112" i="5"/>
  <c r="K112" i="5"/>
  <c r="J112" i="5"/>
  <c r="I112" i="5"/>
  <c r="H112" i="5"/>
  <c r="G112" i="5"/>
  <c r="F112" i="5"/>
  <c r="L111" i="5"/>
  <c r="K111" i="5"/>
  <c r="J111" i="5"/>
  <c r="I111" i="5"/>
  <c r="H111" i="5"/>
  <c r="G111" i="5"/>
  <c r="F111" i="5"/>
  <c r="L110" i="5"/>
  <c r="K110" i="5"/>
  <c r="J110" i="5"/>
  <c r="I110" i="5"/>
  <c r="H110" i="5"/>
  <c r="G110" i="5"/>
  <c r="F110" i="5"/>
  <c r="L109" i="5"/>
  <c r="K109" i="5"/>
  <c r="J109" i="5"/>
  <c r="I109" i="5"/>
  <c r="H109" i="5"/>
  <c r="G109" i="5"/>
  <c r="F109" i="5"/>
  <c r="L108" i="5"/>
  <c r="K108" i="5"/>
  <c r="J108" i="5"/>
  <c r="I108" i="5"/>
  <c r="H108" i="5"/>
  <c r="G108" i="5"/>
  <c r="F108" i="5"/>
  <c r="L107" i="5"/>
  <c r="K107" i="5"/>
  <c r="J107" i="5"/>
  <c r="I107" i="5"/>
  <c r="H107" i="5"/>
  <c r="G107" i="5"/>
  <c r="F107" i="5"/>
  <c r="L106" i="5"/>
  <c r="K106" i="5"/>
  <c r="J106" i="5"/>
  <c r="I106" i="5"/>
  <c r="H106" i="5"/>
  <c r="G106" i="5"/>
  <c r="F106" i="5"/>
  <c r="L105" i="5"/>
  <c r="K105" i="5"/>
  <c r="J105" i="5"/>
  <c r="I105" i="5"/>
  <c r="H105" i="5"/>
  <c r="G105" i="5"/>
  <c r="F105" i="5"/>
  <c r="L104" i="5"/>
  <c r="K104" i="5"/>
  <c r="J104" i="5"/>
  <c r="I104" i="5"/>
  <c r="H104" i="5"/>
  <c r="G104" i="5"/>
  <c r="F104" i="5"/>
  <c r="L103" i="5"/>
  <c r="K103" i="5"/>
  <c r="J103" i="5"/>
  <c r="I103" i="5"/>
  <c r="H103" i="5"/>
  <c r="G103" i="5"/>
  <c r="F103" i="5"/>
  <c r="L102" i="5"/>
  <c r="K102" i="5"/>
  <c r="J102" i="5"/>
  <c r="I102" i="5"/>
  <c r="H102" i="5"/>
  <c r="G102" i="5"/>
  <c r="F102" i="5"/>
  <c r="L101" i="5"/>
  <c r="K101" i="5"/>
  <c r="J101" i="5"/>
  <c r="I101" i="5"/>
  <c r="H101" i="5"/>
  <c r="G101" i="5"/>
  <c r="F101" i="5"/>
  <c r="L100" i="5"/>
  <c r="K100" i="5"/>
  <c r="J100" i="5"/>
  <c r="I100" i="5"/>
  <c r="H100" i="5"/>
  <c r="G100" i="5"/>
  <c r="F100" i="5"/>
  <c r="L99" i="5"/>
  <c r="K99" i="5"/>
  <c r="J99" i="5"/>
  <c r="I99" i="5"/>
  <c r="H99" i="5"/>
  <c r="G99" i="5"/>
  <c r="F99" i="5"/>
  <c r="L98" i="5"/>
  <c r="K98" i="5"/>
  <c r="J98" i="5"/>
  <c r="I98" i="5"/>
  <c r="H98" i="5"/>
  <c r="G98" i="5"/>
  <c r="F98" i="5"/>
  <c r="L97" i="5"/>
  <c r="K97" i="5"/>
  <c r="J97" i="5"/>
  <c r="I97" i="5"/>
  <c r="H97" i="5"/>
  <c r="G97" i="5"/>
  <c r="F97" i="5"/>
  <c r="L96" i="5"/>
  <c r="K96" i="5"/>
  <c r="J96" i="5"/>
  <c r="I96" i="5"/>
  <c r="H96" i="5"/>
  <c r="G96" i="5"/>
  <c r="F96" i="5"/>
  <c r="L95" i="5"/>
  <c r="K95" i="5"/>
  <c r="J95" i="5"/>
  <c r="I95" i="5"/>
  <c r="H95" i="5"/>
  <c r="G95" i="5"/>
  <c r="F95" i="5"/>
  <c r="L94" i="5"/>
  <c r="K94" i="5"/>
  <c r="J94" i="5"/>
  <c r="I94" i="5"/>
  <c r="H94" i="5"/>
  <c r="G94" i="5"/>
  <c r="F94" i="5"/>
  <c r="L93" i="5"/>
  <c r="K93" i="5"/>
  <c r="J93" i="5"/>
  <c r="I93" i="5"/>
  <c r="H93" i="5"/>
  <c r="G93" i="5"/>
  <c r="F93" i="5"/>
  <c r="L92" i="5"/>
  <c r="K92" i="5"/>
  <c r="J92" i="5"/>
  <c r="I92" i="5"/>
  <c r="H92" i="5"/>
  <c r="G92" i="5"/>
  <c r="F92" i="5"/>
  <c r="L91" i="5"/>
  <c r="K91" i="5"/>
  <c r="J91" i="5"/>
  <c r="I91" i="5"/>
  <c r="H91" i="5"/>
  <c r="G91" i="5"/>
  <c r="F91" i="5"/>
  <c r="L90" i="5"/>
  <c r="K90" i="5"/>
  <c r="J90" i="5"/>
  <c r="I90" i="5"/>
  <c r="H90" i="5"/>
  <c r="G90" i="5"/>
  <c r="F90" i="5"/>
  <c r="L89" i="5"/>
  <c r="K89" i="5"/>
  <c r="J89" i="5"/>
  <c r="I89" i="5"/>
  <c r="H89" i="5"/>
  <c r="G89" i="5"/>
  <c r="F89" i="5"/>
  <c r="L88" i="5"/>
  <c r="K88" i="5"/>
  <c r="J88" i="5"/>
  <c r="I88" i="5"/>
  <c r="H88" i="5"/>
  <c r="G88" i="5"/>
  <c r="F88" i="5"/>
  <c r="L87" i="5"/>
  <c r="K87" i="5"/>
  <c r="J87" i="5"/>
  <c r="I87" i="5"/>
  <c r="H87" i="5"/>
  <c r="G87" i="5"/>
  <c r="F87" i="5"/>
  <c r="L86" i="5"/>
  <c r="K86" i="5"/>
  <c r="J86" i="5"/>
  <c r="I86" i="5"/>
  <c r="H86" i="5"/>
  <c r="G86" i="5"/>
  <c r="F86" i="5"/>
  <c r="L85" i="5"/>
  <c r="K85" i="5"/>
  <c r="J85" i="5"/>
  <c r="I85" i="5"/>
  <c r="H85" i="5"/>
  <c r="G85" i="5"/>
  <c r="F85" i="5"/>
  <c r="L84" i="5"/>
  <c r="K84" i="5"/>
  <c r="J84" i="5"/>
  <c r="I84" i="5"/>
  <c r="H84" i="5"/>
  <c r="G84" i="5"/>
  <c r="F84" i="5"/>
  <c r="L83" i="5"/>
  <c r="K83" i="5"/>
  <c r="J83" i="5"/>
  <c r="I83" i="5"/>
  <c r="H83" i="5"/>
  <c r="G83" i="5"/>
  <c r="F83" i="5"/>
  <c r="L82" i="5"/>
  <c r="K82" i="5"/>
  <c r="J82" i="5"/>
  <c r="I82" i="5"/>
  <c r="H82" i="5"/>
  <c r="G82" i="5"/>
  <c r="F82" i="5"/>
  <c r="L81" i="5"/>
  <c r="K81" i="5"/>
  <c r="J81" i="5"/>
  <c r="I81" i="5"/>
  <c r="H81" i="5"/>
  <c r="G81" i="5"/>
  <c r="F81" i="5"/>
  <c r="L80" i="5"/>
  <c r="K80" i="5"/>
  <c r="J80" i="5"/>
  <c r="I80" i="5"/>
  <c r="H80" i="5"/>
  <c r="G80" i="5"/>
  <c r="F80" i="5"/>
  <c r="L79" i="5"/>
  <c r="K79" i="5"/>
  <c r="J79" i="5"/>
  <c r="I79" i="5"/>
  <c r="H79" i="5"/>
  <c r="G79" i="5"/>
  <c r="F79" i="5"/>
  <c r="L78" i="5"/>
  <c r="K78" i="5"/>
  <c r="J78" i="5"/>
  <c r="I78" i="5"/>
  <c r="H78" i="5"/>
  <c r="G78" i="5"/>
  <c r="F78" i="5"/>
  <c r="L77" i="5"/>
  <c r="K77" i="5"/>
  <c r="J77" i="5"/>
  <c r="I77" i="5"/>
  <c r="H77" i="5"/>
  <c r="G77" i="5"/>
  <c r="F77" i="5"/>
  <c r="L76" i="5"/>
  <c r="K76" i="5"/>
  <c r="J76" i="5"/>
  <c r="I76" i="5"/>
  <c r="H76" i="5"/>
  <c r="G76" i="5"/>
  <c r="F76" i="5"/>
  <c r="L75" i="5"/>
  <c r="K75" i="5"/>
  <c r="J75" i="5"/>
  <c r="I75" i="5"/>
  <c r="H75" i="5"/>
  <c r="G75" i="5"/>
  <c r="F75" i="5"/>
  <c r="L74" i="5"/>
  <c r="K74" i="5"/>
  <c r="J74" i="5"/>
  <c r="I74" i="5"/>
  <c r="H74" i="5"/>
  <c r="G74" i="5"/>
  <c r="F74" i="5"/>
  <c r="L73" i="5"/>
  <c r="K73" i="5"/>
  <c r="J73" i="5"/>
  <c r="I73" i="5"/>
  <c r="H73" i="5"/>
  <c r="G73" i="5"/>
  <c r="F73" i="5"/>
  <c r="L72" i="5"/>
  <c r="K72" i="5"/>
  <c r="J72" i="5"/>
  <c r="I72" i="5"/>
  <c r="H72" i="5"/>
  <c r="G72" i="5"/>
  <c r="F72" i="5"/>
  <c r="L71" i="5"/>
  <c r="K71" i="5"/>
  <c r="J71" i="5"/>
  <c r="I71" i="5"/>
  <c r="H71" i="5"/>
  <c r="G71" i="5"/>
  <c r="F71" i="5"/>
  <c r="L70" i="5"/>
  <c r="K70" i="5"/>
  <c r="J70" i="5"/>
  <c r="I70" i="5"/>
  <c r="H70" i="5"/>
  <c r="G70" i="5"/>
  <c r="F70" i="5"/>
  <c r="L69" i="5"/>
  <c r="K69" i="5"/>
  <c r="J69" i="5"/>
  <c r="I69" i="5"/>
  <c r="H69" i="5"/>
  <c r="G69" i="5"/>
  <c r="F69" i="5"/>
  <c r="L68" i="5"/>
  <c r="K68" i="5"/>
  <c r="J68" i="5"/>
  <c r="I68" i="5"/>
  <c r="H68" i="5"/>
  <c r="G68" i="5"/>
  <c r="F68" i="5"/>
  <c r="L67" i="5"/>
  <c r="K67" i="5"/>
  <c r="J67" i="5"/>
  <c r="I67" i="5"/>
  <c r="H67" i="5"/>
  <c r="G67" i="5"/>
  <c r="F67" i="5"/>
  <c r="L66" i="5"/>
  <c r="K66" i="5"/>
  <c r="J66" i="5"/>
  <c r="I66" i="5"/>
  <c r="H66" i="5"/>
  <c r="G66" i="5"/>
  <c r="F66" i="5"/>
  <c r="L65" i="5"/>
  <c r="K65" i="5"/>
  <c r="J65" i="5"/>
  <c r="I65" i="5"/>
  <c r="H65" i="5"/>
  <c r="G65" i="5"/>
  <c r="F65" i="5"/>
  <c r="L64" i="5"/>
  <c r="K64" i="5"/>
  <c r="J64" i="5"/>
  <c r="I64" i="5"/>
  <c r="H64" i="5"/>
  <c r="G64" i="5"/>
  <c r="F64" i="5"/>
  <c r="L63" i="5"/>
  <c r="K63" i="5"/>
  <c r="J63" i="5"/>
  <c r="I63" i="5"/>
  <c r="H63" i="5"/>
  <c r="G63" i="5"/>
  <c r="F63" i="5"/>
  <c r="L62" i="5"/>
  <c r="K62" i="5"/>
  <c r="J62" i="5"/>
  <c r="I62" i="5"/>
  <c r="H62" i="5"/>
  <c r="G62" i="5"/>
  <c r="F62" i="5"/>
  <c r="L61" i="5"/>
  <c r="K61" i="5"/>
  <c r="J61" i="5"/>
  <c r="I61" i="5"/>
  <c r="H61" i="5"/>
  <c r="G61" i="5"/>
  <c r="F61" i="5"/>
  <c r="L60" i="5"/>
  <c r="K60" i="5"/>
  <c r="J60" i="5"/>
  <c r="I60" i="5"/>
  <c r="H60" i="5"/>
  <c r="G60" i="5"/>
  <c r="F60" i="5"/>
  <c r="L59" i="5"/>
  <c r="K59" i="5"/>
  <c r="J59" i="5"/>
  <c r="I59" i="5"/>
  <c r="H59" i="5"/>
  <c r="G59" i="5"/>
  <c r="F59" i="5"/>
  <c r="L58" i="5"/>
  <c r="K58" i="5"/>
  <c r="J58" i="5"/>
  <c r="I58" i="5"/>
  <c r="H58" i="5"/>
  <c r="G58" i="5"/>
  <c r="F58" i="5"/>
  <c r="L57" i="5"/>
  <c r="K57" i="5"/>
  <c r="J57" i="5"/>
  <c r="I57" i="5"/>
  <c r="H57" i="5"/>
  <c r="G57" i="5"/>
  <c r="F57" i="5"/>
  <c r="L56" i="5"/>
  <c r="K56" i="5"/>
  <c r="J56" i="5"/>
  <c r="I56" i="5"/>
  <c r="H56" i="5"/>
  <c r="G56" i="5"/>
  <c r="F56" i="5"/>
  <c r="L55" i="5"/>
  <c r="K55" i="5"/>
  <c r="J55" i="5"/>
  <c r="I55" i="5"/>
  <c r="H55" i="5"/>
  <c r="G55" i="5"/>
  <c r="F55" i="5"/>
  <c r="L54" i="5"/>
  <c r="K54" i="5"/>
  <c r="J54" i="5"/>
  <c r="I54" i="5"/>
  <c r="H54" i="5"/>
  <c r="G54" i="5"/>
  <c r="F54" i="5"/>
  <c r="L53" i="5"/>
  <c r="K53" i="5"/>
  <c r="J53" i="5"/>
  <c r="I53" i="5"/>
  <c r="H53" i="5"/>
  <c r="G53" i="5"/>
  <c r="F53" i="5"/>
  <c r="L52" i="5"/>
  <c r="K52" i="5"/>
  <c r="J52" i="5"/>
  <c r="I52" i="5"/>
  <c r="H52" i="5"/>
  <c r="G52" i="5"/>
  <c r="F52" i="5"/>
  <c r="L51" i="5"/>
  <c r="K51" i="5"/>
  <c r="J51" i="5"/>
  <c r="I51" i="5"/>
  <c r="H51" i="5"/>
  <c r="G51" i="5"/>
  <c r="F51" i="5"/>
  <c r="L50" i="5"/>
  <c r="K50" i="5"/>
  <c r="J50" i="5"/>
  <c r="I50" i="5"/>
  <c r="H50" i="5"/>
  <c r="G50" i="5"/>
  <c r="F50" i="5"/>
  <c r="L49" i="5"/>
  <c r="K49" i="5"/>
  <c r="J49" i="5"/>
  <c r="I49" i="5"/>
  <c r="H49" i="5"/>
  <c r="G49" i="5"/>
  <c r="F49" i="5"/>
  <c r="L48" i="5"/>
  <c r="K48" i="5"/>
  <c r="J48" i="5"/>
  <c r="I48" i="5"/>
  <c r="H48" i="5"/>
  <c r="G48" i="5"/>
  <c r="F48" i="5"/>
  <c r="L47" i="5"/>
  <c r="K47" i="5"/>
  <c r="J47" i="5"/>
  <c r="I47" i="5"/>
  <c r="H47" i="5"/>
  <c r="G47" i="5"/>
  <c r="F47" i="5"/>
  <c r="L46" i="5"/>
  <c r="K46" i="5"/>
  <c r="J46" i="5"/>
  <c r="I46" i="5"/>
  <c r="H46" i="5"/>
  <c r="G46" i="5"/>
  <c r="F46" i="5"/>
  <c r="L45" i="5"/>
  <c r="K45" i="5"/>
  <c r="J45" i="5"/>
  <c r="I45" i="5"/>
  <c r="H45" i="5"/>
  <c r="G45" i="5"/>
  <c r="F45" i="5"/>
  <c r="L44" i="5"/>
  <c r="K44" i="5"/>
  <c r="J44" i="5"/>
  <c r="I44" i="5"/>
  <c r="H44" i="5"/>
  <c r="G44" i="5"/>
  <c r="F44" i="5"/>
  <c r="L43" i="5"/>
  <c r="K43" i="5"/>
  <c r="J43" i="5"/>
  <c r="I43" i="5"/>
  <c r="H43" i="5"/>
  <c r="G43" i="5"/>
  <c r="F43" i="5"/>
  <c r="L42" i="5"/>
  <c r="K42" i="5"/>
  <c r="J42" i="5"/>
  <c r="I42" i="5"/>
  <c r="H42" i="5"/>
  <c r="G42" i="5"/>
  <c r="F42" i="5"/>
  <c r="L41" i="5"/>
  <c r="K41" i="5"/>
  <c r="J41" i="5"/>
  <c r="I41" i="5"/>
  <c r="H41" i="5"/>
  <c r="G41" i="5"/>
  <c r="F41" i="5"/>
  <c r="L40" i="5"/>
  <c r="K40" i="5"/>
  <c r="J40" i="5"/>
  <c r="I40" i="5"/>
  <c r="H40" i="5"/>
  <c r="G40" i="5"/>
  <c r="F40" i="5"/>
  <c r="L39" i="5"/>
  <c r="K39" i="5"/>
  <c r="J39" i="5"/>
  <c r="I39" i="5"/>
  <c r="H39" i="5"/>
  <c r="G39" i="5"/>
  <c r="F39" i="5"/>
  <c r="L38" i="5"/>
  <c r="K38" i="5"/>
  <c r="J38" i="5"/>
  <c r="I38" i="5"/>
  <c r="H38" i="5"/>
  <c r="G38" i="5"/>
  <c r="F38" i="5"/>
  <c r="L37" i="5"/>
  <c r="K37" i="5"/>
  <c r="J37" i="5"/>
  <c r="I37" i="5"/>
  <c r="H37" i="5"/>
  <c r="G37" i="5"/>
  <c r="F37" i="5"/>
  <c r="L36" i="5"/>
  <c r="K36" i="5"/>
  <c r="J36" i="5"/>
  <c r="I36" i="5"/>
  <c r="H36" i="5"/>
  <c r="G36" i="5"/>
  <c r="F36" i="5"/>
  <c r="L35" i="5"/>
  <c r="K35" i="5"/>
  <c r="J35" i="5"/>
  <c r="I35" i="5"/>
  <c r="H35" i="5"/>
  <c r="G35" i="5"/>
  <c r="F35" i="5"/>
  <c r="L34" i="5"/>
  <c r="K34" i="5"/>
  <c r="J34" i="5"/>
  <c r="I34" i="5"/>
  <c r="H34" i="5"/>
  <c r="G34" i="5"/>
  <c r="F34" i="5"/>
  <c r="L33" i="5"/>
  <c r="K33" i="5"/>
  <c r="J33" i="5"/>
  <c r="I33" i="5"/>
  <c r="H33" i="5"/>
  <c r="G33" i="5"/>
  <c r="F33" i="5"/>
  <c r="L32" i="5"/>
  <c r="K32" i="5"/>
  <c r="J32" i="5"/>
  <c r="I32" i="5"/>
  <c r="H32" i="5"/>
  <c r="G32" i="5"/>
  <c r="F32" i="5"/>
  <c r="L31" i="5"/>
  <c r="K31" i="5"/>
  <c r="J31" i="5"/>
  <c r="I31" i="5"/>
  <c r="H31" i="5"/>
  <c r="G31" i="5"/>
  <c r="F31" i="5"/>
  <c r="L30" i="5"/>
  <c r="K30" i="5"/>
  <c r="J30" i="5"/>
  <c r="I30" i="5"/>
  <c r="H30" i="5"/>
  <c r="G30" i="5"/>
  <c r="F30" i="5"/>
  <c r="L29" i="5"/>
  <c r="K29" i="5"/>
  <c r="J29" i="5"/>
  <c r="I29" i="5"/>
  <c r="H29" i="5"/>
  <c r="G29" i="5"/>
  <c r="F29" i="5"/>
  <c r="L28" i="5"/>
  <c r="K28" i="5"/>
  <c r="J28" i="5"/>
  <c r="I28" i="5"/>
  <c r="H28" i="5"/>
  <c r="G28" i="5"/>
  <c r="F28" i="5"/>
  <c r="L27" i="5"/>
  <c r="K27" i="5"/>
  <c r="J27" i="5"/>
  <c r="I27" i="5"/>
  <c r="H27" i="5"/>
  <c r="G27" i="5"/>
  <c r="F27" i="5"/>
  <c r="L26" i="5"/>
  <c r="K26" i="5"/>
  <c r="J26" i="5"/>
  <c r="I26" i="5"/>
  <c r="H26" i="5"/>
  <c r="G26" i="5"/>
  <c r="F26" i="5"/>
  <c r="L25" i="5"/>
  <c r="K25" i="5"/>
  <c r="J25" i="5"/>
  <c r="I25" i="5"/>
  <c r="H25" i="5"/>
  <c r="G25" i="5"/>
  <c r="F25" i="5"/>
  <c r="L24" i="5"/>
  <c r="K24" i="5"/>
  <c r="J24" i="5"/>
  <c r="I24" i="5"/>
  <c r="H24" i="5"/>
  <c r="G24" i="5"/>
  <c r="F24" i="5"/>
  <c r="L23" i="5"/>
  <c r="K23" i="5"/>
  <c r="J23" i="5"/>
  <c r="I23" i="5"/>
  <c r="H23" i="5"/>
  <c r="G23" i="5"/>
  <c r="F23" i="5"/>
  <c r="L22" i="5"/>
  <c r="K22" i="5"/>
  <c r="J22" i="5"/>
  <c r="I22" i="5"/>
  <c r="H22" i="5"/>
  <c r="G22" i="5"/>
  <c r="F22" i="5"/>
  <c r="L21" i="5"/>
  <c r="K21" i="5"/>
  <c r="J21" i="5"/>
  <c r="I21" i="5"/>
  <c r="H21" i="5"/>
  <c r="G21" i="5"/>
  <c r="F21" i="5"/>
  <c r="L20" i="5"/>
  <c r="K20" i="5"/>
  <c r="J20" i="5"/>
  <c r="I20" i="5"/>
  <c r="H20" i="5"/>
  <c r="G20" i="5"/>
  <c r="F20" i="5"/>
  <c r="L19" i="5"/>
  <c r="K19" i="5"/>
  <c r="J19" i="5"/>
  <c r="I19" i="5"/>
  <c r="H19" i="5"/>
  <c r="G19" i="5"/>
  <c r="F19" i="5"/>
  <c r="L18" i="5"/>
  <c r="K18" i="5"/>
  <c r="J18" i="5"/>
  <c r="I18" i="5"/>
  <c r="H18" i="5"/>
  <c r="G18" i="5"/>
  <c r="F18" i="5"/>
  <c r="L17" i="5"/>
  <c r="K17" i="5"/>
  <c r="J17" i="5"/>
  <c r="I17" i="5"/>
  <c r="H17" i="5"/>
  <c r="G17" i="5"/>
  <c r="F17" i="5"/>
  <c r="L16" i="5"/>
  <c r="K16" i="5"/>
  <c r="J16" i="5"/>
  <c r="I16" i="5"/>
  <c r="H16" i="5"/>
  <c r="G16" i="5"/>
  <c r="F16" i="5"/>
  <c r="L15" i="5"/>
  <c r="K15" i="5"/>
  <c r="J15" i="5"/>
  <c r="I15" i="5"/>
  <c r="H15" i="5"/>
  <c r="G15" i="5"/>
  <c r="F15" i="5"/>
  <c r="L14" i="5"/>
  <c r="K14" i="5"/>
  <c r="J14" i="5"/>
  <c r="I14" i="5"/>
  <c r="H14" i="5"/>
  <c r="G14" i="5"/>
  <c r="F14" i="5"/>
  <c r="L13" i="5"/>
  <c r="K13" i="5"/>
  <c r="J13" i="5"/>
  <c r="I13" i="5"/>
  <c r="H13" i="5"/>
  <c r="G13" i="5"/>
  <c r="F13" i="5"/>
  <c r="L12" i="5"/>
  <c r="K12" i="5"/>
  <c r="J12" i="5"/>
  <c r="I12" i="5"/>
  <c r="H12" i="5"/>
  <c r="G12" i="5"/>
  <c r="F12" i="5"/>
  <c r="L11" i="5"/>
  <c r="K11" i="5"/>
  <c r="J11" i="5"/>
  <c r="I11" i="5"/>
  <c r="H11" i="5"/>
  <c r="G11" i="5"/>
  <c r="F11" i="5"/>
  <c r="L10" i="5"/>
  <c r="K10" i="5"/>
  <c r="J10" i="5"/>
  <c r="I10" i="5"/>
  <c r="H10" i="5"/>
  <c r="G10" i="5"/>
  <c r="F10" i="5"/>
  <c r="L9" i="5"/>
  <c r="K9" i="5"/>
  <c r="J9" i="5"/>
  <c r="I9" i="5"/>
  <c r="H9" i="5"/>
  <c r="G9" i="5"/>
  <c r="F9" i="5"/>
  <c r="L8" i="5"/>
  <c r="K8" i="5"/>
  <c r="J8" i="5"/>
  <c r="I8" i="5"/>
  <c r="H8" i="5"/>
  <c r="G8" i="5"/>
  <c r="F8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Q10" i="5" l="1" a="1"/>
  <c r="Q10" i="5" s="1"/>
  <c r="N11" i="5"/>
  <c r="P10" i="5" a="1"/>
  <c r="P10" i="5" s="1"/>
  <c r="O10" i="5" a="1"/>
  <c r="O10" i="5" s="1"/>
  <c r="R10" i="5" s="1"/>
  <c r="Q9" i="5"/>
  <c r="T9" i="5" s="1"/>
  <c r="P9" i="5"/>
  <c r="S9" i="5" s="1"/>
  <c r="O9" i="5"/>
  <c r="R9" i="5" s="1"/>
  <c r="P8" i="5"/>
  <c r="O8" i="5"/>
  <c r="N12" i="5" l="1"/>
  <c r="P11" i="5" a="1"/>
  <c r="P11" i="5" s="1"/>
  <c r="S11" i="5" s="1"/>
  <c r="Q11" i="5" a="1"/>
  <c r="Q11" i="5" s="1"/>
  <c r="T11" i="5" s="1"/>
  <c r="O11" i="5" a="1"/>
  <c r="O11" i="5" s="1"/>
  <c r="R11" i="5" s="1"/>
  <c r="S10" i="5"/>
  <c r="T10" i="5"/>
  <c r="P12" i="5" l="1" a="1"/>
  <c r="P12" i="5" s="1"/>
  <c r="S12" i="5" s="1"/>
  <c r="N13" i="5"/>
  <c r="Q12" i="5" a="1"/>
  <c r="Q12" i="5" s="1"/>
  <c r="T12" i="5" s="1"/>
  <c r="O12" i="5" a="1"/>
  <c r="O12" i="5" s="1"/>
  <c r="R12" i="5" s="1"/>
  <c r="P13" i="5" l="1" a="1"/>
  <c r="P13" i="5" s="1"/>
  <c r="S13" i="5" s="1"/>
  <c r="N14" i="5"/>
  <c r="O13" i="5" a="1"/>
  <c r="O13" i="5" s="1"/>
  <c r="R13" i="5" s="1"/>
  <c r="Q13" i="5" a="1"/>
  <c r="Q13" i="5" s="1"/>
  <c r="T13" i="5" s="1"/>
  <c r="P14" i="5" l="1" a="1"/>
  <c r="P14" i="5" s="1"/>
  <c r="S14" i="5" s="1"/>
  <c r="Q14" i="5" a="1"/>
  <c r="Q14" i="5" s="1"/>
  <c r="T14" i="5" s="1"/>
  <c r="N15" i="5"/>
  <c r="O14" i="5" a="1"/>
  <c r="O14" i="5" s="1"/>
  <c r="R14" i="5" s="1"/>
  <c r="N16" i="5" l="1"/>
  <c r="P15" i="5" a="1"/>
  <c r="P15" i="5" s="1"/>
  <c r="S15" i="5" s="1"/>
  <c r="O15" i="5" a="1"/>
  <c r="O15" i="5" s="1"/>
  <c r="R15" i="5" s="1"/>
  <c r="Q15" i="5" a="1"/>
  <c r="Q15" i="5" s="1"/>
  <c r="T15" i="5" s="1"/>
  <c r="Q16" i="5" l="1" a="1"/>
  <c r="Q16" i="5" s="1"/>
  <c r="T16" i="5" s="1"/>
  <c r="P16" i="5" a="1"/>
  <c r="P16" i="5" s="1"/>
  <c r="S16" i="5" s="1"/>
  <c r="N17" i="5"/>
  <c r="O16" i="5" a="1"/>
  <c r="O16" i="5" s="1"/>
  <c r="R16" i="5" s="1"/>
  <c r="P17" i="5" l="1" a="1"/>
  <c r="P17" i="5" s="1"/>
  <c r="S17" i="5" s="1"/>
  <c r="O17" i="5" a="1"/>
  <c r="O17" i="5" s="1"/>
  <c r="R17" i="5" s="1"/>
  <c r="Q17" i="5" a="1"/>
  <c r="Q17" i="5" s="1"/>
  <c r="T17" i="5" s="1"/>
  <c r="N18" i="5"/>
  <c r="O18" i="5" l="1" a="1"/>
  <c r="O18" i="5" s="1"/>
  <c r="R18" i="5" s="1"/>
  <c r="N19" i="5"/>
  <c r="P18" i="5" a="1"/>
  <c r="P18" i="5" s="1"/>
  <c r="S18" i="5" s="1"/>
  <c r="Q18" i="5" a="1"/>
  <c r="Q18" i="5" s="1"/>
  <c r="T18" i="5" s="1"/>
  <c r="P19" i="5" l="1" a="1"/>
  <c r="P19" i="5" s="1"/>
  <c r="S19" i="5" s="1"/>
  <c r="Q19" i="5" a="1"/>
  <c r="Q19" i="5" s="1"/>
  <c r="T19" i="5" s="1"/>
  <c r="O19" i="5" a="1"/>
  <c r="O19" i="5" s="1"/>
  <c r="R19" i="5" s="1"/>
  <c r="N20" i="5"/>
  <c r="O20" i="5" l="1" a="1"/>
  <c r="O20" i="5" s="1"/>
  <c r="R20" i="5" s="1"/>
  <c r="N21" i="5"/>
  <c r="Q20" i="5" a="1"/>
  <c r="Q20" i="5" s="1"/>
  <c r="T20" i="5" s="1"/>
  <c r="P20" i="5" a="1"/>
  <c r="P20" i="5" s="1"/>
  <c r="S20" i="5" s="1"/>
  <c r="N22" i="5" l="1"/>
  <c r="Q21" i="5" a="1"/>
  <c r="Q21" i="5" s="1"/>
  <c r="T21" i="5" s="1"/>
  <c r="O21" i="5" a="1"/>
  <c r="O21" i="5" s="1"/>
  <c r="R21" i="5" s="1"/>
  <c r="P21" i="5" a="1"/>
  <c r="P21" i="5" s="1"/>
  <c r="S21" i="5" s="1"/>
  <c r="O22" i="5" l="1" a="1"/>
  <c r="O22" i="5" s="1"/>
  <c r="R22" i="5" s="1"/>
  <c r="Q22" i="5" a="1"/>
  <c r="Q22" i="5" s="1"/>
  <c r="T22" i="5" s="1"/>
  <c r="N23" i="5"/>
  <c r="P22" i="5" a="1"/>
  <c r="P22" i="5" s="1"/>
  <c r="S22" i="5" s="1"/>
  <c r="Q23" i="5" l="1" a="1"/>
  <c r="Q23" i="5" s="1"/>
  <c r="T23" i="5" s="1"/>
  <c r="O23" i="5" a="1"/>
  <c r="O23" i="5" s="1"/>
  <c r="R23" i="5" s="1"/>
  <c r="P23" i="5" a="1"/>
  <c r="P23" i="5" s="1"/>
  <c r="S23" i="5" s="1"/>
  <c r="N24" i="5"/>
  <c r="P24" i="5" l="1" a="1"/>
  <c r="P24" i="5" s="1"/>
  <c r="S24" i="5" s="1"/>
  <c r="O24" i="5" a="1"/>
  <c r="O24" i="5" s="1"/>
  <c r="R24" i="5" s="1"/>
  <c r="N25" i="5"/>
  <c r="Q24" i="5" a="1"/>
  <c r="Q24" i="5" s="1"/>
  <c r="T24" i="5" s="1"/>
  <c r="Q25" i="5" l="1" a="1"/>
  <c r="Q25" i="5" s="1"/>
  <c r="T25" i="5" s="1"/>
  <c r="N26" i="5"/>
  <c r="O25" i="5" a="1"/>
  <c r="O25" i="5" s="1"/>
  <c r="R25" i="5" s="1"/>
  <c r="P25" i="5" a="1"/>
  <c r="P25" i="5" s="1"/>
  <c r="S25" i="5" s="1"/>
  <c r="P26" i="5" l="1" a="1"/>
  <c r="P26" i="5" s="1"/>
  <c r="S26" i="5" s="1"/>
  <c r="N27" i="5"/>
  <c r="O26" i="5" a="1"/>
  <c r="O26" i="5" s="1"/>
  <c r="R26" i="5" s="1"/>
  <c r="Q26" i="5" a="1"/>
  <c r="Q26" i="5" s="1"/>
  <c r="T26" i="5" s="1"/>
  <c r="O27" i="5" l="1" a="1"/>
  <c r="O27" i="5" s="1"/>
  <c r="R27" i="5" s="1"/>
  <c r="P27" i="5" a="1"/>
  <c r="P27" i="5" s="1"/>
  <c r="S27" i="5" s="1"/>
  <c r="N28" i="5"/>
  <c r="Q27" i="5" a="1"/>
  <c r="Q27" i="5" s="1"/>
  <c r="T27" i="5" s="1"/>
  <c r="P28" i="5" l="1" a="1"/>
  <c r="P28" i="5" s="1"/>
  <c r="S28" i="5" s="1"/>
  <c r="O28" i="5" a="1"/>
  <c r="O28" i="5" s="1"/>
  <c r="R28" i="5" s="1"/>
  <c r="Q28" i="5" a="1"/>
  <c r="Q28" i="5" s="1"/>
  <c r="T28" i="5" s="1"/>
  <c r="N29" i="5"/>
  <c r="O29" i="5" l="1" a="1"/>
  <c r="O29" i="5" s="1"/>
  <c r="R29" i="5" s="1"/>
  <c r="P29" i="5" a="1"/>
  <c r="P29" i="5" s="1"/>
  <c r="S29" i="5" s="1"/>
  <c r="Q29" i="5" a="1"/>
  <c r="Q29" i="5" s="1"/>
  <c r="T29" i="5" s="1"/>
  <c r="N30" i="5"/>
  <c r="P30" i="5" l="1" a="1"/>
  <c r="P30" i="5" s="1"/>
  <c r="S30" i="5" s="1"/>
  <c r="Q30" i="5" a="1"/>
  <c r="Q30" i="5" s="1"/>
  <c r="T30" i="5" s="1"/>
  <c r="N31" i="5"/>
  <c r="O30" i="5" a="1"/>
  <c r="O30" i="5" s="1"/>
  <c r="R30" i="5" s="1"/>
  <c r="O31" i="5" l="1" a="1"/>
  <c r="O31" i="5" s="1"/>
  <c r="R31" i="5" s="1"/>
  <c r="P31" i="5" a="1"/>
  <c r="P31" i="5" s="1"/>
  <c r="S31" i="5" s="1"/>
  <c r="N32" i="5"/>
  <c r="Q31" i="5" a="1"/>
  <c r="Q31" i="5" s="1"/>
  <c r="T31" i="5" s="1"/>
  <c r="O32" i="5" l="1" a="1"/>
  <c r="O32" i="5" s="1"/>
  <c r="R32" i="5" s="1"/>
  <c r="P32" i="5" a="1"/>
  <c r="P32" i="5" s="1"/>
  <c r="S32" i="5" s="1"/>
  <c r="Q32" i="5" a="1"/>
  <c r="Q32" i="5" s="1"/>
  <c r="T32" i="5" s="1"/>
  <c r="N33" i="5"/>
  <c r="O33" i="5" l="1" a="1"/>
  <c r="O33" i="5" s="1"/>
  <c r="R33" i="5" s="1"/>
  <c r="P33" i="5" a="1"/>
  <c r="P33" i="5" s="1"/>
  <c r="S33" i="5" s="1"/>
  <c r="Q33" i="5" a="1"/>
  <c r="Q33" i="5" s="1"/>
  <c r="T33" i="5" s="1"/>
  <c r="N34" i="5"/>
  <c r="O34" i="5" l="1" a="1"/>
  <c r="O34" i="5" s="1"/>
  <c r="R34" i="5" s="1"/>
  <c r="P34" i="5" a="1"/>
  <c r="P34" i="5" s="1"/>
  <c r="S34" i="5" s="1"/>
  <c r="Q34" i="5" a="1"/>
  <c r="Q34" i="5" s="1"/>
  <c r="T34" i="5" s="1"/>
  <c r="N35" i="5"/>
  <c r="O35" i="5" l="1" a="1"/>
  <c r="O35" i="5" s="1"/>
  <c r="R35" i="5" s="1"/>
  <c r="P35" i="5" a="1"/>
  <c r="P35" i="5" s="1"/>
  <c r="S35" i="5" s="1"/>
  <c r="Q35" i="5" a="1"/>
  <c r="Q35" i="5" s="1"/>
  <c r="T35" i="5" s="1"/>
  <c r="N36" i="5"/>
  <c r="O36" i="5" l="1" a="1"/>
  <c r="O36" i="5" s="1"/>
  <c r="R36" i="5" s="1"/>
  <c r="P36" i="5" a="1"/>
  <c r="P36" i="5" s="1"/>
  <c r="S36" i="5" s="1"/>
  <c r="Q36" i="5" a="1"/>
  <c r="Q36" i="5" s="1"/>
  <c r="T36" i="5" s="1"/>
  <c r="N37" i="5"/>
  <c r="O37" i="5" l="1" a="1"/>
  <c r="O37" i="5" s="1"/>
  <c r="R37" i="5" s="1"/>
  <c r="P37" i="5" a="1"/>
  <c r="P37" i="5" s="1"/>
  <c r="S37" i="5" s="1"/>
  <c r="N38" i="5"/>
  <c r="Q37" i="5" a="1"/>
  <c r="Q37" i="5" s="1"/>
  <c r="T37" i="5" s="1"/>
  <c r="Q38" i="5" l="1" a="1"/>
  <c r="Q38" i="5" s="1"/>
  <c r="T38" i="5" s="1"/>
  <c r="O38" i="5" a="1"/>
  <c r="O38" i="5" s="1"/>
  <c r="R38" i="5" s="1"/>
  <c r="P38" i="5" a="1"/>
  <c r="P38" i="5" s="1"/>
  <c r="S38" i="5" s="1"/>
  <c r="N39" i="5"/>
  <c r="Q39" i="5" l="1" a="1"/>
  <c r="Q39" i="5" s="1"/>
  <c r="T39" i="5" s="1"/>
  <c r="N40" i="5"/>
  <c r="O39" i="5" a="1"/>
  <c r="O39" i="5" s="1"/>
  <c r="R39" i="5" s="1"/>
  <c r="P39" i="5" a="1"/>
  <c r="P39" i="5" s="1"/>
  <c r="S39" i="5" s="1"/>
  <c r="N41" i="5" l="1"/>
  <c r="O40" i="5" a="1"/>
  <c r="O40" i="5" s="1"/>
  <c r="R40" i="5" s="1"/>
  <c r="P40" i="5" a="1"/>
  <c r="P40" i="5" s="1"/>
  <c r="S40" i="5" s="1"/>
  <c r="Q40" i="5" a="1"/>
  <c r="Q40" i="5" s="1"/>
  <c r="T40" i="5" s="1"/>
  <c r="O41" i="5" l="1" a="1"/>
  <c r="O41" i="5" s="1"/>
  <c r="R41" i="5" s="1"/>
  <c r="Q41" i="5" a="1"/>
  <c r="Q41" i="5" s="1"/>
  <c r="T41" i="5" s="1"/>
  <c r="N42" i="5"/>
  <c r="P41" i="5" a="1"/>
  <c r="P41" i="5" s="1"/>
  <c r="S41" i="5" s="1"/>
  <c r="P42" i="5" l="1" a="1"/>
  <c r="P42" i="5" s="1"/>
  <c r="S42" i="5" s="1"/>
  <c r="Q42" i="5" a="1"/>
  <c r="Q42" i="5" s="1"/>
  <c r="T42" i="5" s="1"/>
  <c r="N43" i="5"/>
  <c r="O42" i="5" a="1"/>
  <c r="O42" i="5" s="1"/>
  <c r="R42" i="5" s="1"/>
  <c r="Q43" i="5" l="1" a="1"/>
  <c r="Q43" i="5" s="1"/>
  <c r="T43" i="5" s="1"/>
  <c r="N44" i="5"/>
  <c r="O43" i="5" a="1"/>
  <c r="O43" i="5" s="1"/>
  <c r="R43" i="5" s="1"/>
  <c r="P43" i="5" a="1"/>
  <c r="P43" i="5" s="1"/>
  <c r="S43" i="5" s="1"/>
  <c r="Q44" i="5" l="1" a="1"/>
  <c r="Q44" i="5" s="1"/>
  <c r="T44" i="5" s="1"/>
  <c r="O44" i="5" a="1"/>
  <c r="O44" i="5" s="1"/>
  <c r="R44" i="5" s="1"/>
  <c r="N45" i="5"/>
  <c r="P44" i="5" a="1"/>
  <c r="P44" i="5" s="1"/>
  <c r="S44" i="5" s="1"/>
  <c r="P45" i="5" l="1" a="1"/>
  <c r="P45" i="5" s="1"/>
  <c r="S45" i="5" s="1"/>
  <c r="O45" i="5" a="1"/>
  <c r="O45" i="5" s="1"/>
  <c r="R45" i="5" s="1"/>
  <c r="Q45" i="5" a="1"/>
  <c r="Q45" i="5" s="1"/>
  <c r="T45" i="5" s="1"/>
  <c r="N46" i="5"/>
  <c r="P46" i="5" l="1" a="1"/>
  <c r="P46" i="5" s="1"/>
  <c r="S46" i="5" s="1"/>
  <c r="N47" i="5"/>
  <c r="O46" i="5" a="1"/>
  <c r="O46" i="5" s="1"/>
  <c r="R46" i="5" s="1"/>
  <c r="Q46" i="5" a="1"/>
  <c r="Q46" i="5" s="1"/>
  <c r="T46" i="5" s="1"/>
  <c r="Q47" i="5" l="1" a="1"/>
  <c r="Q47" i="5" s="1"/>
  <c r="T47" i="5" s="1"/>
  <c r="P47" i="5" a="1"/>
  <c r="P47" i="5" s="1"/>
  <c r="S47" i="5" s="1"/>
  <c r="O47" i="5" a="1"/>
  <c r="O47" i="5" s="1"/>
  <c r="R47" i="5" s="1"/>
  <c r="N48" i="5"/>
  <c r="Q48" i="5" l="1" a="1"/>
  <c r="Q48" i="5" s="1"/>
  <c r="T48" i="5" s="1"/>
  <c r="O48" i="5" a="1"/>
  <c r="O48" i="5" s="1"/>
  <c r="R48" i="5" s="1"/>
  <c r="P48" i="5" a="1"/>
  <c r="P48" i="5" s="1"/>
  <c r="S48" i="5" s="1"/>
  <c r="N49" i="5"/>
  <c r="Q49" i="5" l="1" a="1"/>
  <c r="Q49" i="5" s="1"/>
  <c r="T49" i="5" s="1"/>
  <c r="N50" i="5"/>
  <c r="P49" i="5" a="1"/>
  <c r="P49" i="5" s="1"/>
  <c r="S49" i="5" s="1"/>
  <c r="O49" i="5" a="1"/>
  <c r="O49" i="5" s="1"/>
  <c r="R49" i="5" s="1"/>
  <c r="P50" i="5" l="1" a="1"/>
  <c r="P50" i="5" s="1"/>
  <c r="S50" i="5" s="1"/>
  <c r="N51" i="5"/>
  <c r="O50" i="5" a="1"/>
  <c r="O50" i="5" s="1"/>
  <c r="R50" i="5" s="1"/>
  <c r="Q50" i="5" a="1"/>
  <c r="Q50" i="5" s="1"/>
  <c r="T50" i="5" s="1"/>
  <c r="Q51" i="5" l="1" a="1"/>
  <c r="Q51" i="5" s="1"/>
  <c r="T51" i="5" s="1"/>
  <c r="N52" i="5"/>
  <c r="P51" i="5" a="1"/>
  <c r="P51" i="5" s="1"/>
  <c r="S51" i="5" s="1"/>
  <c r="O51" i="5" a="1"/>
  <c r="O51" i="5" s="1"/>
  <c r="R51" i="5" s="1"/>
  <c r="O52" i="5" l="1" a="1"/>
  <c r="O52" i="5" s="1"/>
  <c r="R52" i="5" s="1"/>
  <c r="P52" i="5" a="1"/>
  <c r="P52" i="5" s="1"/>
  <c r="S52" i="5" s="1"/>
  <c r="Q52" i="5" a="1"/>
  <c r="Q52" i="5" s="1"/>
  <c r="T52" i="5" s="1"/>
  <c r="N53" i="5"/>
  <c r="O53" i="5" l="1" a="1"/>
  <c r="O53" i="5" s="1"/>
  <c r="R53" i="5" s="1"/>
  <c r="P53" i="5" a="1"/>
  <c r="P53" i="5" s="1"/>
  <c r="S53" i="5" s="1"/>
  <c r="Q53" i="5" a="1"/>
  <c r="Q53" i="5" s="1"/>
  <c r="T5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7" authorId="0" shapeId="0" xr:uid="{00000000-0006-0000-00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8" authorId="0" shapeId="0" xr:uid="{00000000-0006-0000-00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9" authorId="0" shapeId="0" xr:uid="{00000000-0006-0000-00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0" authorId="0" shapeId="0" xr:uid="{00000000-0006-0000-00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1" authorId="0" shapeId="0" xr:uid="{00000000-0006-0000-0000-00000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2" authorId="0" shapeId="0" xr:uid="{00000000-0006-0000-0000-00000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3" authorId="0" shapeId="0" xr:uid="{00000000-0006-0000-0000-00000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4" authorId="0" shapeId="0" xr:uid="{00000000-0006-0000-0000-00000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5" authorId="0" shapeId="0" xr:uid="{00000000-0006-0000-0000-00000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6" authorId="0" shapeId="0" xr:uid="{00000000-0006-0000-0000-00001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7" authorId="0" shapeId="0" xr:uid="{00000000-0006-0000-0000-00001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8" authorId="0" shapeId="0" xr:uid="{00000000-0006-0000-0000-00001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9" authorId="0" shapeId="0" xr:uid="{00000000-0006-0000-0000-00001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0" authorId="0" shapeId="0" xr:uid="{00000000-0006-0000-0000-00001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1" authorId="0" shapeId="0" xr:uid="{00000000-0006-0000-0000-00001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2" authorId="0" shapeId="0" xr:uid="{00000000-0006-0000-0000-00001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3" authorId="0" shapeId="0" xr:uid="{00000000-0006-0000-0000-00001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4" authorId="0" shapeId="0" xr:uid="{00000000-0006-0000-0000-00001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5" authorId="0" shapeId="0" xr:uid="{00000000-0006-0000-0000-00001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6" authorId="0" shapeId="0" xr:uid="{00000000-0006-0000-0000-00001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7" authorId="0" shapeId="0" xr:uid="{00000000-0006-0000-0000-00001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8" authorId="0" shapeId="0" xr:uid="{00000000-0006-0000-0000-00001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39" authorId="0" shapeId="0" xr:uid="{00000000-0006-0000-0000-00001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0" authorId="0" shapeId="0" xr:uid="{00000000-0006-0000-0000-00001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1" authorId="0" shapeId="0" xr:uid="{00000000-0006-0000-0000-00001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2" authorId="0" shapeId="0" xr:uid="{00000000-0006-0000-0000-00002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3" authorId="0" shapeId="0" xr:uid="{00000000-0006-0000-0000-00002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4" authorId="0" shapeId="0" xr:uid="{00000000-0006-0000-0000-00002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5" authorId="0" shapeId="0" xr:uid="{00000000-0006-0000-0000-00002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6" authorId="0" shapeId="0" xr:uid="{00000000-0006-0000-0000-00002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7" authorId="0" shapeId="0" xr:uid="{00000000-0006-0000-0000-00002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8" authorId="0" shapeId="0" xr:uid="{00000000-0006-0000-0000-00002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49" authorId="0" shapeId="0" xr:uid="{00000000-0006-0000-0000-00002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0" authorId="0" shapeId="0" xr:uid="{00000000-0006-0000-0000-00002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1" authorId="0" shapeId="0" xr:uid="{00000000-0006-0000-0000-00002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2" authorId="0" shapeId="0" xr:uid="{00000000-0006-0000-0000-00002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3" authorId="0" shapeId="0" xr:uid="{00000000-0006-0000-0000-00002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4" authorId="0" shapeId="0" xr:uid="{00000000-0006-0000-0000-00002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5" authorId="0" shapeId="0" xr:uid="{00000000-0006-0000-0000-00002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6" authorId="0" shapeId="0" xr:uid="{00000000-0006-0000-0000-00002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7" authorId="0" shapeId="0" xr:uid="{00000000-0006-0000-0000-00002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8" authorId="0" shapeId="0" xr:uid="{00000000-0006-0000-0000-00003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59" authorId="0" shapeId="0" xr:uid="{00000000-0006-0000-0000-00003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0" authorId="0" shapeId="0" xr:uid="{00000000-0006-0000-0000-00003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1" authorId="0" shapeId="0" xr:uid="{00000000-0006-0000-0000-00003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2" authorId="0" shapeId="0" xr:uid="{00000000-0006-0000-0000-00003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3" authorId="0" shapeId="0" xr:uid="{00000000-0006-0000-0000-00003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4" authorId="0" shapeId="0" xr:uid="{00000000-0006-0000-0000-00003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5" authorId="0" shapeId="0" xr:uid="{00000000-0006-0000-0000-00003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6" authorId="0" shapeId="0" xr:uid="{00000000-0006-0000-0000-00003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7" authorId="0" shapeId="0" xr:uid="{00000000-0006-0000-0000-00003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8" authorId="0" shapeId="0" xr:uid="{00000000-0006-0000-0000-00003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9" authorId="0" shapeId="0" xr:uid="{00000000-0006-0000-0000-00003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0" authorId="0" shapeId="0" xr:uid="{00000000-0006-0000-0000-00003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1" authorId="0" shapeId="0" xr:uid="{00000000-0006-0000-0000-00003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2" authorId="0" shapeId="0" xr:uid="{00000000-0006-0000-0000-00003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3" authorId="0" shapeId="0" xr:uid="{00000000-0006-0000-0000-00003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4" authorId="0" shapeId="0" xr:uid="{00000000-0006-0000-0000-00004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5" authorId="0" shapeId="0" xr:uid="{00000000-0006-0000-0000-00004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6" authorId="0" shapeId="0" xr:uid="{00000000-0006-0000-0000-00004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7" authorId="0" shapeId="0" xr:uid="{00000000-0006-0000-0000-00004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8" authorId="0" shapeId="0" xr:uid="{00000000-0006-0000-0000-00004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79" authorId="0" shapeId="0" xr:uid="{00000000-0006-0000-0000-00004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0" authorId="0" shapeId="0" xr:uid="{00000000-0006-0000-0000-00004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1" authorId="0" shapeId="0" xr:uid="{00000000-0006-0000-0000-00004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2" authorId="0" shapeId="0" xr:uid="{00000000-0006-0000-0000-00004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3" authorId="0" shapeId="0" xr:uid="{00000000-0006-0000-0000-00004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4" authorId="0" shapeId="0" xr:uid="{00000000-0006-0000-0000-00004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5" authorId="0" shapeId="0" xr:uid="{00000000-0006-0000-0000-00004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6" authorId="0" shapeId="0" xr:uid="{00000000-0006-0000-0000-00004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7" authorId="0" shapeId="0" xr:uid="{00000000-0006-0000-0000-00004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8" authorId="0" shapeId="0" xr:uid="{00000000-0006-0000-0000-00004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89" authorId="0" shapeId="0" xr:uid="{00000000-0006-0000-0000-00004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0" authorId="0" shapeId="0" xr:uid="{00000000-0006-0000-0000-00005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1" authorId="0" shapeId="0" xr:uid="{00000000-0006-0000-0000-00005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2" authorId="0" shapeId="0" xr:uid="{00000000-0006-0000-0000-00005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3" authorId="0" shapeId="0" xr:uid="{00000000-0006-0000-0000-00005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4" authorId="0" shapeId="0" xr:uid="{00000000-0006-0000-0000-00005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5" authorId="0" shapeId="0" xr:uid="{00000000-0006-0000-0000-00005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6" authorId="0" shapeId="0" xr:uid="{00000000-0006-0000-0000-00005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7" authorId="0" shapeId="0" xr:uid="{00000000-0006-0000-0000-00005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8" authorId="0" shapeId="0" xr:uid="{00000000-0006-0000-0000-00005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99" authorId="0" shapeId="0" xr:uid="{00000000-0006-0000-0000-00005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0" authorId="0" shapeId="0" xr:uid="{00000000-0006-0000-0000-00005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1" authorId="0" shapeId="0" xr:uid="{00000000-0006-0000-0000-00005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2" authorId="0" shapeId="0" xr:uid="{00000000-0006-0000-0000-00005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3" authorId="0" shapeId="0" xr:uid="{00000000-0006-0000-0000-00005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4" authorId="0" shapeId="0" xr:uid="{00000000-0006-0000-0000-00005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5" authorId="0" shapeId="0" xr:uid="{00000000-0006-0000-0000-00005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6" authorId="0" shapeId="0" xr:uid="{00000000-0006-0000-0000-00006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7" authorId="0" shapeId="0" xr:uid="{00000000-0006-0000-0000-00006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8" authorId="0" shapeId="0" xr:uid="{00000000-0006-0000-0000-00006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09" authorId="0" shapeId="0" xr:uid="{00000000-0006-0000-0000-00006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0" authorId="0" shapeId="0" xr:uid="{00000000-0006-0000-0000-00006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1" authorId="0" shapeId="0" xr:uid="{00000000-0006-0000-0000-00006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2" authorId="0" shapeId="0" xr:uid="{00000000-0006-0000-0000-00006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3" authorId="0" shapeId="0" xr:uid="{00000000-0006-0000-0000-00006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4" authorId="0" shapeId="0" xr:uid="{00000000-0006-0000-0000-00006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5" authorId="0" shapeId="0" xr:uid="{00000000-0006-0000-0000-00006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6" authorId="0" shapeId="0" xr:uid="{00000000-0006-0000-0000-00006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7" authorId="0" shapeId="0" xr:uid="{00000000-0006-0000-0000-00006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8" authorId="0" shapeId="0" xr:uid="{00000000-0006-0000-0000-00006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19" authorId="0" shapeId="0" xr:uid="{00000000-0006-0000-0000-00006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0" authorId="0" shapeId="0" xr:uid="{00000000-0006-0000-0000-00006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1" authorId="0" shapeId="0" xr:uid="{00000000-0006-0000-0000-00006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2" authorId="0" shapeId="0" xr:uid="{00000000-0006-0000-0000-00007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3" authorId="0" shapeId="0" xr:uid="{00000000-0006-0000-0000-00007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4" authorId="0" shapeId="0" xr:uid="{00000000-0006-0000-0000-00007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5" authorId="0" shapeId="0" xr:uid="{00000000-0006-0000-0000-00007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6" authorId="0" shapeId="0" xr:uid="{00000000-0006-0000-0000-00007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7" authorId="0" shapeId="0" xr:uid="{00000000-0006-0000-0000-00007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8" authorId="0" shapeId="0" xr:uid="{00000000-0006-0000-0000-00007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29" authorId="0" shapeId="0" xr:uid="{00000000-0006-0000-0000-00007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0" authorId="0" shapeId="0" xr:uid="{00000000-0006-0000-0000-00007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1" authorId="0" shapeId="0" xr:uid="{00000000-0006-0000-0000-00007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2" authorId="0" shapeId="0" xr:uid="{00000000-0006-0000-0000-00007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3" authorId="0" shapeId="0" xr:uid="{00000000-0006-0000-0000-00007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4" authorId="0" shapeId="0" xr:uid="{00000000-0006-0000-0000-00007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5" authorId="0" shapeId="0" xr:uid="{00000000-0006-0000-0000-00007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6" authorId="0" shapeId="0" xr:uid="{00000000-0006-0000-0000-00007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7" authorId="0" shapeId="0" xr:uid="{00000000-0006-0000-0000-00007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8" authorId="0" shapeId="0" xr:uid="{00000000-0006-0000-0000-00008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39" authorId="0" shapeId="0" xr:uid="{00000000-0006-0000-0000-00008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40" authorId="0" shapeId="0" xr:uid="{00000000-0006-0000-0000-00008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41" authorId="0" shapeId="0" xr:uid="{00000000-0006-0000-0000-00008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42" authorId="0" shapeId="0" xr:uid="{00000000-0006-0000-0000-00008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143" authorId="0" shapeId="0" xr:uid="{00000000-0006-0000-0000-00008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276" authorId="0" shapeId="0" xr:uid="{00000000-0006-0000-0000-00008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77" authorId="0" shapeId="0" xr:uid="{00000000-0006-0000-0000-00008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78" authorId="0" shapeId="0" xr:uid="{00000000-0006-0000-0000-00008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79" authorId="0" shapeId="0" xr:uid="{00000000-0006-0000-0000-00008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0" authorId="0" shapeId="0" xr:uid="{00000000-0006-0000-0000-00008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1" authorId="0" shapeId="0" xr:uid="{00000000-0006-0000-0000-00008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2" authorId="0" shapeId="0" xr:uid="{00000000-0006-0000-0000-00008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3" authorId="0" shapeId="0" xr:uid="{00000000-0006-0000-0000-00008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4" authorId="0" shapeId="0" xr:uid="{00000000-0006-0000-0000-00008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5" authorId="0" shapeId="0" xr:uid="{00000000-0006-0000-0000-00008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6" authorId="0" shapeId="0" xr:uid="{00000000-0006-0000-0000-00009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7" authorId="0" shapeId="0" xr:uid="{00000000-0006-0000-0000-00009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8" authorId="0" shapeId="0" xr:uid="{00000000-0006-0000-0000-00009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89" authorId="0" shapeId="0" xr:uid="{00000000-0006-0000-0000-00009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0" authorId="0" shapeId="0" xr:uid="{00000000-0006-0000-0000-00009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1" authorId="0" shapeId="0" xr:uid="{00000000-0006-0000-0000-00009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2" authorId="0" shapeId="0" xr:uid="{00000000-0006-0000-0000-00009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3" authorId="0" shapeId="0" xr:uid="{00000000-0006-0000-0000-00009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4" authorId="0" shapeId="0" xr:uid="{00000000-0006-0000-0000-00009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5" authorId="0" shapeId="0" xr:uid="{00000000-0006-0000-0000-00009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6" authorId="0" shapeId="0" xr:uid="{00000000-0006-0000-0000-00009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7" authorId="0" shapeId="0" xr:uid="{00000000-0006-0000-0000-00009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8" authorId="0" shapeId="0" xr:uid="{00000000-0006-0000-0000-00009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299" authorId="0" shapeId="0" xr:uid="{00000000-0006-0000-0000-00009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0" authorId="0" shapeId="0" xr:uid="{00000000-0006-0000-0000-00009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1" authorId="0" shapeId="0" xr:uid="{00000000-0006-0000-0000-00009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2" authorId="0" shapeId="0" xr:uid="{00000000-0006-0000-0000-0000A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3" authorId="0" shapeId="0" xr:uid="{00000000-0006-0000-0000-0000A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4" authorId="0" shapeId="0" xr:uid="{00000000-0006-0000-0000-0000A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5" authorId="0" shapeId="0" xr:uid="{00000000-0006-0000-0000-0000A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6" authorId="0" shapeId="0" xr:uid="{00000000-0006-0000-0000-0000A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7" authorId="0" shapeId="0" xr:uid="{00000000-0006-0000-0000-0000A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8" authorId="0" shapeId="0" xr:uid="{00000000-0006-0000-0000-0000A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09" authorId="0" shapeId="0" xr:uid="{00000000-0006-0000-0000-0000A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0" authorId="0" shapeId="0" xr:uid="{00000000-0006-0000-0000-0000A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1" authorId="0" shapeId="0" xr:uid="{00000000-0006-0000-0000-0000A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2" authorId="0" shapeId="0" xr:uid="{00000000-0006-0000-0000-0000A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3" authorId="0" shapeId="0" xr:uid="{00000000-0006-0000-0000-0000A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4" authorId="0" shapeId="0" xr:uid="{00000000-0006-0000-0000-0000A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5" authorId="0" shapeId="0" xr:uid="{00000000-0006-0000-0000-0000A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6" authorId="0" shapeId="0" xr:uid="{00000000-0006-0000-0000-0000A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7" authorId="0" shapeId="0" xr:uid="{00000000-0006-0000-0000-0000A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8" authorId="0" shapeId="0" xr:uid="{00000000-0006-0000-0000-0000B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19" authorId="0" shapeId="0" xr:uid="{00000000-0006-0000-0000-0000B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0" authorId="0" shapeId="0" xr:uid="{00000000-0006-0000-0000-0000B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1" authorId="0" shapeId="0" xr:uid="{00000000-0006-0000-0000-0000B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2" authorId="0" shapeId="0" xr:uid="{00000000-0006-0000-0000-0000B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3" authorId="0" shapeId="0" xr:uid="{00000000-0006-0000-0000-0000B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4" authorId="0" shapeId="0" xr:uid="{00000000-0006-0000-0000-0000B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5" authorId="0" shapeId="0" xr:uid="{00000000-0006-0000-0000-0000B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6" authorId="0" shapeId="0" xr:uid="{00000000-0006-0000-0000-0000B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7" authorId="0" shapeId="0" xr:uid="{00000000-0006-0000-0000-0000B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8" authorId="0" shapeId="0" xr:uid="{00000000-0006-0000-0000-0000B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29" authorId="0" shapeId="0" xr:uid="{00000000-0006-0000-0000-0000B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0" authorId="0" shapeId="0" xr:uid="{00000000-0006-0000-0000-0000B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1" authorId="0" shapeId="0" xr:uid="{00000000-0006-0000-0000-0000B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2" authorId="0" shapeId="0" xr:uid="{00000000-0006-0000-0000-0000B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3" authorId="0" shapeId="0" xr:uid="{00000000-0006-0000-0000-0000B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4" authorId="0" shapeId="0" xr:uid="{00000000-0006-0000-0000-0000C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5" authorId="0" shapeId="0" xr:uid="{00000000-0006-0000-0000-0000C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6" authorId="0" shapeId="0" xr:uid="{00000000-0006-0000-0000-0000C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7" authorId="0" shapeId="0" xr:uid="{00000000-0006-0000-0000-0000C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8" authorId="0" shapeId="0" xr:uid="{00000000-0006-0000-0000-0000C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39" authorId="0" shapeId="0" xr:uid="{00000000-0006-0000-0000-0000C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0" authorId="0" shapeId="0" xr:uid="{00000000-0006-0000-0000-0000C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1" authorId="0" shapeId="0" xr:uid="{00000000-0006-0000-0000-0000C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2" authorId="0" shapeId="0" xr:uid="{00000000-0006-0000-0000-0000C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3" authorId="0" shapeId="0" xr:uid="{00000000-0006-0000-0000-0000C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4" authorId="0" shapeId="0" xr:uid="{00000000-0006-0000-0000-0000C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5" authorId="0" shapeId="0" xr:uid="{00000000-0006-0000-0000-0000C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6" authorId="0" shapeId="0" xr:uid="{00000000-0006-0000-0000-0000C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7" authorId="0" shapeId="0" xr:uid="{00000000-0006-0000-0000-0000C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8" authorId="0" shapeId="0" xr:uid="{00000000-0006-0000-0000-0000C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49" authorId="0" shapeId="0" xr:uid="{00000000-0006-0000-0000-0000C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0" authorId="0" shapeId="0" xr:uid="{00000000-0006-0000-0000-0000D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1" authorId="0" shapeId="0" xr:uid="{00000000-0006-0000-0000-0000D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2" authorId="0" shapeId="0" xr:uid="{00000000-0006-0000-0000-0000D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3" authorId="0" shapeId="0" xr:uid="{00000000-0006-0000-0000-0000D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4" authorId="0" shapeId="0" xr:uid="{00000000-0006-0000-0000-0000D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5" authorId="0" shapeId="0" xr:uid="{00000000-0006-0000-0000-0000D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6" authorId="0" shapeId="0" xr:uid="{00000000-0006-0000-0000-0000D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7" authorId="0" shapeId="0" xr:uid="{00000000-0006-0000-0000-0000D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8" authorId="0" shapeId="0" xr:uid="{00000000-0006-0000-0000-0000D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59" authorId="0" shapeId="0" xr:uid="{00000000-0006-0000-0000-0000D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0" authorId="0" shapeId="0" xr:uid="{00000000-0006-0000-0000-0000D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1" authorId="0" shapeId="0" xr:uid="{00000000-0006-0000-0000-0000D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2" authorId="0" shapeId="0" xr:uid="{00000000-0006-0000-0000-0000D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3" authorId="0" shapeId="0" xr:uid="{00000000-0006-0000-0000-0000D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4" authorId="0" shapeId="0" xr:uid="{00000000-0006-0000-0000-0000D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5" authorId="0" shapeId="0" xr:uid="{00000000-0006-0000-0000-0000D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6" authorId="0" shapeId="0" xr:uid="{00000000-0006-0000-0000-0000E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7" authorId="0" shapeId="0" xr:uid="{00000000-0006-0000-0000-0000E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8" authorId="0" shapeId="0" xr:uid="{00000000-0006-0000-0000-0000E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69" authorId="0" shapeId="0" xr:uid="{00000000-0006-0000-0000-0000E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0" authorId="0" shapeId="0" xr:uid="{00000000-0006-0000-0000-0000E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1" authorId="0" shapeId="0" xr:uid="{00000000-0006-0000-0000-0000E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2" authorId="0" shapeId="0" xr:uid="{00000000-0006-0000-0000-0000E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3" authorId="0" shapeId="0" xr:uid="{00000000-0006-0000-0000-0000E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4" authorId="0" shapeId="0" xr:uid="{00000000-0006-0000-0000-0000E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5" authorId="0" shapeId="0" xr:uid="{00000000-0006-0000-0000-0000E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6" authorId="0" shapeId="0" xr:uid="{00000000-0006-0000-0000-0000E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7" authorId="0" shapeId="0" xr:uid="{00000000-0006-0000-0000-0000E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8" authorId="0" shapeId="0" xr:uid="{00000000-0006-0000-0000-0000E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79" authorId="0" shapeId="0" xr:uid="{00000000-0006-0000-0000-0000E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0" authorId="0" shapeId="0" xr:uid="{00000000-0006-0000-0000-0000E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1" authorId="0" shapeId="0" xr:uid="{00000000-0006-0000-0000-0000E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2" authorId="0" shapeId="0" xr:uid="{00000000-0006-0000-0000-0000F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3" authorId="0" shapeId="0" xr:uid="{00000000-0006-0000-0000-0000F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4" authorId="0" shapeId="0" xr:uid="{00000000-0006-0000-0000-0000F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5" authorId="0" shapeId="0" xr:uid="{00000000-0006-0000-0000-0000F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6" authorId="0" shapeId="0" xr:uid="{00000000-0006-0000-0000-0000F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7" authorId="0" shapeId="0" xr:uid="{00000000-0006-0000-0000-0000F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8" authorId="0" shapeId="0" xr:uid="{00000000-0006-0000-0000-0000F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89" authorId="0" shapeId="0" xr:uid="{00000000-0006-0000-0000-0000F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0" authorId="0" shapeId="0" xr:uid="{00000000-0006-0000-0000-0000F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1" authorId="0" shapeId="0" xr:uid="{00000000-0006-0000-0000-0000F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2" authorId="0" shapeId="0" xr:uid="{00000000-0006-0000-0000-0000F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3" authorId="0" shapeId="0" xr:uid="{00000000-0006-0000-0000-0000F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4" authorId="0" shapeId="0" xr:uid="{00000000-0006-0000-0000-0000F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5" authorId="0" shapeId="0" xr:uid="{00000000-0006-0000-0000-0000F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6" authorId="0" shapeId="0" xr:uid="{00000000-0006-0000-0000-0000F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7" authorId="0" shapeId="0" xr:uid="{00000000-0006-0000-0000-0000F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8" authorId="0" shapeId="0" xr:uid="{00000000-0006-0000-0000-000000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399" authorId="0" shapeId="0" xr:uid="{00000000-0006-0000-0000-000001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400" authorId="0" shapeId="0" xr:uid="{00000000-0006-0000-0000-000002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401" authorId="0" shapeId="0" xr:uid="{00000000-0006-0000-0000-000003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402" authorId="0" shapeId="0" xr:uid="{00000000-0006-0000-0000-000004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403" authorId="0" shapeId="0" xr:uid="{00000000-0006-0000-0000-000005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404" authorId="0" shapeId="0" xr:uid="{00000000-0006-0000-0000-000006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405" authorId="0" shapeId="0" xr:uid="{00000000-0006-0000-0000-000007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406" authorId="0" shapeId="0" xr:uid="{00000000-0006-0000-0000-000008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407" authorId="0" shapeId="0" xr:uid="{00000000-0006-0000-0000-00000901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K1" authorId="0" shapeId="0" xr:uid="{00000000-0006-0000-01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L1" authorId="0" shapeId="0" xr:uid="{00000000-0006-0000-0100-00000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M1" authorId="0" shapeId="0" xr:uid="{00000000-0006-0000-0100-00000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N1" authorId="0" shapeId="0" xr:uid="{00000000-0006-0000-0100-00000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O1" authorId="0" shapeId="0" xr:uid="{00000000-0006-0000-0100-00000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P1" authorId="0" shapeId="0" xr:uid="{00000000-0006-0000-0100-00000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Q1" authorId="0" shapeId="0" xr:uid="{00000000-0006-0000-0100-00001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R1" authorId="0" shapeId="0" xr:uid="{00000000-0006-0000-0100-00001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S1" authorId="0" shapeId="0" xr:uid="{00000000-0006-0000-0100-00001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T1" authorId="0" shapeId="0" xr:uid="{00000000-0006-0000-0100-00001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U1" authorId="0" shapeId="0" xr:uid="{00000000-0006-0000-0100-00001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V1" authorId="0" shapeId="0" xr:uid="{00000000-0006-0000-0100-00001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W1" authorId="0" shapeId="0" xr:uid="{00000000-0006-0000-0100-00001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X1" authorId="0" shapeId="0" xr:uid="{00000000-0006-0000-0100-00001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Y1" authorId="0" shapeId="0" xr:uid="{00000000-0006-0000-0100-00001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Z1" authorId="0" shapeId="0" xr:uid="{00000000-0006-0000-0100-00001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A1" authorId="0" shapeId="0" xr:uid="{00000000-0006-0000-0100-00001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B1" authorId="0" shapeId="0" xr:uid="{00000000-0006-0000-0100-00001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C1" authorId="0" shapeId="0" xr:uid="{00000000-0006-0000-0100-00001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D1" authorId="0" shapeId="0" xr:uid="{00000000-0006-0000-0100-00001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E1" authorId="0" shapeId="0" xr:uid="{00000000-0006-0000-0100-00001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F1" authorId="0" shapeId="0" xr:uid="{00000000-0006-0000-0100-00001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G1" authorId="0" shapeId="0" xr:uid="{00000000-0006-0000-0100-00002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H1" authorId="0" shapeId="0" xr:uid="{00000000-0006-0000-0100-00002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I1" authorId="0" shapeId="0" xr:uid="{00000000-0006-0000-0100-00002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J1" authorId="0" shapeId="0" xr:uid="{00000000-0006-0000-0100-00002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K1" authorId="0" shapeId="0" xr:uid="{00000000-0006-0000-0100-00002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L1" authorId="0" shapeId="0" xr:uid="{00000000-0006-0000-0100-00002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M1" authorId="0" shapeId="0" xr:uid="{00000000-0006-0000-0100-00002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N1" authorId="0" shapeId="0" xr:uid="{00000000-0006-0000-0100-00002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O1" authorId="0" shapeId="0" xr:uid="{00000000-0006-0000-0100-00002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P1" authorId="0" shapeId="0" xr:uid="{00000000-0006-0000-0100-00002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Q1" authorId="0" shapeId="0" xr:uid="{00000000-0006-0000-0100-00002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R1" authorId="0" shapeId="0" xr:uid="{00000000-0006-0000-0100-00002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S1" authorId="0" shapeId="0" xr:uid="{00000000-0006-0000-0100-00002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T1" authorId="0" shapeId="0" xr:uid="{00000000-0006-0000-0100-00002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U1" authorId="0" shapeId="0" xr:uid="{00000000-0006-0000-0100-00002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V1" authorId="0" shapeId="0" xr:uid="{00000000-0006-0000-0100-00002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W1" authorId="0" shapeId="0" xr:uid="{00000000-0006-0000-0100-00003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X1" authorId="0" shapeId="0" xr:uid="{00000000-0006-0000-0100-00003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Y1" authorId="0" shapeId="0" xr:uid="{00000000-0006-0000-0100-00003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Z1" authorId="0" shapeId="0" xr:uid="{00000000-0006-0000-0100-00003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A1" authorId="0" shapeId="0" xr:uid="{00000000-0006-0000-0100-00003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B1" authorId="0" shapeId="0" xr:uid="{00000000-0006-0000-0100-00003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C1" authorId="0" shapeId="0" xr:uid="{00000000-0006-0000-0100-00003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D1" authorId="0" shapeId="0" xr:uid="{00000000-0006-0000-0100-00003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E1" authorId="0" shapeId="0" xr:uid="{00000000-0006-0000-0100-00003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F1" authorId="0" shapeId="0" xr:uid="{00000000-0006-0000-0100-00003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G1" authorId="0" shapeId="0" xr:uid="{00000000-0006-0000-0100-00003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H1" authorId="0" shapeId="0" xr:uid="{00000000-0006-0000-0100-00003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I1" authorId="0" shapeId="0" xr:uid="{00000000-0006-0000-0100-00003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J1" authorId="0" shapeId="0" xr:uid="{00000000-0006-0000-0100-00003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K1" authorId="0" shapeId="0" xr:uid="{00000000-0006-0000-0100-00003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L1" authorId="0" shapeId="0" xr:uid="{00000000-0006-0000-0100-00003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M1" authorId="0" shapeId="0" xr:uid="{00000000-0006-0000-0100-00004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N1" authorId="0" shapeId="0" xr:uid="{00000000-0006-0000-0100-00004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O1" authorId="0" shapeId="0" xr:uid="{00000000-0006-0000-0100-00004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P1" authorId="0" shapeId="0" xr:uid="{00000000-0006-0000-0100-00004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Q1" authorId="0" shapeId="0" xr:uid="{00000000-0006-0000-0100-00004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R1" authorId="0" shapeId="0" xr:uid="{00000000-0006-0000-0100-00004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S1" authorId="0" shapeId="0" xr:uid="{00000000-0006-0000-0100-00004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T1" authorId="0" shapeId="0" xr:uid="{00000000-0006-0000-0100-00004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U1" authorId="0" shapeId="0" xr:uid="{00000000-0006-0000-0100-00004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V1" authorId="0" shapeId="0" xr:uid="{00000000-0006-0000-0100-00004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W1" authorId="0" shapeId="0" xr:uid="{00000000-0006-0000-0100-00004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X1" authorId="0" shapeId="0" xr:uid="{00000000-0006-0000-0100-00004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Y1" authorId="0" shapeId="0" xr:uid="{00000000-0006-0000-0100-00004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BZ1" authorId="0" shapeId="0" xr:uid="{00000000-0006-0000-0100-00004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A1" authorId="0" shapeId="0" xr:uid="{00000000-0006-0000-0100-00004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B1" authorId="0" shapeId="0" xr:uid="{00000000-0006-0000-0100-00004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C1" authorId="0" shapeId="0" xr:uid="{00000000-0006-0000-0100-00005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D1" authorId="0" shapeId="0" xr:uid="{00000000-0006-0000-0100-00005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E1" authorId="0" shapeId="0" xr:uid="{00000000-0006-0000-0100-00005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F1" authorId="0" shapeId="0" xr:uid="{00000000-0006-0000-0100-00005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G1" authorId="0" shapeId="0" xr:uid="{00000000-0006-0000-0100-00005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H1" authorId="0" shapeId="0" xr:uid="{00000000-0006-0000-0100-00005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I1" authorId="0" shapeId="0" xr:uid="{00000000-0006-0000-0100-00005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J1" authorId="0" shapeId="0" xr:uid="{00000000-0006-0000-0100-00005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K1" authorId="0" shapeId="0" xr:uid="{00000000-0006-0000-0100-00005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L1" authorId="0" shapeId="0" xr:uid="{00000000-0006-0000-0100-00005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M1" authorId="0" shapeId="0" xr:uid="{00000000-0006-0000-0100-00005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N1" authorId="0" shapeId="0" xr:uid="{00000000-0006-0000-0100-00005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O1" authorId="0" shapeId="0" xr:uid="{00000000-0006-0000-0100-00005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P1" authorId="0" shapeId="0" xr:uid="{00000000-0006-0000-0100-00005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Q1" authorId="0" shapeId="0" xr:uid="{00000000-0006-0000-0100-00005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R1" authorId="0" shapeId="0" xr:uid="{00000000-0006-0000-0100-00005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S1" authorId="0" shapeId="0" xr:uid="{00000000-0006-0000-0100-00006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T1" authorId="0" shapeId="0" xr:uid="{00000000-0006-0000-0100-00006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U1" authorId="0" shapeId="0" xr:uid="{00000000-0006-0000-0100-00006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V1" authorId="0" shapeId="0" xr:uid="{00000000-0006-0000-0100-00006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W1" authorId="0" shapeId="0" xr:uid="{00000000-0006-0000-0100-00006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X1" authorId="0" shapeId="0" xr:uid="{00000000-0006-0000-0100-00006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Y1" authorId="0" shapeId="0" xr:uid="{00000000-0006-0000-0100-00006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CZ1" authorId="0" shapeId="0" xr:uid="{00000000-0006-0000-0100-00006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A1" authorId="0" shapeId="0" xr:uid="{00000000-0006-0000-0100-00006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B1" authorId="0" shapeId="0" xr:uid="{00000000-0006-0000-0100-00006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C1" authorId="0" shapeId="0" xr:uid="{00000000-0006-0000-0100-00006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D1" authorId="0" shapeId="0" xr:uid="{00000000-0006-0000-0100-00006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E1" authorId="0" shapeId="0" xr:uid="{00000000-0006-0000-0100-00006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F1" authorId="0" shapeId="0" xr:uid="{00000000-0006-0000-0100-00006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G1" authorId="0" shapeId="0" xr:uid="{00000000-0006-0000-0100-00006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H1" authorId="0" shapeId="0" xr:uid="{00000000-0006-0000-0100-00006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I1" authorId="0" shapeId="0" xr:uid="{00000000-0006-0000-0100-00007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J1" authorId="0" shapeId="0" xr:uid="{00000000-0006-0000-0100-00007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K1" authorId="0" shapeId="0" xr:uid="{00000000-0006-0000-0100-00007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L1" authorId="0" shapeId="0" xr:uid="{00000000-0006-0000-0100-00007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M1" authorId="0" shapeId="0" xr:uid="{00000000-0006-0000-0100-00007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N1" authorId="0" shapeId="0" xr:uid="{00000000-0006-0000-0100-00007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O1" authorId="0" shapeId="0" xr:uid="{00000000-0006-0000-0100-00007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P1" authorId="0" shapeId="0" xr:uid="{00000000-0006-0000-0100-00007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Q1" authorId="0" shapeId="0" xr:uid="{00000000-0006-0000-0100-00007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R1" authorId="0" shapeId="0" xr:uid="{00000000-0006-0000-0100-00007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S1" authorId="0" shapeId="0" xr:uid="{00000000-0006-0000-0100-00007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T1" authorId="0" shapeId="0" xr:uid="{00000000-0006-0000-0100-00007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U1" authorId="0" shapeId="0" xr:uid="{00000000-0006-0000-0100-00007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V1" authorId="0" shapeId="0" xr:uid="{00000000-0006-0000-0100-00007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W1" authorId="0" shapeId="0" xr:uid="{00000000-0006-0000-0100-00007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X1" authorId="0" shapeId="0" xr:uid="{00000000-0006-0000-0100-00007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Y1" authorId="0" shapeId="0" xr:uid="{00000000-0006-0000-0100-00008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DZ1" authorId="0" shapeId="0" xr:uid="{00000000-0006-0000-0100-00008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EA1" authorId="0" shapeId="0" xr:uid="{00000000-0006-0000-0100-00008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EB1" authorId="0" shapeId="0" xr:uid="{00000000-0006-0000-0100-00008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EC1" authorId="0" shapeId="0" xr:uid="{00000000-0006-0000-0100-00008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</t>
        </r>
      </text>
    </comment>
    <comment ref="A6" authorId="0" shapeId="0" xr:uid="{00000000-0006-0000-0100-000085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CE316" authorId="0" shapeId="0" xr:uid="{00000000-0006-0000-0100-000086000000}">
      <text>
        <r>
          <rPr>
            <sz val="8"/>
            <color indexed="81"/>
            <rFont val="Tahoma"/>
            <family val="2"/>
          </rPr>
          <t>Errors were identified in this series and corrected this quarter.</t>
        </r>
      </text>
    </comment>
    <comment ref="HG316" authorId="0" shapeId="0" xr:uid="{00000000-0006-0000-0100-000087000000}">
      <text>
        <r>
          <rPr>
            <sz val="8"/>
            <color indexed="81"/>
            <rFont val="Tahoma"/>
            <family val="2"/>
          </rPr>
          <t>Errors were identified in this series and corrected this quarter.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P1" authorId="0" shapeId="0" xr:uid="{00000000-0006-0000-0200-00000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Q1" authorId="0" shapeId="0" xr:uid="{00000000-0006-0000-0200-00000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R1" authorId="0" shapeId="0" xr:uid="{00000000-0006-0000-0200-00000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S1" authorId="0" shapeId="0" xr:uid="{00000000-0006-0000-0200-00000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T1" authorId="0" shapeId="0" xr:uid="{00000000-0006-0000-0200-00000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U1" authorId="0" shapeId="0" xr:uid="{00000000-0006-0000-0200-00000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V1" authorId="0" shapeId="0" xr:uid="{00000000-0006-0000-0200-00000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W1" authorId="0" shapeId="0" xr:uid="{00000000-0006-0000-0200-00000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X1" authorId="0" shapeId="0" xr:uid="{00000000-0006-0000-0200-00000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Y1" authorId="0" shapeId="0" xr:uid="{00000000-0006-0000-0200-00000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Z1" authorId="0" shapeId="0" xr:uid="{00000000-0006-0000-0200-00000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A1" authorId="0" shapeId="0" xr:uid="{00000000-0006-0000-0200-00000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B1" authorId="0" shapeId="0" xr:uid="{00000000-0006-0000-0200-00000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C1" authorId="0" shapeId="0" xr:uid="{00000000-0006-0000-0200-00000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D1" authorId="0" shapeId="0" xr:uid="{00000000-0006-0000-0200-00000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E1" authorId="0" shapeId="0" xr:uid="{00000000-0006-0000-0200-00001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F1" authorId="0" shapeId="0" xr:uid="{00000000-0006-0000-0200-00001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G1" authorId="0" shapeId="0" xr:uid="{00000000-0006-0000-0200-00001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H1" authorId="0" shapeId="0" xr:uid="{00000000-0006-0000-0200-00001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I1" authorId="0" shapeId="0" xr:uid="{00000000-0006-0000-0200-00001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J1" authorId="0" shapeId="0" xr:uid="{00000000-0006-0000-0200-00001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K1" authorId="0" shapeId="0" xr:uid="{00000000-0006-0000-0200-00001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L1" authorId="0" shapeId="0" xr:uid="{00000000-0006-0000-0200-00001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M1" authorId="0" shapeId="0" xr:uid="{00000000-0006-0000-0200-00001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N1" authorId="0" shapeId="0" xr:uid="{00000000-0006-0000-0200-00001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O1" authorId="0" shapeId="0" xr:uid="{00000000-0006-0000-0200-00001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P1" authorId="0" shapeId="0" xr:uid="{00000000-0006-0000-0200-00001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Q1" authorId="0" shapeId="0" xr:uid="{00000000-0006-0000-0200-00001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R1" authorId="0" shapeId="0" xr:uid="{00000000-0006-0000-0200-00001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S1" authorId="0" shapeId="0" xr:uid="{00000000-0006-0000-0200-00001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T1" authorId="0" shapeId="0" xr:uid="{00000000-0006-0000-0200-00001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U1" authorId="0" shapeId="0" xr:uid="{00000000-0006-0000-0200-00002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V1" authorId="0" shapeId="0" xr:uid="{00000000-0006-0000-0200-00002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W1" authorId="0" shapeId="0" xr:uid="{00000000-0006-0000-0200-00002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X1" authorId="0" shapeId="0" xr:uid="{00000000-0006-0000-0200-00002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Y1" authorId="0" shapeId="0" xr:uid="{00000000-0006-0000-0200-00002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Z1" authorId="0" shapeId="0" xr:uid="{00000000-0006-0000-0200-00002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A1" authorId="0" shapeId="0" xr:uid="{00000000-0006-0000-0200-00002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B1" authorId="0" shapeId="0" xr:uid="{00000000-0006-0000-0200-00002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C1" authorId="0" shapeId="0" xr:uid="{00000000-0006-0000-0200-00002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D1" authorId="0" shapeId="0" xr:uid="{00000000-0006-0000-0200-00002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E1" authorId="0" shapeId="0" xr:uid="{00000000-0006-0000-0200-00002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F1" authorId="0" shapeId="0" xr:uid="{00000000-0006-0000-0200-00002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G1" authorId="0" shapeId="0" xr:uid="{00000000-0006-0000-0200-00002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H1" authorId="0" shapeId="0" xr:uid="{00000000-0006-0000-0200-00002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I1" authorId="0" shapeId="0" xr:uid="{00000000-0006-0000-0200-00002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J1" authorId="0" shapeId="0" xr:uid="{00000000-0006-0000-0200-00002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K1" authorId="0" shapeId="0" xr:uid="{00000000-0006-0000-0200-00003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L1" authorId="0" shapeId="0" xr:uid="{00000000-0006-0000-0200-00003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M1" authorId="0" shapeId="0" xr:uid="{00000000-0006-0000-0200-00003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N1" authorId="0" shapeId="0" xr:uid="{00000000-0006-0000-0200-00003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O1" authorId="0" shapeId="0" xr:uid="{00000000-0006-0000-0200-00003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P1" authorId="0" shapeId="0" xr:uid="{00000000-0006-0000-0200-00003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Q1" authorId="0" shapeId="0" xr:uid="{00000000-0006-0000-0200-00003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R1" authorId="0" shapeId="0" xr:uid="{00000000-0006-0000-0200-00003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S1" authorId="0" shapeId="0" xr:uid="{00000000-0006-0000-0200-00003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T1" authorId="0" shapeId="0" xr:uid="{00000000-0006-0000-0200-00003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U1" authorId="0" shapeId="0" xr:uid="{00000000-0006-0000-0200-00003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V1" authorId="0" shapeId="0" xr:uid="{00000000-0006-0000-0200-00003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W1" authorId="0" shapeId="0" xr:uid="{00000000-0006-0000-0200-00003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X1" authorId="0" shapeId="0" xr:uid="{00000000-0006-0000-0200-00003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Y1" authorId="0" shapeId="0" xr:uid="{00000000-0006-0000-0200-00003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BZ1" authorId="0" shapeId="0" xr:uid="{00000000-0006-0000-0200-00003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A1" authorId="0" shapeId="0" xr:uid="{00000000-0006-0000-0200-00004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B1" authorId="0" shapeId="0" xr:uid="{00000000-0006-0000-0200-00004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C1" authorId="0" shapeId="0" xr:uid="{00000000-0006-0000-0200-00004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D1" authorId="0" shapeId="0" xr:uid="{00000000-0006-0000-0200-00004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E1" authorId="0" shapeId="0" xr:uid="{00000000-0006-0000-0200-00004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F1" authorId="0" shapeId="0" xr:uid="{00000000-0006-0000-0200-00004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G1" authorId="0" shapeId="0" xr:uid="{00000000-0006-0000-0200-00004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H1" authorId="0" shapeId="0" xr:uid="{00000000-0006-0000-0200-00004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I1" authorId="0" shapeId="0" xr:uid="{00000000-0006-0000-0200-00004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J1" authorId="0" shapeId="0" xr:uid="{00000000-0006-0000-0200-00004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K1" authorId="0" shapeId="0" xr:uid="{00000000-0006-0000-0200-00004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L1" authorId="0" shapeId="0" xr:uid="{00000000-0006-0000-0200-00004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M1" authorId="0" shapeId="0" xr:uid="{00000000-0006-0000-0200-00004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N1" authorId="0" shapeId="0" xr:uid="{00000000-0006-0000-0200-00004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O1" authorId="0" shapeId="0" xr:uid="{00000000-0006-0000-0200-00004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P1" authorId="0" shapeId="0" xr:uid="{00000000-0006-0000-0200-00004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Q1" authorId="0" shapeId="0" xr:uid="{00000000-0006-0000-0200-00005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R1" authorId="0" shapeId="0" xr:uid="{00000000-0006-0000-0200-00005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S1" authorId="0" shapeId="0" xr:uid="{00000000-0006-0000-0200-00005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T1" authorId="0" shapeId="0" xr:uid="{00000000-0006-0000-0200-00005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U1" authorId="0" shapeId="0" xr:uid="{00000000-0006-0000-0200-00005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V1" authorId="0" shapeId="0" xr:uid="{00000000-0006-0000-0200-00005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W1" authorId="0" shapeId="0" xr:uid="{00000000-0006-0000-0200-00005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X1" authorId="0" shapeId="0" xr:uid="{00000000-0006-0000-0200-00005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Y1" authorId="0" shapeId="0" xr:uid="{00000000-0006-0000-0200-00005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CZ1" authorId="0" shapeId="0" xr:uid="{00000000-0006-0000-0200-00005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A1" authorId="0" shapeId="0" xr:uid="{00000000-0006-0000-0200-00005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B1" authorId="0" shapeId="0" xr:uid="{00000000-0006-0000-0200-00005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C1" authorId="0" shapeId="0" xr:uid="{00000000-0006-0000-0200-00005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D1" authorId="0" shapeId="0" xr:uid="{00000000-0006-0000-0200-00005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E1" authorId="0" shapeId="0" xr:uid="{00000000-0006-0000-0200-00005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F1" authorId="0" shapeId="0" xr:uid="{00000000-0006-0000-0200-00005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G1" authorId="0" shapeId="0" xr:uid="{00000000-0006-0000-0200-00006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H1" authorId="0" shapeId="0" xr:uid="{00000000-0006-0000-0200-00006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I1" authorId="0" shapeId="0" xr:uid="{00000000-0006-0000-0200-00006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J1" authorId="0" shapeId="0" xr:uid="{00000000-0006-0000-0200-00006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K1" authorId="0" shapeId="0" xr:uid="{00000000-0006-0000-0200-00006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L1" authorId="0" shapeId="0" xr:uid="{00000000-0006-0000-0200-00006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M1" authorId="0" shapeId="0" xr:uid="{00000000-0006-0000-0200-00006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N1" authorId="0" shapeId="0" xr:uid="{00000000-0006-0000-0200-00006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O1" authorId="0" shapeId="0" xr:uid="{00000000-0006-0000-0200-00006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P1" authorId="0" shapeId="0" xr:uid="{00000000-0006-0000-0200-00006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Q1" authorId="0" shapeId="0" xr:uid="{00000000-0006-0000-0200-00006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R1" authorId="0" shapeId="0" xr:uid="{00000000-0006-0000-0200-00006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S1" authorId="0" shapeId="0" xr:uid="{00000000-0006-0000-0200-00006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T1" authorId="0" shapeId="0" xr:uid="{00000000-0006-0000-0200-00006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U1" authorId="0" shapeId="0" xr:uid="{00000000-0006-0000-0200-00006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V1" authorId="0" shapeId="0" xr:uid="{00000000-0006-0000-0200-00006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W1" authorId="0" shapeId="0" xr:uid="{00000000-0006-0000-0200-00007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X1" authorId="0" shapeId="0" xr:uid="{00000000-0006-0000-0200-00007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Y1" authorId="0" shapeId="0" xr:uid="{00000000-0006-0000-0200-00007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DZ1" authorId="0" shapeId="0" xr:uid="{00000000-0006-0000-0200-00007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A1" authorId="0" shapeId="0" xr:uid="{00000000-0006-0000-0200-00007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B1" authorId="0" shapeId="0" xr:uid="{00000000-0006-0000-0200-000075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C1" authorId="0" shapeId="0" xr:uid="{00000000-0006-0000-0200-000076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D1" authorId="0" shapeId="0" xr:uid="{00000000-0006-0000-0200-000077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E1" authorId="0" shapeId="0" xr:uid="{00000000-0006-0000-0200-000078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F1" authorId="0" shapeId="0" xr:uid="{00000000-0006-0000-0200-000079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G1" authorId="0" shapeId="0" xr:uid="{00000000-0006-0000-0200-00007A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H1" authorId="0" shapeId="0" xr:uid="{00000000-0006-0000-0200-00007B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I1" authorId="0" shapeId="0" xr:uid="{00000000-0006-0000-0200-00007C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J1" authorId="0" shapeId="0" xr:uid="{00000000-0006-0000-0200-00007D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K1" authorId="0" shapeId="0" xr:uid="{00000000-0006-0000-0200-00007E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L1" authorId="0" shapeId="0" xr:uid="{00000000-0006-0000-0200-00007F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M1" authorId="0" shapeId="0" xr:uid="{00000000-0006-0000-0200-000080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N1" authorId="0" shapeId="0" xr:uid="{00000000-0006-0000-0200-000081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O1" authorId="0" shapeId="0" xr:uid="{00000000-0006-0000-0200-000082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P1" authorId="0" shapeId="0" xr:uid="{00000000-0006-0000-0200-000083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EQ1" authorId="0" shapeId="0" xr:uid="{00000000-0006-0000-0200-000084000000}">
      <text>
        <r>
          <rPr>
            <sz val="8"/>
            <color indexed="81"/>
            <rFont val="Tahoma"/>
            <family val="2"/>
          </rPr>
          <t>Expressed as All groups index points.</t>
        </r>
      </text>
    </comment>
    <comment ref="A6" authorId="0" shapeId="0" xr:uid="{00000000-0006-0000-0200-000085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P320" authorId="0" shapeId="0" xr:uid="{00000000-0006-0000-0200-000086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Q320" authorId="0" shapeId="0" xr:uid="{00000000-0006-0000-0200-000087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R320" authorId="0" shapeId="0" xr:uid="{00000000-0006-0000-0200-000088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S320" authorId="0" shapeId="0" xr:uid="{00000000-0006-0000-0200-000089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T320" authorId="0" shapeId="0" xr:uid="{00000000-0006-0000-0200-00008A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U320" authorId="0" shapeId="0" xr:uid="{00000000-0006-0000-0200-00008B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V320" authorId="0" shapeId="0" xr:uid="{00000000-0006-0000-0200-00008C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W320" authorId="0" shapeId="0" xr:uid="{00000000-0006-0000-0200-00008D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X320" authorId="0" shapeId="0" xr:uid="{00000000-0006-0000-0200-00008E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Y320" authorId="0" shapeId="0" xr:uid="{00000000-0006-0000-0200-00008F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Z320" authorId="0" shapeId="0" xr:uid="{00000000-0006-0000-0200-000090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A320" authorId="0" shapeId="0" xr:uid="{00000000-0006-0000-0200-000091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B320" authorId="0" shapeId="0" xr:uid="{00000000-0006-0000-0200-000092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C320" authorId="0" shapeId="0" xr:uid="{00000000-0006-0000-0200-000093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D320" authorId="0" shapeId="0" xr:uid="{00000000-0006-0000-0200-000094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E320" authorId="0" shapeId="0" xr:uid="{00000000-0006-0000-0200-000095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F320" authorId="0" shapeId="0" xr:uid="{00000000-0006-0000-0200-000096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G320" authorId="0" shapeId="0" xr:uid="{00000000-0006-0000-0200-000097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H320" authorId="0" shapeId="0" xr:uid="{00000000-0006-0000-0200-000098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I320" authorId="0" shapeId="0" xr:uid="{00000000-0006-0000-0200-000099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J320" authorId="0" shapeId="0" xr:uid="{00000000-0006-0000-0200-00009A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K320" authorId="0" shapeId="0" xr:uid="{00000000-0006-0000-0200-00009B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L320" authorId="0" shapeId="0" xr:uid="{00000000-0006-0000-0200-00009C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M320" authorId="0" shapeId="0" xr:uid="{00000000-0006-0000-0200-00009D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N320" authorId="0" shapeId="0" xr:uid="{00000000-0006-0000-0200-00009E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O320" authorId="0" shapeId="0" xr:uid="{00000000-0006-0000-0200-00009F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P320" authorId="0" shapeId="0" xr:uid="{00000000-0006-0000-0200-0000A0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Q320" authorId="0" shapeId="0" xr:uid="{00000000-0006-0000-0200-0000A1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R320" authorId="0" shapeId="0" xr:uid="{00000000-0006-0000-0200-0000A2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S320" authorId="0" shapeId="0" xr:uid="{00000000-0006-0000-0200-0000A3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T320" authorId="0" shapeId="0" xr:uid="{00000000-0006-0000-0200-0000A4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U320" authorId="0" shapeId="0" xr:uid="{00000000-0006-0000-0200-0000A5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V320" authorId="0" shapeId="0" xr:uid="{00000000-0006-0000-0200-0000A6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W320" authorId="0" shapeId="0" xr:uid="{00000000-0006-0000-0200-0000A7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X320" authorId="0" shapeId="0" xr:uid="{00000000-0006-0000-0200-0000A8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Y320" authorId="0" shapeId="0" xr:uid="{00000000-0006-0000-0200-0000A9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AZ320" authorId="0" shapeId="0" xr:uid="{00000000-0006-0000-0200-0000AA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A320" authorId="0" shapeId="0" xr:uid="{00000000-0006-0000-0200-0000AB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B320" authorId="0" shapeId="0" xr:uid="{00000000-0006-0000-0200-0000AC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C320" authorId="0" shapeId="0" xr:uid="{00000000-0006-0000-0200-0000AD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D320" authorId="0" shapeId="0" xr:uid="{00000000-0006-0000-0200-0000AE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E320" authorId="0" shapeId="0" xr:uid="{00000000-0006-0000-0200-0000AF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F320" authorId="0" shapeId="0" xr:uid="{00000000-0006-0000-0200-0000B0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G320" authorId="0" shapeId="0" xr:uid="{00000000-0006-0000-0200-0000B1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H320" authorId="0" shapeId="0" xr:uid="{00000000-0006-0000-0200-0000B2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I320" authorId="0" shapeId="0" xr:uid="{00000000-0006-0000-0200-0000B3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J320" authorId="0" shapeId="0" xr:uid="{00000000-0006-0000-0200-0000B4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K320" authorId="0" shapeId="0" xr:uid="{00000000-0006-0000-0200-0000B5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L320" authorId="0" shapeId="0" xr:uid="{00000000-0006-0000-0200-0000B6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M320" authorId="0" shapeId="0" xr:uid="{00000000-0006-0000-0200-0000B7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N320" authorId="0" shapeId="0" xr:uid="{00000000-0006-0000-0200-0000B8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O320" authorId="0" shapeId="0" xr:uid="{00000000-0006-0000-0200-0000B9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P320" authorId="0" shapeId="0" xr:uid="{00000000-0006-0000-0200-0000BA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Q320" authorId="0" shapeId="0" xr:uid="{00000000-0006-0000-0200-0000BB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R320" authorId="0" shapeId="0" xr:uid="{00000000-0006-0000-0200-0000BC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S320" authorId="0" shapeId="0" xr:uid="{00000000-0006-0000-0200-0000BD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T320" authorId="0" shapeId="0" xr:uid="{00000000-0006-0000-0200-0000BE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U320" authorId="0" shapeId="0" xr:uid="{00000000-0006-0000-0200-0000BF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V320" authorId="0" shapeId="0" xr:uid="{00000000-0006-0000-0200-0000C0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W320" authorId="0" shapeId="0" xr:uid="{00000000-0006-0000-0200-0000C1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X320" authorId="0" shapeId="0" xr:uid="{00000000-0006-0000-0200-0000C2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Y320" authorId="0" shapeId="0" xr:uid="{00000000-0006-0000-0200-0000C3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BZ320" authorId="0" shapeId="0" xr:uid="{00000000-0006-0000-0200-0000C4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A320" authorId="0" shapeId="0" xr:uid="{00000000-0006-0000-0200-0000C5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B320" authorId="0" shapeId="0" xr:uid="{00000000-0006-0000-0200-0000C6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C320" authorId="0" shapeId="0" xr:uid="{00000000-0006-0000-0200-0000C7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D320" authorId="0" shapeId="0" xr:uid="{00000000-0006-0000-0200-0000C8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E320" authorId="0" shapeId="0" xr:uid="{00000000-0006-0000-0200-0000C9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F320" authorId="0" shapeId="0" xr:uid="{00000000-0006-0000-0200-0000CA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G320" authorId="0" shapeId="0" xr:uid="{00000000-0006-0000-0200-0000CB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H320" authorId="0" shapeId="0" xr:uid="{00000000-0006-0000-0200-0000CC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I320" authorId="0" shapeId="0" xr:uid="{00000000-0006-0000-0200-0000CD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J320" authorId="0" shapeId="0" xr:uid="{00000000-0006-0000-0200-0000CE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K320" authorId="0" shapeId="0" xr:uid="{00000000-0006-0000-0200-0000CF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L320" authorId="0" shapeId="0" xr:uid="{00000000-0006-0000-0200-0000D0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M320" authorId="0" shapeId="0" xr:uid="{00000000-0006-0000-0200-0000D1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N320" authorId="0" shapeId="0" xr:uid="{00000000-0006-0000-0200-0000D2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O320" authorId="0" shapeId="0" xr:uid="{00000000-0006-0000-0200-0000D3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P320" authorId="0" shapeId="0" xr:uid="{00000000-0006-0000-0200-0000D4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Q320" authorId="0" shapeId="0" xr:uid="{00000000-0006-0000-0200-0000D5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R320" authorId="0" shapeId="0" xr:uid="{00000000-0006-0000-0200-0000D6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S320" authorId="0" shapeId="0" xr:uid="{00000000-0006-0000-0200-0000D7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T320" authorId="0" shapeId="0" xr:uid="{00000000-0006-0000-0200-0000D8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U320" authorId="0" shapeId="0" xr:uid="{00000000-0006-0000-0200-0000D9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V320" authorId="0" shapeId="0" xr:uid="{00000000-0006-0000-0200-0000DA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W320" authorId="0" shapeId="0" xr:uid="{00000000-0006-0000-0200-0000DB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X320" authorId="0" shapeId="0" xr:uid="{00000000-0006-0000-0200-0000DC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Y320" authorId="0" shapeId="0" xr:uid="{00000000-0006-0000-0200-0000DD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CZ320" authorId="0" shapeId="0" xr:uid="{00000000-0006-0000-0200-0000DE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A320" authorId="0" shapeId="0" xr:uid="{00000000-0006-0000-0200-0000DF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B320" authorId="0" shapeId="0" xr:uid="{00000000-0006-0000-0200-0000E0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C320" authorId="0" shapeId="0" xr:uid="{00000000-0006-0000-0200-0000E1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D320" authorId="0" shapeId="0" xr:uid="{00000000-0006-0000-0200-0000E2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E320" authorId="0" shapeId="0" xr:uid="{00000000-0006-0000-0200-0000E3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F320" authorId="0" shapeId="0" xr:uid="{00000000-0006-0000-0200-0000E4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G320" authorId="0" shapeId="0" xr:uid="{00000000-0006-0000-0200-0000E5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H320" authorId="0" shapeId="0" xr:uid="{00000000-0006-0000-0200-0000E6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I320" authorId="0" shapeId="0" xr:uid="{00000000-0006-0000-0200-0000E7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J320" authorId="0" shapeId="0" xr:uid="{00000000-0006-0000-0200-0000E8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K320" authorId="0" shapeId="0" xr:uid="{00000000-0006-0000-0200-0000E9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L320" authorId="0" shapeId="0" xr:uid="{00000000-0006-0000-0200-0000EA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M320" authorId="0" shapeId="0" xr:uid="{00000000-0006-0000-0200-0000EB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N320" authorId="0" shapeId="0" xr:uid="{00000000-0006-0000-0200-0000EC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O320" authorId="0" shapeId="0" xr:uid="{00000000-0006-0000-0200-0000ED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P320" authorId="0" shapeId="0" xr:uid="{00000000-0006-0000-0200-0000EE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Q320" authorId="0" shapeId="0" xr:uid="{00000000-0006-0000-0200-0000EF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R320" authorId="0" shapeId="0" xr:uid="{00000000-0006-0000-0200-0000F0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S320" authorId="0" shapeId="0" xr:uid="{00000000-0006-0000-0200-0000F1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T320" authorId="0" shapeId="0" xr:uid="{00000000-0006-0000-0200-0000F2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U320" authorId="0" shapeId="0" xr:uid="{00000000-0006-0000-0200-0000F3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V320" authorId="0" shapeId="0" xr:uid="{00000000-0006-0000-0200-0000F4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W320" authorId="0" shapeId="0" xr:uid="{00000000-0006-0000-0200-0000F5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X320" authorId="0" shapeId="0" xr:uid="{00000000-0006-0000-0200-0000F6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Y320" authorId="0" shapeId="0" xr:uid="{00000000-0006-0000-0200-0000F7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DZ320" authorId="0" shapeId="0" xr:uid="{00000000-0006-0000-0200-0000F8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A320" authorId="0" shapeId="0" xr:uid="{00000000-0006-0000-0200-0000F9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B320" authorId="0" shapeId="0" xr:uid="{00000000-0006-0000-0200-0000FA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C320" authorId="0" shapeId="0" xr:uid="{00000000-0006-0000-0200-0000FB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D320" authorId="0" shapeId="0" xr:uid="{00000000-0006-0000-0200-0000FC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E320" authorId="0" shapeId="0" xr:uid="{00000000-0006-0000-0200-0000FD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F320" authorId="0" shapeId="0" xr:uid="{00000000-0006-0000-0200-0000FE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G320" authorId="0" shapeId="0" xr:uid="{00000000-0006-0000-0200-0000FF00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H320" authorId="0" shapeId="0" xr:uid="{00000000-0006-0000-0200-000000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I320" authorId="0" shapeId="0" xr:uid="{00000000-0006-0000-0200-000001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J320" authorId="0" shapeId="0" xr:uid="{00000000-0006-0000-0200-000002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K320" authorId="0" shapeId="0" xr:uid="{00000000-0006-0000-0200-000003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L320" authorId="0" shapeId="0" xr:uid="{00000000-0006-0000-0200-000004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M320" authorId="0" shapeId="0" xr:uid="{00000000-0006-0000-0200-000005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N320" authorId="0" shapeId="0" xr:uid="{00000000-0006-0000-0200-000006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O320" authorId="0" shapeId="0" xr:uid="{00000000-0006-0000-0200-000007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P320" authorId="0" shapeId="0" xr:uid="{00000000-0006-0000-0200-000008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  <comment ref="EQ320" authorId="0" shapeId="0" xr:uid="{00000000-0006-0000-0200-000009010000}">
      <text>
        <r>
          <rPr>
            <sz val="8"/>
            <color indexed="81"/>
            <rFont val="Tahoma"/>
            <family val="2"/>
          </rPr>
          <t>Series commences from Dec-2025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<sst xmlns="http://schemas.openxmlformats.org/spreadsheetml/2006/main" count="4838" uniqueCount="831">
  <si>
    <t>Index Numbers ;  All groups CPI ;  Australia ;</t>
  </si>
  <si>
    <t>Index Numbers ;  Food and non-alcoholic beverages ;  Australia ;</t>
  </si>
  <si>
    <t>Index Numbers ;  Bread and cereal products ;  Australia ;</t>
  </si>
  <si>
    <t>Index Numbers ;  Bread ;  Australia ;</t>
  </si>
  <si>
    <t>Index Numbers ;  Cakes and biscuits ;  Australia ;</t>
  </si>
  <si>
    <t>Index Numbers ;  Breakfast cereals ;  Australia ;</t>
  </si>
  <si>
    <t>Index Numbers ;  Other cereal products ;  Australia ;</t>
  </si>
  <si>
    <t>Index Numbers ;  Meat and seafoods ;  Australia ;</t>
  </si>
  <si>
    <t>Index Numbers ;  Beef and veal ;  Australia ;</t>
  </si>
  <si>
    <t>Index Numbers ;  Pork ;  Australia ;</t>
  </si>
  <si>
    <t>Index Numbers ;  Lamb and goat ;  Australia ;</t>
  </si>
  <si>
    <t>Index Numbers ;  Poultry ;  Australia ;</t>
  </si>
  <si>
    <t>Index Numbers ;  Other meats ;  Australia ;</t>
  </si>
  <si>
    <t>Index Numbers ;  Fish and other seafood ;  Australia ;</t>
  </si>
  <si>
    <t>Index Numbers ;  Dairy and related products ;  Australia ;</t>
  </si>
  <si>
    <t>Index Numbers ;  Milk ;  Australia ;</t>
  </si>
  <si>
    <t>Index Numbers ;  Cheese ;  Australia ;</t>
  </si>
  <si>
    <t>Index Numbers ;  Ice cream and other dairy products ;  Australia ;</t>
  </si>
  <si>
    <t>Index Numbers ;  Fruit and vegetables ;  Australia ;</t>
  </si>
  <si>
    <t>Index Numbers ;  Fruit ;  Australia ;</t>
  </si>
  <si>
    <t>Index Numbers ;  Vegetables ;  Australia ;</t>
  </si>
  <si>
    <t>Index Numbers ;  Food products n.e.c. ;  Australia ;</t>
  </si>
  <si>
    <t>Index Numbers ;  Eggs ;  Australia ;</t>
  </si>
  <si>
    <t>Index Numbers ;  Jams, honey and spreads ;  Australia ;</t>
  </si>
  <si>
    <t>Index Numbers ;  Food additives and condiments ;  Australia ;</t>
  </si>
  <si>
    <t>Index Numbers ;  Oils and fats ;  Australia ;</t>
  </si>
  <si>
    <t>Index Numbers ;  Snacks and confectionery ;  Australia ;</t>
  </si>
  <si>
    <t>Index Numbers ;  Other food products n.e.c. ;  Australia ;</t>
  </si>
  <si>
    <t>Index Numbers ;  Non-alcoholic beverages ;  Australia ;</t>
  </si>
  <si>
    <t>Index Numbers ;  Coffee, tea and cocoa ;  Australia ;</t>
  </si>
  <si>
    <t>Index Numbers ;  Waters, soft drinks and juices ;  Australia ;</t>
  </si>
  <si>
    <t>Index Numbers ;  Meals out and take away foods ;  Australia ;</t>
  </si>
  <si>
    <t>Index Numbers ;  Restaurant meals ;  Australia ;</t>
  </si>
  <si>
    <t>Index Numbers ;  Take away and fast foods ;  Australia ;</t>
  </si>
  <si>
    <t>Index Numbers ;  Alcohol and tobacco ;  Australia ;</t>
  </si>
  <si>
    <t>Index Numbers ;  Alcoholic beverages ;  Australia ;</t>
  </si>
  <si>
    <t>Index Numbers ;  Spirits ;  Australia ;</t>
  </si>
  <si>
    <t>Index Numbers ;  Wine ;  Australia ;</t>
  </si>
  <si>
    <t>Index Numbers ;  Beer ;  Australia ;</t>
  </si>
  <si>
    <t>Index Numbers ;  Tobacco ;  Australia ;</t>
  </si>
  <si>
    <t>Index Numbers ;  Clothing and footwear ;  Australia ;</t>
  </si>
  <si>
    <t>Index Numbers ;  Garments ;  Australia ;</t>
  </si>
  <si>
    <t>Index Numbers ;  Garments for men ;  Australia ;</t>
  </si>
  <si>
    <t>Index Numbers ;  Garments for women ;  Australia ;</t>
  </si>
  <si>
    <t>Index Numbers ;  Garments for infants and children ;  Australia ;</t>
  </si>
  <si>
    <t>Index Numbers ;  Footwear ;  Australia ;</t>
  </si>
  <si>
    <t>Index Numbers ;  Footwear for men ;  Australia ;</t>
  </si>
  <si>
    <t>Index Numbers ;  Footwear for women ;  Australia ;</t>
  </si>
  <si>
    <t>Index Numbers ;  Footwear for infants and children ;  Australia ;</t>
  </si>
  <si>
    <t>Index Numbers ;  Accessories and clothing services ;  Australia ;</t>
  </si>
  <si>
    <t>Index Numbers ;  Accessories ;  Australia ;</t>
  </si>
  <si>
    <t>Index Numbers ;  Cleaning, repair and hire of clothing and footwear ;  Australia ;</t>
  </si>
  <si>
    <t>Index Numbers ;  Housing ;  Australia ;</t>
  </si>
  <si>
    <t>Index Numbers ;  Rents ;  Australia ;</t>
  </si>
  <si>
    <t>Index Numbers ;  New dwelling purchase by owner-occupiers ;  Australia ;</t>
  </si>
  <si>
    <t>Index Numbers ;  Other housing ;  Australia ;</t>
  </si>
  <si>
    <t>Index Numbers ;  Maintenance and repair of the dwelling ;  Australia ;</t>
  </si>
  <si>
    <t>Index Numbers ;  Property rates and charges ;  Australia ;</t>
  </si>
  <si>
    <t>Index Numbers ;  Utilities ;  Australia ;</t>
  </si>
  <si>
    <t>Index Numbers ;  Water and sewerage ;  Australia ;</t>
  </si>
  <si>
    <t>Index Numbers ;  Electricity ;  Australia ;</t>
  </si>
  <si>
    <t>Index Numbers ;  Gas and other household fuels ;  Australia ;</t>
  </si>
  <si>
    <t>Index Numbers ;  Furnishings, household equipment and services ;  Australia ;</t>
  </si>
  <si>
    <t>Index Numbers ;  Furniture and furnishings ;  Australia ;</t>
  </si>
  <si>
    <t>Index Numbers ;  Furniture ;  Australia ;</t>
  </si>
  <si>
    <t>Index Numbers ;  Carpets and other floor coverings ;  Australia ;</t>
  </si>
  <si>
    <t>Index Numbers ;  Household textiles ;  Australia ;</t>
  </si>
  <si>
    <t>Index Numbers ;  Household appliances, utensils and tools ;  Australia ;</t>
  </si>
  <si>
    <t>Index Numbers ;  Major household appliances ;  Australia ;</t>
  </si>
  <si>
    <t>Index Numbers ;  Small electric household appliances ;  Australia ;</t>
  </si>
  <si>
    <t>Index Numbers ;  Glassware, tableware and household utensils ;  Australia ;</t>
  </si>
  <si>
    <t>Index Numbers ;  Tools and equipment for house and garden ;  Australia ;</t>
  </si>
  <si>
    <t>Index Numbers ;  Non-durable household products ;  Australia ;</t>
  </si>
  <si>
    <t>Index Numbers ;  Cleaning and maintenance products ;  Australia ;</t>
  </si>
  <si>
    <t>Index Numbers ;  Personal care products ;  Australia ;</t>
  </si>
  <si>
    <t>Index Numbers ;  Other non-durable household products ;  Australia ;</t>
  </si>
  <si>
    <t>Index Numbers ;  Domestic and household services ;  Australia ;</t>
  </si>
  <si>
    <t>Index Numbers ;  Child care ;  Australia ;</t>
  </si>
  <si>
    <t>Index Numbers ;  Hairdressing and personal grooming services ;  Australia ;</t>
  </si>
  <si>
    <t>Index Numbers ;  Other household services ;  Australia ;</t>
  </si>
  <si>
    <t>Index Numbers ;  Health ;  Australia ;</t>
  </si>
  <si>
    <t>Index Numbers ;  Medical products, appliances and equipment ;  Australia ;</t>
  </si>
  <si>
    <t>Index Numbers ;  Pharmaceutical products ;  Australia ;</t>
  </si>
  <si>
    <t>Index Numbers ;  Therapeutic appliances and equipment ;  Australia ;</t>
  </si>
  <si>
    <t>Index Numbers ;  Medical, dental and hospital services ;  Australia ;</t>
  </si>
  <si>
    <t>Index Numbers ;  Medical and hospital services ;  Australia ;</t>
  </si>
  <si>
    <t>Index Numbers ;  Dental services ;  Australia ;</t>
  </si>
  <si>
    <t>Index Numbers ;  Transport ;  Australia ;</t>
  </si>
  <si>
    <t>Index Numbers ;  Private motoring ;  Australia ;</t>
  </si>
  <si>
    <t>Index Numbers ;  Motor vehicles ;  Australia ;</t>
  </si>
  <si>
    <t>Index Numbers ;  Spare parts and accessories for motor vehicles ;  Australia ;</t>
  </si>
  <si>
    <t>Index Numbers ;  Automotive fuel ;  Australia ;</t>
  </si>
  <si>
    <t>Index Numbers ;  Maintenance and repair of motor vehicles ;  Australia ;</t>
  </si>
  <si>
    <t>Index Numbers ;  Other services in respect of motor vehicles ;  Australia ;</t>
  </si>
  <si>
    <t>Index Numbers ;  Urban transport fares ;  Australia ;</t>
  </si>
  <si>
    <t>Index Numbers ;  Communication ;  Australia ;</t>
  </si>
  <si>
    <t>Index Numbers ;  Postal services ;  Australia ;</t>
  </si>
  <si>
    <t>Index Numbers ;  Telecommunication equipment and services ;  Australia ;</t>
  </si>
  <si>
    <t>Index Numbers ;  Recreation and culture ;  Australia ;</t>
  </si>
  <si>
    <t>Index Numbers ;  Audio, visual and computing equipment and services ;  Australia ;</t>
  </si>
  <si>
    <t>Index Numbers ;  Audio, visual and computing equipment ;  Australia ;</t>
  </si>
  <si>
    <t>Index Numbers ;  Audio, visual and computing media and services ;  Australia ;</t>
  </si>
  <si>
    <t>Index Numbers ;  Newspapers, books and stationery ;  Australia ;</t>
  </si>
  <si>
    <t>Index Numbers ;  Books ;  Australia ;</t>
  </si>
  <si>
    <t>Index Numbers ;  Newspapers, magazines and stationery ;  Australia ;</t>
  </si>
  <si>
    <t>Index Numbers ;  Holiday travel and accommodation ;  Australia ;</t>
  </si>
  <si>
    <t>Index Numbers ;  Domestic holiday travel and accommodation ;  Australia ;</t>
  </si>
  <si>
    <t>Index Numbers ;  International holiday travel and accommodation ;  Australia ;</t>
  </si>
  <si>
    <t>Index Numbers ;  Other recreation, sport and culture ;  Australia ;</t>
  </si>
  <si>
    <t>Index Numbers ;  Equipment for sports, camping and open-air recreation ;  Australia ;</t>
  </si>
  <si>
    <t>Index Numbers ;  Games, toys and hobbies ;  Australia ;</t>
  </si>
  <si>
    <t>Index Numbers ;  Pets and related products ;  Australia ;</t>
  </si>
  <si>
    <t>Index Numbers ;  Veterinary and other services for pets ;  Australia ;</t>
  </si>
  <si>
    <t>Index Numbers ;  Sports participation ;  Australia ;</t>
  </si>
  <si>
    <t>Index Numbers ;  Other recreational, sporting and cultural services ;  Australia ;</t>
  </si>
  <si>
    <t>Index Numbers ;  Education ;  Australia ;</t>
  </si>
  <si>
    <t>Index Numbers ;  Preschool and primary education ;  Australia ;</t>
  </si>
  <si>
    <t>Index Numbers ;  Secondary education ;  Australia ;</t>
  </si>
  <si>
    <t>Index Numbers ;  Tertiary education ;  Australia ;</t>
  </si>
  <si>
    <t>Index Numbers ;  Insurance and financial services ;  Australia ;</t>
  </si>
  <si>
    <t>Index Numbers ;  Insurance ;  Australia ;</t>
  </si>
  <si>
    <t>Index Numbers ;  Financial services ;  Australia ;</t>
  </si>
  <si>
    <t>Index Numbers ;  Deposit and loan facilities (direct charges) ;  Australia ;</t>
  </si>
  <si>
    <t>Index Numbers ;  Other financial services ;  Australia ;</t>
  </si>
  <si>
    <t>Percentage Change from Previous Period ;  All groups CPI ;  Australia ;</t>
  </si>
  <si>
    <t>Percentage Change from Previous Period ;  Food and non-alcoholic beverages ;  Australia ;</t>
  </si>
  <si>
    <t>Percentage Change from Previous Period ;  Bread and cereal products ;  Australia ;</t>
  </si>
  <si>
    <t>Percentage Change from Previous Period ;  Bread ;  Australia ;</t>
  </si>
  <si>
    <t>Percentage Change from Previous Period ;  Cakes and biscuits ;  Australia ;</t>
  </si>
  <si>
    <t>Percentage Change from Previous Period ;  Breakfast cereals ;  Australia ;</t>
  </si>
  <si>
    <t>Percentage Change from Previous Period ;  Other cereal products ;  Australia ;</t>
  </si>
  <si>
    <t>Percentage Change from Previous Period ;  Meat and seafoods ;  Australia ;</t>
  </si>
  <si>
    <t>Percentage Change from Previous Period ;  Beef and veal ;  Australia ;</t>
  </si>
  <si>
    <t>Percentage Change from Previous Period ;  Pork ;  Australia ;</t>
  </si>
  <si>
    <t>Percentage Change from Previous Period ;  Lamb and goat ;  Australia ;</t>
  </si>
  <si>
    <t>Percentage Change from Previous Period ;  Poultry ;  Australia ;</t>
  </si>
  <si>
    <t>Percentage Change from Previous Period ;  Other meats ;  Australia ;</t>
  </si>
  <si>
    <t>Percentage Change from Previous Period ;  Fish and other seafood ;  Australia ;</t>
  </si>
  <si>
    <t>Percentage Change from Previous Period ;  Dairy and related products ;  Australia ;</t>
  </si>
  <si>
    <t>Percentage Change from Previous Period ;  Milk ;  Australia ;</t>
  </si>
  <si>
    <t>Percentage Change from Previous Period ;  Cheese ;  Australia ;</t>
  </si>
  <si>
    <t>Percentage Change from Previous Period ;  Ice cream and other dairy products ;  Australia ;</t>
  </si>
  <si>
    <t>Percentage Change from Previous Period ;  Fruit and vegetables ;  Australia ;</t>
  </si>
  <si>
    <t>Percentage Change from Previous Period ;  Fruit ;  Australia ;</t>
  </si>
  <si>
    <t>Percentage Change from Previous Period ;  Vegetables ;  Australia ;</t>
  </si>
  <si>
    <t>Percentage Change from Previous Period ;  Food products n.e.c. ;  Australia ;</t>
  </si>
  <si>
    <t>Percentage Change from Previous Period ;  Eggs ;  Australia ;</t>
  </si>
  <si>
    <t>Percentage Change from Previous Period ;  Jams, honey and spreads ;  Australia ;</t>
  </si>
  <si>
    <t>Percentage Change from Previous Period ;  Food additives and condiments ;  Australia ;</t>
  </si>
  <si>
    <t>Percentage Change from Previous Period ;  Oils and fats ;  Australia ;</t>
  </si>
  <si>
    <t>Percentage Change from Previous Period ;  Snacks and confectionery ;  Australia ;</t>
  </si>
  <si>
    <t>Percentage Change from Previous Period ;  Other food products n.e.c. ;  Australia ;</t>
  </si>
  <si>
    <t>Percentage Change from Previous Period ;  Non-alcoholic beverages ;  Australia ;</t>
  </si>
  <si>
    <t>Percentage Change from Previous Period ;  Coffee, tea and cocoa ;  Australia ;</t>
  </si>
  <si>
    <t>Percentage Change from Previous Period ;  Waters, soft drinks and juices ;  Australia ;</t>
  </si>
  <si>
    <t>Percentage Change from Previous Period ;  Meals out and take away foods ;  Australia ;</t>
  </si>
  <si>
    <t>Percentage Change from Previous Period ;  Restaurant meals ;  Australia ;</t>
  </si>
  <si>
    <t>Percentage Change from Previous Period ;  Take away and fast foods ;  Australia ;</t>
  </si>
  <si>
    <t>Percentage Change from Previous Period ;  Alcohol and tobacco ;  Australia ;</t>
  </si>
  <si>
    <t>Percentage Change from Previous Period ;  Alcoholic beverages ;  Australia ;</t>
  </si>
  <si>
    <t>Percentage Change from Previous Period ;  Spirits ;  Australia ;</t>
  </si>
  <si>
    <t>Percentage Change from Previous Period ;  Wine ;  Australia ;</t>
  </si>
  <si>
    <t>Percentage Change from Previous Period ;  Beer ;  Australia ;</t>
  </si>
  <si>
    <t>Percentage Change from Previous Period ;  Tobacco ;  Australia ;</t>
  </si>
  <si>
    <t>Percentage Change from Previous Period ;  Clothing and footwear ;  Australia ;</t>
  </si>
  <si>
    <t>Percentage Change from Previous Period ;  Garments ;  Australia ;</t>
  </si>
  <si>
    <t>Percentage Change from Previous Period ;  Garments for men ;  Australia ;</t>
  </si>
  <si>
    <t>Percentage Change from Previous Period ;  Garments for women ;  Australia ;</t>
  </si>
  <si>
    <t>Percentage Change from Previous Period ;  Garments for infants and children ;  Australia ;</t>
  </si>
  <si>
    <t>Percentage Change from Previous Period ;  Footwear ;  Australia ;</t>
  </si>
  <si>
    <t>Percentage Change from Previous Period ;  Footwear for men ;  Australia ;</t>
  </si>
  <si>
    <t>Percentage Change from Previous Period ;  Footwear for women ;  Australia ;</t>
  </si>
  <si>
    <t>Percentage Change from Previous Period ;  Footwear for infants and children ;  Australia ;</t>
  </si>
  <si>
    <t>Percentage Change from Previous Period ;  Accessories and clothing services ;  Australia ;</t>
  </si>
  <si>
    <t>Percentage Change from Previous Period ;  Accessories ;  Australia ;</t>
  </si>
  <si>
    <t>Percentage Change from Previous Period ;  Cleaning, repair and hire of clothing and footwear ;  Australia ;</t>
  </si>
  <si>
    <t>Percentage Change from Previous Period ;  Housing ;  Australia ;</t>
  </si>
  <si>
    <t>Percentage Change from Previous Period ;  Rents ;  Australia ;</t>
  </si>
  <si>
    <t>Percentage Change from Previous Period ;  New dwelling purchase by owner-occupiers ;  Australia ;</t>
  </si>
  <si>
    <t>Percentage Change from Previous Period ;  Other housing ;  Australia ;</t>
  </si>
  <si>
    <t>Percentage Change from Previous Period ;  Maintenance and repair of the dwelling ;  Australia ;</t>
  </si>
  <si>
    <t>Percentage Change from Previous Period ;  Property rates and charges ;  Australia ;</t>
  </si>
  <si>
    <t>Percentage Change from Previous Period ;  Utilities ;  Australia ;</t>
  </si>
  <si>
    <t>Percentage Change from Previous Period ;  Water and sewerage ;  Australia ;</t>
  </si>
  <si>
    <t>Percentage Change from Previous Period ;  Electricity ;  Australia ;</t>
  </si>
  <si>
    <t>Percentage Change from Previous Period ;  Gas and other household fuels ;  Australia ;</t>
  </si>
  <si>
    <t>Percentage Change from Previous Period ;  Furnishings, household equipment and services ;  Australia ;</t>
  </si>
  <si>
    <t>Percentage Change from Previous Period ;  Furniture and furnishings ;  Australia ;</t>
  </si>
  <si>
    <t>Percentage Change from Previous Period ;  Furniture ;  Australia ;</t>
  </si>
  <si>
    <t>Percentage Change from Previous Period ;  Carpets and other floor coverings ;  Australia ;</t>
  </si>
  <si>
    <t>Percentage Change from Previous Period ;  Household textiles ;  Australia ;</t>
  </si>
  <si>
    <t>Percentage Change from Previous Period ;  Household appliances, utensils and tools ;  Australia ;</t>
  </si>
  <si>
    <t>Percentage Change from Previous Period ;  Major household appliances ;  Australia ;</t>
  </si>
  <si>
    <t>Percentage Change from Previous Period ;  Small electric household appliances ;  Australia ;</t>
  </si>
  <si>
    <t>Percentage Change from Previous Period ;  Glassware, tableware and household utensils ;  Australia ;</t>
  </si>
  <si>
    <t>Percentage Change from Previous Period ;  Tools and equipment for house and garden ;  Australia ;</t>
  </si>
  <si>
    <t>Percentage Change from Previous Period ;  Non-durable household products ;  Australia ;</t>
  </si>
  <si>
    <t>Percentage Change from Previous Period ;  Cleaning and maintenance products ;  Australia ;</t>
  </si>
  <si>
    <t>Percentage Change from Previous Period ;  Personal care products ;  Australia ;</t>
  </si>
  <si>
    <t>Percentage Change from Previous Period ;  Other non-durable household products ;  Australia ;</t>
  </si>
  <si>
    <t>Percentage Change from Previous Period ;  Domestic and household services ;  Australia ;</t>
  </si>
  <si>
    <t>Percentage Change from Previous Period ;  Child care ;  Australia ;</t>
  </si>
  <si>
    <t>Percentage Change from Previous Period ;  Hairdressing and personal grooming services ;  Australia ;</t>
  </si>
  <si>
    <t>Percentage Change from Previous Period ;  Other household services ;  Australia ;</t>
  </si>
  <si>
    <t>Percentage Change from Previous Period ;  Health ;  Australia ;</t>
  </si>
  <si>
    <t>Percentage Change from Previous Period ;  Medical products, appliances and equipment ;  Australia ;</t>
  </si>
  <si>
    <t>Percentage Change from Previous Period ;  Pharmaceutical products ;  Australia ;</t>
  </si>
  <si>
    <t>Percentage Change from Previous Period ;  Therapeutic appliances and equipment ;  Australia ;</t>
  </si>
  <si>
    <t>Percentage Change from Previous Period ;  Medical, dental and hospital services ;  Australia ;</t>
  </si>
  <si>
    <t>Percentage Change from Previous Period ;  Medical and hospital services ;  Australia ;</t>
  </si>
  <si>
    <t>Percentage Change from Previous Period ;  Dental services ;  Australia ;</t>
  </si>
  <si>
    <t>Percentage Change from Previous Period ;  Transport ;  Australia ;</t>
  </si>
  <si>
    <t>Percentage Change from Previous Period ;  Private motoring ;  Australia ;</t>
  </si>
  <si>
    <t>Percentage Change from Previous Period ;  Motor vehicles ;  Australia ;</t>
  </si>
  <si>
    <t>Percentage Change from Previous Period ;  Spare parts and accessories for motor vehicles ;  Australia ;</t>
  </si>
  <si>
    <t>Percentage Change from Previous Period ;  Automotive fuel ;  Australia ;</t>
  </si>
  <si>
    <t>Percentage Change from Previous Period ;  Maintenance and repair of motor vehicles ;  Australia ;</t>
  </si>
  <si>
    <t>Percentage Change from Previous Period ;  Other services in respect of motor vehicles ;  Australia ;</t>
  </si>
  <si>
    <t>Percentage Change from Previous Period ;  Urban transport fares ;  Australia ;</t>
  </si>
  <si>
    <t>Percentage Change from Previous Period ;  Communication ;  Australia ;</t>
  </si>
  <si>
    <t>Percentage Change from Previous Period ;  Postal services ;  Australia ;</t>
  </si>
  <si>
    <t>Percentage Change from Previous Period ;  Telecommunication equipment and services ;  Australia ;</t>
  </si>
  <si>
    <t>Percentage Change from Previous Period ;  Recreation and culture ;  Australia ;</t>
  </si>
  <si>
    <t>Percentage Change from Previous Period ;  Audio, visual and computing equipment and services ;  Australia ;</t>
  </si>
  <si>
    <t>Percentage Change from Previous Period ;  Audio, visual and computing equipment ;  Australia ;</t>
  </si>
  <si>
    <t>Percentage Change from Previous Period ;  Audio, visual and computing media and services ;  Australia ;</t>
  </si>
  <si>
    <t>Percentage Change from Previous Period ;  Newspapers, books and stationery ;  Australia ;</t>
  </si>
  <si>
    <t>Percentage Change from Previous Period ;  Books ;  Australia ;</t>
  </si>
  <si>
    <t>Percentage Change from Previous Period ;  Newspapers, magazines and stationery ;  Australia ;</t>
  </si>
  <si>
    <t>Percentage Change from Previous Period ;  Holiday travel and accommodation ;  Australia ;</t>
  </si>
  <si>
    <t>Percentage Change from Previous Period ;  Domestic holiday travel and accommodation ;  Australia ;</t>
  </si>
  <si>
    <t>Percentage Change from Previous Period ;  International holiday travel and accommodation ;  Australia ;</t>
  </si>
  <si>
    <t>Percentage Change from Previous Period ;  Other recreation, sport and culture ;  Australia ;</t>
  </si>
  <si>
    <t>Percentage Change from Previous Period ;  Equipment for sports, camping and open-air recreation ;  Australia ;</t>
  </si>
  <si>
    <t>Percentage Change from Previous Period ;  Games, toys and hobbies ;  Australia ;</t>
  </si>
  <si>
    <t>Percentage Change from Previous Period ;  Pets and related products ;  Australia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</si>
  <si>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</si>
  <si>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</si>
  <si>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</si>
  <si>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</si>
  <si>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</si>
  <si>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</si>
  <si>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</si>
  <si>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</si>
  <si>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</si>
  <si>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Index Numbers</t>
  </si>
  <si>
    <t>Original</t>
  </si>
  <si>
    <t>INDEX</t>
  </si>
  <si>
    <t>Quarter</t>
  </si>
  <si>
    <t>A2325846C</t>
  </si>
  <si>
    <t>A2325891R</t>
  </si>
  <si>
    <t>A2326206X</t>
  </si>
  <si>
    <t>A2327061R</t>
  </si>
  <si>
    <t>A2327106J</t>
  </si>
  <si>
    <t>A2327151V</t>
  </si>
  <si>
    <t>A2327196X</t>
  </si>
  <si>
    <t>A2326251K</t>
  </si>
  <si>
    <t>A2327241X</t>
  </si>
  <si>
    <t>A3604358R</t>
  </si>
  <si>
    <t>A2327286C</t>
  </si>
  <si>
    <t>A2327376J</t>
  </si>
  <si>
    <t>A2327466L</t>
  </si>
  <si>
    <t>A2327511L</t>
  </si>
  <si>
    <t>A2326161F</t>
  </si>
  <si>
    <t>A2326926W</t>
  </si>
  <si>
    <t>A2326971J</t>
  </si>
  <si>
    <t>A2327016C</t>
  </si>
  <si>
    <t>A2330886T</t>
  </si>
  <si>
    <t>A2330931T</t>
  </si>
  <si>
    <t>A2330976W</t>
  </si>
  <si>
    <t>A3604363J</t>
  </si>
  <si>
    <t>A2327646W</t>
  </si>
  <si>
    <t>A2327691J</t>
  </si>
  <si>
    <t>A2329491A</t>
  </si>
  <si>
    <t>A2329536V</t>
  </si>
  <si>
    <t>A2331741W</t>
  </si>
  <si>
    <t>A2327781L</t>
  </si>
  <si>
    <t>A3604418F</t>
  </si>
  <si>
    <t>A2327736A</t>
  </si>
  <si>
    <t>A2331786A</t>
  </si>
  <si>
    <t>A2326296R</t>
  </si>
  <si>
    <t>A2327556T</t>
  </si>
  <si>
    <t>A2327601T</t>
  </si>
  <si>
    <t>A2326116V</t>
  </si>
  <si>
    <t>A2326746L</t>
  </si>
  <si>
    <t>A2328951K</t>
  </si>
  <si>
    <t>A2328906X</t>
  </si>
  <si>
    <t>A2328861F</t>
  </si>
  <si>
    <t>A2326791X</t>
  </si>
  <si>
    <t>A2328996R</t>
  </si>
  <si>
    <t>A2325936J</t>
  </si>
  <si>
    <t>A3604368V</t>
  </si>
  <si>
    <t>A2329581F</t>
  </si>
  <si>
    <t>A2329716C</t>
  </si>
  <si>
    <t>A2329761R</t>
  </si>
  <si>
    <t>A2326386V</t>
  </si>
  <si>
    <t>A2327916K</t>
  </si>
  <si>
    <t>A2327961W</t>
  </si>
  <si>
    <t>A2328006T</t>
  </si>
  <si>
    <t>A2329806J</t>
  </si>
  <si>
    <t>A2329851V</t>
  </si>
  <si>
    <t>A2328051C</t>
  </si>
  <si>
    <t>A2325981V</t>
  </si>
  <si>
    <t>A2331876F</t>
  </si>
  <si>
    <t>A2326431V</t>
  </si>
  <si>
    <t>A3604373L</t>
  </si>
  <si>
    <t>A2329941X</t>
  </si>
  <si>
    <t>A3604413V</t>
  </si>
  <si>
    <t>A2328096J</t>
  </si>
  <si>
    <t>A2329986C</t>
  </si>
  <si>
    <t>A2326521X</t>
  </si>
  <si>
    <t>A2329896X</t>
  </si>
  <si>
    <t>A2328141J</t>
  </si>
  <si>
    <t>A2331921F</t>
  </si>
  <si>
    <t>A2326026R</t>
  </si>
  <si>
    <t>A3604403R</t>
  </si>
  <si>
    <t>A2328186L</t>
  </si>
  <si>
    <t>A3604433C</t>
  </si>
  <si>
    <t>A3604428K</t>
  </si>
  <si>
    <t>A3604383T</t>
  </si>
  <si>
    <t>A2330031K</t>
  </si>
  <si>
    <t>A2328276T</t>
  </si>
  <si>
    <t>A2331021X</t>
  </si>
  <si>
    <t>A2331066C</t>
  </si>
  <si>
    <t>A2328321T</t>
  </si>
  <si>
    <t>A2330076R</t>
  </si>
  <si>
    <t>A2328366W</t>
  </si>
  <si>
    <t>A2329221A</t>
  </si>
  <si>
    <t>A2330121R</t>
  </si>
  <si>
    <t>A2330166V</t>
  </si>
  <si>
    <t>A2331606F</t>
  </si>
  <si>
    <t>A2329266F</t>
  </si>
  <si>
    <t>A2331696W</t>
  </si>
  <si>
    <t>A2331111C</t>
  </si>
  <si>
    <t>A3604438R</t>
  </si>
  <si>
    <t>A2329176A</t>
  </si>
  <si>
    <t>A2329086W</t>
  </si>
  <si>
    <t>A3604388C</t>
  </si>
  <si>
    <t>A2329041T</t>
  </si>
  <si>
    <t>A2329131W</t>
  </si>
  <si>
    <t>A2326071A</t>
  </si>
  <si>
    <t>A2326656J</t>
  </si>
  <si>
    <t>A2328591T</t>
  </si>
  <si>
    <t>A2328726R</t>
  </si>
  <si>
    <t>A2328636K</t>
  </si>
  <si>
    <t>A2328771A</t>
  </si>
  <si>
    <t>A2328681W</t>
  </si>
  <si>
    <t>A2326701J</t>
  </si>
  <si>
    <t>A2328816V</t>
  </si>
  <si>
    <t>A2331201J</t>
  </si>
  <si>
    <t>A2326611C</t>
  </si>
  <si>
    <t>A2328501A</t>
  </si>
  <si>
    <t>A2328546F</t>
  </si>
  <si>
    <t>A2331246L</t>
  </si>
  <si>
    <t>A3604423X</t>
  </si>
  <si>
    <t>A2329311F</t>
  </si>
  <si>
    <t>A3604443J</t>
  </si>
  <si>
    <t>A3604408A</t>
  </si>
  <si>
    <t>A2330211V</t>
  </si>
  <si>
    <t>A3604393W</t>
  </si>
  <si>
    <t>A2326881C</t>
  </si>
  <si>
    <t>A2329356K</t>
  </si>
  <si>
    <t>A2329401K</t>
  </si>
  <si>
    <t>A2331381C</t>
  </si>
  <si>
    <t>A2330346C</t>
  </si>
  <si>
    <t>A2330391R</t>
  </si>
  <si>
    <t>A2328456A</t>
  </si>
  <si>
    <t>A2328411W</t>
  </si>
  <si>
    <t>A2330436J</t>
  </si>
  <si>
    <t>A2330481V</t>
  </si>
  <si>
    <t>A2331426W</t>
  </si>
  <si>
    <t>A2329446R</t>
  </si>
  <si>
    <t>A2331471J</t>
  </si>
  <si>
    <t>A2331516A</t>
  </si>
  <si>
    <t>A2331561L</t>
  </si>
  <si>
    <t>A2332596F</t>
  </si>
  <si>
    <t>A3602833C</t>
  </si>
  <si>
    <t>A3602878J</t>
  </si>
  <si>
    <t>A3604453L</t>
  </si>
  <si>
    <t>A3604448V</t>
  </si>
  <si>
    <t>A2332776R</t>
  </si>
  <si>
    <t>Percent</t>
  </si>
  <si>
    <t>PERCENT</t>
  </si>
  <si>
    <t>A2325850V</t>
  </si>
  <si>
    <t>A2325895X</t>
  </si>
  <si>
    <t>A2326210R</t>
  </si>
  <si>
    <t>A2327065X</t>
  </si>
  <si>
    <t>A2327110X</t>
  </si>
  <si>
    <t>A2327155C</t>
  </si>
  <si>
    <t>A2327200C</t>
  </si>
  <si>
    <t>A2326255V</t>
  </si>
  <si>
    <t>A2327245J</t>
  </si>
  <si>
    <t>A3604362F</t>
  </si>
  <si>
    <t>A2327290V</t>
  </si>
  <si>
    <t>A2327380X</t>
  </si>
  <si>
    <t>A2327470C</t>
  </si>
  <si>
    <t>A2327515W</t>
  </si>
  <si>
    <t>A2326165R</t>
  </si>
  <si>
    <t>A2326930L</t>
  </si>
  <si>
    <t>A2326975T</t>
  </si>
  <si>
    <t>A2327020V</t>
  </si>
  <si>
    <t>A2330890J</t>
  </si>
  <si>
    <t>A2330935A</t>
  </si>
  <si>
    <t>A2330980L</t>
  </si>
  <si>
    <t>A3604367T</t>
  </si>
  <si>
    <t>A2327650L</t>
  </si>
  <si>
    <t>A2327695T</t>
  </si>
  <si>
    <t>A2329495K</t>
  </si>
  <si>
    <t>A2329540K</t>
  </si>
  <si>
    <t>A2331745F</t>
  </si>
  <si>
    <t>A2327785W</t>
  </si>
  <si>
    <t>A3604422W</t>
  </si>
  <si>
    <t>A2327740T</t>
  </si>
  <si>
    <t>A2331790T</t>
  </si>
  <si>
    <t>A2326300V</t>
  </si>
  <si>
    <t>A2327560J</t>
  </si>
  <si>
    <t>A2327605A</t>
  </si>
  <si>
    <t>A2326120K</t>
  </si>
  <si>
    <t>A2326750C</t>
  </si>
  <si>
    <t>A2328955V</t>
  </si>
  <si>
    <t>A2328910R</t>
  </si>
  <si>
    <t>A2328865R</t>
  </si>
  <si>
    <t>A2326795J</t>
  </si>
  <si>
    <t>A2329000W</t>
  </si>
  <si>
    <t>A2325940X</t>
  </si>
  <si>
    <t>A3604372K</t>
  </si>
  <si>
    <t>A2329585R</t>
  </si>
  <si>
    <t>A2329720V</t>
  </si>
  <si>
    <t>A2329765X</t>
  </si>
  <si>
    <t>A2326390K</t>
  </si>
  <si>
    <t>A2327920A</t>
  </si>
  <si>
    <t>A2327965F</t>
  </si>
  <si>
    <t>A2328010J</t>
  </si>
  <si>
    <t>A2329810X</t>
  </si>
  <si>
    <t>A2329855C</t>
  </si>
  <si>
    <t>A2328055L</t>
  </si>
  <si>
    <t>A2325985C</t>
  </si>
  <si>
    <t>A2331880W</t>
  </si>
  <si>
    <t>A2326435C</t>
  </si>
  <si>
    <t>A3604377W</t>
  </si>
  <si>
    <t>A2329945J</t>
  </si>
  <si>
    <t>A3604417C</t>
  </si>
  <si>
    <t>A2328100L</t>
  </si>
  <si>
    <t>A2329990V</t>
  </si>
  <si>
    <t>A2326525J</t>
  </si>
  <si>
    <t>A2329900C</t>
  </si>
  <si>
    <t>A2328145T</t>
  </si>
  <si>
    <t>A2331925R</t>
  </si>
  <si>
    <t>A2326030F</t>
  </si>
  <si>
    <t>A3604407X</t>
  </si>
  <si>
    <t>A2328190C</t>
  </si>
  <si>
    <t>A3604437L</t>
  </si>
  <si>
    <t>A3604432A</t>
  </si>
  <si>
    <t>A3604387A</t>
  </si>
  <si>
    <t>A2330035V</t>
  </si>
  <si>
    <t>A2328280J</t>
  </si>
  <si>
    <t>A2331025J</t>
  </si>
  <si>
    <t>A2331070V</t>
  </si>
  <si>
    <t>A2328325A</t>
  </si>
  <si>
    <t>A2330080F</t>
  </si>
  <si>
    <t>A2328370L</t>
  </si>
  <si>
    <t>A2329225K</t>
  </si>
  <si>
    <t>A2330125X</t>
  </si>
  <si>
    <t>A2330170K</t>
  </si>
  <si>
    <t>A2331610W</t>
  </si>
  <si>
    <t>A2329270W</t>
  </si>
  <si>
    <t>A2331700A</t>
  </si>
  <si>
    <t>A2331115L</t>
  </si>
  <si>
    <t>A3604442F</t>
  </si>
  <si>
    <t>A2329180T</t>
  </si>
  <si>
    <t>A2329090L</t>
  </si>
  <si>
    <t>A3604392V</t>
  </si>
  <si>
    <t>A2329045A</t>
  </si>
  <si>
    <t>A2329135F</t>
  </si>
  <si>
    <t>A2326075K</t>
  </si>
  <si>
    <t>A2326660X</t>
  </si>
  <si>
    <t>A2328595A</t>
  </si>
  <si>
    <t>A2328730F</t>
  </si>
  <si>
    <t>A2328640A</t>
  </si>
  <si>
    <t>A2328775K</t>
  </si>
  <si>
    <t>A2328685F</t>
  </si>
  <si>
    <t>A2326705T</t>
  </si>
  <si>
    <t>A2328820K</t>
  </si>
  <si>
    <t>A2331205T</t>
  </si>
  <si>
    <t>A2326615L</t>
  </si>
  <si>
    <t>A2328505K</t>
  </si>
  <si>
    <t>A2328550W</t>
  </si>
  <si>
    <t>A2331250C</t>
  </si>
  <si>
    <t>A3604427J</t>
  </si>
  <si>
    <t>A2329315R</t>
  </si>
  <si>
    <t>A3604447T</t>
  </si>
  <si>
    <t>A3604412T</t>
  </si>
  <si>
    <t>A2330215C</t>
  </si>
  <si>
    <t>A3604397F</t>
  </si>
  <si>
    <t>A2326885L</t>
  </si>
  <si>
    <t>A2329360A</t>
  </si>
  <si>
    <t>A2329405V</t>
  </si>
  <si>
    <t>A2331385L</t>
  </si>
  <si>
    <t>A2330350V</t>
  </si>
  <si>
    <t>A2330395X</t>
  </si>
  <si>
    <t>A2328460T</t>
  </si>
  <si>
    <t>Percentage Change from Previous Period ;  Veterinary and other services for pets ;  Australia ;</t>
  </si>
  <si>
    <t>Percentage Change from Previous Period ;  Sports participation ;  Australia ;</t>
  </si>
  <si>
    <t>Percentage Change from Previous Period ;  Other recreational, sporting and cultural services ;  Australia ;</t>
  </si>
  <si>
    <t>Percentage Change from Previous Period ;  Education ;  Australia ;</t>
  </si>
  <si>
    <t>Percentage Change from Previous Period ;  Preschool and primary education ;  Australia ;</t>
  </si>
  <si>
    <t>Percentage Change from Previous Period ;  Secondary education ;  Australia ;</t>
  </si>
  <si>
    <t>Percentage Change from Previous Period ;  Tertiary education ;  Australia ;</t>
  </si>
  <si>
    <t>Percentage Change from Previous Period ;  Insurance and financial services ;  Australia ;</t>
  </si>
  <si>
    <t>Percentage Change from Previous Period ;  Insurance ;  Australia ;</t>
  </si>
  <si>
    <t>Percentage Change from Previous Period ;  Financial services ;  Australia ;</t>
  </si>
  <si>
    <t>Percentage Change from Previous Period ;  Deposit and loan facilities (direct charges) ;  Australia ;</t>
  </si>
  <si>
    <t>Percentage Change from Previous Period ;  Other financial services ;  Australia ;</t>
  </si>
  <si>
    <t>Contribution to Total CPI ;  All groups CPI ;  Australia ;</t>
  </si>
  <si>
    <t>Contribution to Total CPI ;  Food and non-alcoholic beverages ;  Australia ;</t>
  </si>
  <si>
    <t>Contribution to Total CPI ;  Bread and cereal products ;  Australia ;</t>
  </si>
  <si>
    <t>Contribution to Total CPI ;  Bread ;  Australia ;</t>
  </si>
  <si>
    <t>Contribution to Total CPI ;  Cakes and biscuits ;  Australia ;</t>
  </si>
  <si>
    <t>Contribution to Total CPI ;  Breakfast cereals ;  Australia ;</t>
  </si>
  <si>
    <t>Contribution to Total CPI ;  Other cereal products ;  Australia ;</t>
  </si>
  <si>
    <t>Contribution to Total CPI ;  Meat and seafoods ;  Australia ;</t>
  </si>
  <si>
    <t>Contribution to Total CPI ;  Beef and veal ;  Australia ;</t>
  </si>
  <si>
    <t>Contribution to Total CPI ;  Pork ;  Australia ;</t>
  </si>
  <si>
    <t>Contribution to Total CPI ;  Lamb and goat ;  Australia ;</t>
  </si>
  <si>
    <t>Contribution to Total CPI ;  Poultry ;  Australia ;</t>
  </si>
  <si>
    <t>Contribution to Total CPI ;  Other meats ;  Australia ;</t>
  </si>
  <si>
    <t>Contribution to Total CPI ;  Fish and other seafood ;  Australia ;</t>
  </si>
  <si>
    <t>Contribution to Total CPI ;  Dairy and related products ;  Australia ;</t>
  </si>
  <si>
    <t>Contribution to Total CPI ;  Milk ;  Australia ;</t>
  </si>
  <si>
    <t>Contribution to Total CPI ;  Cheese ;  Australia ;</t>
  </si>
  <si>
    <t>Contribution to Total CPI ;  Ice cream and other dairy products ;  Australia ;</t>
  </si>
  <si>
    <t>Contribution to Total CPI ;  Fruit and vegetables ;  Australia ;</t>
  </si>
  <si>
    <t>Contribution to Total CPI ;  Fruit ;  Australia ;</t>
  </si>
  <si>
    <t>Contribution to Total CPI ;  Vegetables ;  Australia ;</t>
  </si>
  <si>
    <t>Contribution to Total CPI ;  Food products n.e.c. ;  Australia ;</t>
  </si>
  <si>
    <t>Contribution to Total CPI ;  Eggs ;  Australia ;</t>
  </si>
  <si>
    <t>Contribution to Total CPI ;  Jams, honey and spreads ;  Australia ;</t>
  </si>
  <si>
    <t>Contribution to Total CPI ;  Food additives and condiments ;  Australia ;</t>
  </si>
  <si>
    <t>Contribution to Total CPI ;  Oils and fats ;  Australia ;</t>
  </si>
  <si>
    <t>Contribution to Total CPI ;  Snacks and confectionery ;  Australia ;</t>
  </si>
  <si>
    <t>Contribution to Total CPI ;  Other food products n.e.c. ;  Australia ;</t>
  </si>
  <si>
    <t>Contribution to Total CPI ;  Non-alcoholic beverages ;  Australia ;</t>
  </si>
  <si>
    <t>Contribution to Total CPI ;  Coffee, tea and cocoa ;  Australia ;</t>
  </si>
  <si>
    <t>Contribution to Total CPI ;  Waters, soft drinks and juices ;  Australia ;</t>
  </si>
  <si>
    <t>Contribution to Total CPI ;  Meals out and take away foods ;  Australia ;</t>
  </si>
  <si>
    <t>Contribution to Total CPI ;  Restaurant meals ;  Australia ;</t>
  </si>
  <si>
    <t>Contribution to Total CPI ;  Take away and fast foods ;  Australia ;</t>
  </si>
  <si>
    <t>Contribution to Total CPI ;  Alcohol and tobacco ;  Australia ;</t>
  </si>
  <si>
    <t>Contribution to Total CPI ;  Alcoholic beverages ;  Australia ;</t>
  </si>
  <si>
    <t>Contribution to Total CPI ;  Spirits ;  Australia ;</t>
  </si>
  <si>
    <t>Contribution to Total CPI ;  Wine ;  Australia ;</t>
  </si>
  <si>
    <t>Contribution to Total CPI ;  Beer ;  Australia ;</t>
  </si>
  <si>
    <t>Contribution to Total CPI ;  Tobacco ;  Australia ;</t>
  </si>
  <si>
    <t>Contribution to Total CPI ;  Clothing and footwear ;  Australia ;</t>
  </si>
  <si>
    <t>Contribution to Total CPI ;  Garments ;  Australia ;</t>
  </si>
  <si>
    <t>Contribution to Total CPI ;  Garments for men ;  Australia ;</t>
  </si>
  <si>
    <t>Contribution to Total CPI ;  Garments for women ;  Australia ;</t>
  </si>
  <si>
    <t>Contribution to Total CPI ;  Garments for infants and children ;  Australia ;</t>
  </si>
  <si>
    <t>Contribution to Total CPI ;  Footwear ;  Australia ;</t>
  </si>
  <si>
    <t>Contribution to Total CPI ;  Footwear for men ;  Australia ;</t>
  </si>
  <si>
    <t>Contribution to Total CPI ;  Footwear for women ;  Australia ;</t>
  </si>
  <si>
    <t>Contribution to Total CPI ;  Footwear for infants and children ;  Australia ;</t>
  </si>
  <si>
    <t>Contribution to Total CPI ;  Accessories and clothing services ;  Australia ;</t>
  </si>
  <si>
    <t>Contribution to Total CPI ;  Accessories ;  Australia ;</t>
  </si>
  <si>
    <t>Contribution to Total CPI ;  Cleaning, repair and hire of clothing and footwear ;  Australia ;</t>
  </si>
  <si>
    <t>Contribution to Total CPI ;  Housing ;  Australia ;</t>
  </si>
  <si>
    <t>Contribution to Total CPI ;  Rents ;  Australia ;</t>
  </si>
  <si>
    <t>Contribution to Total CPI ;  New dwelling purchase by owner-occupiers ;  Australia ;</t>
  </si>
  <si>
    <t>Contribution to Total CPI ;  Other housing ;  Australia ;</t>
  </si>
  <si>
    <t>Contribution to Total CPI ;  Maintenance and repair of the dwelling ;  Australia ;</t>
  </si>
  <si>
    <t>Contribution to Total CPI ;  Property rates and charges ;  Australia ;</t>
  </si>
  <si>
    <t>Contribution to Total CPI ;  Utilities ;  Australia ;</t>
  </si>
  <si>
    <t>Contribution to Total CPI ;  Water and sewerage ;  Australia ;</t>
  </si>
  <si>
    <t>Contribution to Total CPI ;  Electricity ;  Australia ;</t>
  </si>
  <si>
    <t>Contribution to Total CPI ;  Gas and other household fuels ;  Australia ;</t>
  </si>
  <si>
    <t>Contribution to Total CPI ;  Furnishings, household equipment and services ;  Australia ;</t>
  </si>
  <si>
    <t>Contribution to Total CPI ;  Furniture and furnishings ;  Australia ;</t>
  </si>
  <si>
    <t>Contribution to Total CPI ;  Furniture ;  Australia ;</t>
  </si>
  <si>
    <t>Contribution to Total CPI ;  Carpets and other floor coverings ;  Australia ;</t>
  </si>
  <si>
    <t>Contribution to Total CPI ;  Household textiles ;  Australia ;</t>
  </si>
  <si>
    <t>Contribution to Total CPI ;  Household appliances, utensils and tools ;  Australia ;</t>
  </si>
  <si>
    <t>Contribution to Total CPI ;  Major household appliances ;  Australia ;</t>
  </si>
  <si>
    <t>Contribution to Total CPI ;  Small electric household appliances ;  Australia ;</t>
  </si>
  <si>
    <t>Contribution to Total CPI ;  Glassware, tableware and household utensils ;  Australia ;</t>
  </si>
  <si>
    <t>Contribution to Total CPI ;  Tools and equipment for house and garden ;  Australia ;</t>
  </si>
  <si>
    <t>Contribution to Total CPI ;  Non-durable household products ;  Australia ;</t>
  </si>
  <si>
    <t>Contribution to Total CPI ;  Cleaning and maintenance products ;  Australia ;</t>
  </si>
  <si>
    <t>Contribution to Total CPI ;  Personal care products ;  Australia ;</t>
  </si>
  <si>
    <t>Contribution to Total CPI ;  Other non-durable household products ;  Australia ;</t>
  </si>
  <si>
    <t>Contribution to Total CPI ;  Domestic and household services ;  Australia ;</t>
  </si>
  <si>
    <t>Contribution to Total CPI ;  Child care ;  Australia ;</t>
  </si>
  <si>
    <t>Contribution to Total CPI ;  Hairdressing and personal grooming services ;  Australia ;</t>
  </si>
  <si>
    <t>Contribution to Total CPI ;  Other household services ;  Australia ;</t>
  </si>
  <si>
    <t>Contribution to Total CPI ;  Health ;  Australia ;</t>
  </si>
  <si>
    <t>Contribution to Total CPI ;  Medical products, appliances and equipment ;  Australia ;</t>
  </si>
  <si>
    <t>Contribution to Total CPI ;  Pharmaceutical products ;  Australia ;</t>
  </si>
  <si>
    <t>Contribution to Total CPI ;  Therapeutic appliances and equipment ;  Australia ;</t>
  </si>
  <si>
    <t>Contribution to Total CPI ;  Medical, dental and hospital services ;  Australia ;</t>
  </si>
  <si>
    <t>Contribution to Total CPI ;  Medical and hospital services ;  Australia ;</t>
  </si>
  <si>
    <t>Contribution to Total CPI ;  Dental services ;  Australia ;</t>
  </si>
  <si>
    <t>Contribution to Total CPI ;  Transport ;  Australia ;</t>
  </si>
  <si>
    <t>Contribution to Total CPI ;  Private motoring ;  Australia ;</t>
  </si>
  <si>
    <t>Contribution to Total CPI ;  Motor vehicles ;  Australia ;</t>
  </si>
  <si>
    <t>Contribution to Total CPI ;  Spare parts and accessories for motor vehicles ;  Australia ;</t>
  </si>
  <si>
    <t>Contribution to Total CPI ;  Automotive fuel ;  Australia ;</t>
  </si>
  <si>
    <t>Contribution to Total CPI ;  Maintenance and repair of motor vehicles ;  Australia ;</t>
  </si>
  <si>
    <t>Contribution to Total CPI ;  Other services in respect of motor vehicles ;  Australia ;</t>
  </si>
  <si>
    <t>Contribution to Total CPI ;  Urban transport fares ;  Australia ;</t>
  </si>
  <si>
    <t>Contribution to Total CPI ;  Communication ;  Australia ;</t>
  </si>
  <si>
    <t>Contribution to Total CPI ;  Postal services ;  Australia ;</t>
  </si>
  <si>
    <t>Contribution to Total CPI ;  Telecommunication equipment and services ;  Australia ;</t>
  </si>
  <si>
    <t>Contribution to Total CPI ;  Recreation and culture ;  Australia ;</t>
  </si>
  <si>
    <t>Contribution to Total CPI ;  Audio, visual and computing equipment and services ;  Australia ;</t>
  </si>
  <si>
    <t>Contribution to Total CPI ;  Audio, visual and computing equipment ;  Australia ;</t>
  </si>
  <si>
    <t>Contribution to Total CPI ;  Audio, visual and computing media and services ;  Australia ;</t>
  </si>
  <si>
    <t>Contribution to Total CPI ;  Newspapers, books and stationery ;  Australia ;</t>
  </si>
  <si>
    <t>Contribution to Total CPI ;  Books ;  Australia ;</t>
  </si>
  <si>
    <t>Contribution to Total CPI ;  Newspapers, magazines and stationery ;  Australia ;</t>
  </si>
  <si>
    <t>Contribution to Total CPI ;  Holiday travel and accommodation ;  Australia ;</t>
  </si>
  <si>
    <t>Contribution to Total CPI ;  Domestic holiday travel and accommodation ;  Australia ;</t>
  </si>
  <si>
    <t>Contribution to Total CPI ;  International holiday travel and accommodation ;  Australia ;</t>
  </si>
  <si>
    <t>Contribution to Total CPI ;  Other recreation, sport and culture ;  Australia ;</t>
  </si>
  <si>
    <t>Contribution to Total CPI ;  Equipment for sports, camping and open-air recreation ;  Australia ;</t>
  </si>
  <si>
    <t>Contribution to Total CPI ;  Games, toys and hobbies ;  Australia ;</t>
  </si>
  <si>
    <t>Contribution to Total CPI ;  Pets and related products ;  Australia ;</t>
  </si>
  <si>
    <t>Contribution to Total CPI ;  Veterinary and other services for pets ;  Australia ;</t>
  </si>
  <si>
    <t>Contribution to Total CPI ;  Sports participation ;  Australia ;</t>
  </si>
  <si>
    <t>Contribution to Total CPI ;  Other recreational, sporting and cultural services ;  Australia ;</t>
  </si>
  <si>
    <t>Contribution to Total CPI ;  Education ;  Australia ;</t>
  </si>
  <si>
    <t>Contribution to Total CPI ;  Preschool and primary education ;  Australia ;</t>
  </si>
  <si>
    <t>Contribution to Total CPI ;  Secondary education ;  Australia ;</t>
  </si>
  <si>
    <t>Contribution to Total CPI ;  Tertiary education ;  Australia ;</t>
  </si>
  <si>
    <t>Contribution to Total CPI ;  Insurance and financial services ;  Australia ;</t>
  </si>
  <si>
    <t>Contribution to Total CPI ;  Insurance ;  Australia ;</t>
  </si>
  <si>
    <t>Contribution to Total CPI ;  Financial services ;  Australia ;</t>
  </si>
  <si>
    <t>Contribution to Total CPI ;  Deposit and loan facilities (direct charges) ;  Australia ;</t>
  </si>
  <si>
    <t>Contribution to Total CPI ;  Other financial services ;  Australia ;</t>
  </si>
  <si>
    <t>A2328415F</t>
  </si>
  <si>
    <t>A2330440X</t>
  </si>
  <si>
    <t>A2330485C</t>
  </si>
  <si>
    <t>A2331430L</t>
  </si>
  <si>
    <t>A2329450F</t>
  </si>
  <si>
    <t>A2331475T</t>
  </si>
  <si>
    <t>A2331520T</t>
  </si>
  <si>
    <t>A2331565W</t>
  </si>
  <si>
    <t>A2332600K</t>
  </si>
  <si>
    <t>A3602837L</t>
  </si>
  <si>
    <t>A3602882X</t>
  </si>
  <si>
    <t>A3604457W</t>
  </si>
  <si>
    <t>A3604452K</t>
  </si>
  <si>
    <t>A2332780F</t>
  </si>
  <si>
    <t>Index Points</t>
  </si>
  <si>
    <t>A3597525W</t>
  </si>
  <si>
    <t>A3597570J</t>
  </si>
  <si>
    <t>A3597885A</t>
  </si>
  <si>
    <t>A3598560W</t>
  </si>
  <si>
    <t>A3598605R</t>
  </si>
  <si>
    <t>A3598650A</t>
  </si>
  <si>
    <t>A3598695F</t>
  </si>
  <si>
    <t>A3597930A</t>
  </si>
  <si>
    <t>A3598740F</t>
  </si>
  <si>
    <t>A3604360A</t>
  </si>
  <si>
    <t>A3598785K</t>
  </si>
  <si>
    <t>A3598830K</t>
  </si>
  <si>
    <t>A3598875R</t>
  </si>
  <si>
    <t>A3598920R</t>
  </si>
  <si>
    <t>A3597840W</t>
  </si>
  <si>
    <t>A3598425F</t>
  </si>
  <si>
    <t>A3598470T</t>
  </si>
  <si>
    <t>A3598515K</t>
  </si>
  <si>
    <t>A3601980K</t>
  </si>
  <si>
    <t>A3602025F</t>
  </si>
  <si>
    <t>A3602070T</t>
  </si>
  <si>
    <t>A3604365L</t>
  </si>
  <si>
    <t>A3599055A</t>
  </si>
  <si>
    <t>A3599100A</t>
  </si>
  <si>
    <t>A3600765A</t>
  </si>
  <si>
    <t>A3600810A</t>
  </si>
  <si>
    <t>A3602655X</t>
  </si>
  <si>
    <t>A3599190T</t>
  </si>
  <si>
    <t>A3604420T</t>
  </si>
  <si>
    <t>A3599145F</t>
  </si>
  <si>
    <t>A3602700X</t>
  </si>
  <si>
    <t>A3597975F</t>
  </si>
  <si>
    <t>A3598965V</t>
  </si>
  <si>
    <t>A3599010W</t>
  </si>
  <si>
    <t>A3597795W</t>
  </si>
  <si>
    <t>A3598290J</t>
  </si>
  <si>
    <t>A3600225L</t>
  </si>
  <si>
    <t>A3600180V</t>
  </si>
  <si>
    <t>A3600135J</t>
  </si>
  <si>
    <t>A3598335A</t>
  </si>
  <si>
    <t>A3600270X</t>
  </si>
  <si>
    <t>A3597615A</t>
  </si>
  <si>
    <t>A3604370F</t>
  </si>
  <si>
    <t>A3600855F</t>
  </si>
  <si>
    <t>A3600900F</t>
  </si>
  <si>
    <t>A3600945K</t>
  </si>
  <si>
    <t>A3598020J</t>
  </si>
  <si>
    <t>A3599235K</t>
  </si>
  <si>
    <t>A3599280W</t>
  </si>
  <si>
    <t>A3599325R</t>
  </si>
  <si>
    <t>A3600990W</t>
  </si>
  <si>
    <t>A3601035T</t>
  </si>
  <si>
    <t>A3599370A</t>
  </si>
  <si>
    <t>A3597660L</t>
  </si>
  <si>
    <t>A3602745C</t>
  </si>
  <si>
    <t>A3598065L</t>
  </si>
  <si>
    <t>A3604375T</t>
  </si>
  <si>
    <t>A3601125W</t>
  </si>
  <si>
    <t>A3604415X</t>
  </si>
  <si>
    <t>A3599415V</t>
  </si>
  <si>
    <t>A3601170J</t>
  </si>
  <si>
    <t>A3598110L</t>
  </si>
  <si>
    <t>A3601080C</t>
  </si>
  <si>
    <t>A3599460F</t>
  </si>
  <si>
    <t>A3602790R</t>
  </si>
  <si>
    <t>A3597705F</t>
  </si>
  <si>
    <t>A3604405V</t>
  </si>
  <si>
    <t>A3599505X</t>
  </si>
  <si>
    <t>A3604435J</t>
  </si>
  <si>
    <t>A3604430W</t>
  </si>
  <si>
    <t>A3604385W</t>
  </si>
  <si>
    <t>A3601215A</t>
  </si>
  <si>
    <t>A3599550K</t>
  </si>
  <si>
    <t>A3602115K</t>
  </si>
  <si>
    <t>A3602160W</t>
  </si>
  <si>
    <t>A3599595R</t>
  </si>
  <si>
    <t>A3601260L</t>
  </si>
  <si>
    <t>A3599640R</t>
  </si>
  <si>
    <t>A3600495L</t>
  </si>
  <si>
    <t>A3601305F</t>
  </si>
  <si>
    <t>A3601350T</t>
  </si>
  <si>
    <t>A3602565V</t>
  </si>
  <si>
    <t>A3600540L</t>
  </si>
  <si>
    <t>A3602610V</t>
  </si>
  <si>
    <t>A3602205R</t>
  </si>
  <si>
    <t>A3604440A</t>
  </si>
  <si>
    <t>A3600450J</t>
  </si>
  <si>
    <t>A3600360C</t>
  </si>
  <si>
    <t>A3604390R</t>
  </si>
  <si>
    <t>A3600315T</t>
  </si>
  <si>
    <t>A3600405W</t>
  </si>
  <si>
    <t>A3597750T</t>
  </si>
  <si>
    <t>A3598200T</t>
  </si>
  <si>
    <t>A3599865C</t>
  </si>
  <si>
    <t>A3600000X</t>
  </si>
  <si>
    <t>A3599910C</t>
  </si>
  <si>
    <t>A3600045C</t>
  </si>
  <si>
    <t>A3599955J</t>
  </si>
  <si>
    <t>A3598245W</t>
  </si>
  <si>
    <t>A3600090R</t>
  </si>
  <si>
    <t>A3602250A</t>
  </si>
  <si>
    <t>A3598155T</t>
  </si>
  <si>
    <t>A3599775X</t>
  </si>
  <si>
    <t>A3599820X</t>
  </si>
  <si>
    <t>A3602295F</t>
  </si>
  <si>
    <t>A3604425C</t>
  </si>
  <si>
    <t>A3600585T</t>
  </si>
  <si>
    <t>A3604445L</t>
  </si>
  <si>
    <t>A3604410L</t>
  </si>
  <si>
    <t>A3601395W</t>
  </si>
  <si>
    <t>A3604395A</t>
  </si>
  <si>
    <t>A3598380L</t>
  </si>
  <si>
    <t>A3600630T</t>
  </si>
  <si>
    <t>A3600675W</t>
  </si>
  <si>
    <t>A3602340F</t>
  </si>
  <si>
    <t>A3601440W</t>
  </si>
  <si>
    <t>A3601485A</t>
  </si>
  <si>
    <t>A3599730V</t>
  </si>
  <si>
    <t>A3599685V</t>
  </si>
  <si>
    <t>A3601530A</t>
  </si>
  <si>
    <t>A3601575F</t>
  </si>
  <si>
    <t>A3602385K</t>
  </si>
  <si>
    <t>A3600720W</t>
  </si>
  <si>
    <t>A3602430K</t>
  </si>
  <si>
    <t>A3602475R</t>
  </si>
  <si>
    <t>A3602520R</t>
  </si>
  <si>
    <t>A3603420X</t>
  </si>
  <si>
    <t>A3602835J</t>
  </si>
  <si>
    <t>A3602880V</t>
  </si>
  <si>
    <t>A3604455T</t>
  </si>
  <si>
    <t>A3604450F</t>
  </si>
  <si>
    <t>A3603555J</t>
  </si>
  <si>
    <t>Time Series Workbook</t>
  </si>
  <si>
    <t>6401.0 Consumer Price Index, Australia</t>
  </si>
  <si>
    <t>TABLE 18. CPI: Quarterly Group, Sub-group and Expenditure Class, Weighted Average of Eight Capital Cities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</si>
  <si>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</si>
  <si>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</si>
  <si>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</si>
  <si>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</si>
  <si>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</si>
  <si>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</si>
  <si>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2026</t>
  </si>
  <si>
    <t>Energy Prices in Australia — Growth Over Time</t>
  </si>
  <si>
    <t>Source: ABS 6401.0 Consumer Price Index, Australia — Table 18 (Weighted Average of Eight Capital Cities). Reference period: Sep 2025 = 100.0.</t>
  </si>
  <si>
    <t>Series: Electricity (A2328141J, from Sep 1980) and Gas &amp; other household fuels (A2331921F, from Sep 1989). All Groups CPI (A2325846C) shown as a reference.</t>
  </si>
  <si>
    <t>Headline growth rates</t>
  </si>
  <si>
    <t>Period</t>
  </si>
  <si>
    <t>Electricity</t>
  </si>
  <si>
    <t>Gas &amp; household fuels</t>
  </si>
  <si>
    <t>All Groups CPI</t>
  </si>
  <si>
    <t>Latest year (Sep 2024 → Sep 2025)</t>
  </si>
  <si>
    <t>Last 5 years (Sep 2020 → Sep 2025) — cumulative</t>
  </si>
  <si>
    <t>Last 5 years — annualised (CAGR)</t>
  </si>
  <si>
    <t>Last 10 years (Sep 2015 → Sep 2025) — cumulative</t>
  </si>
  <si>
    <t>Last 10 years — annualised (CAGR)</t>
  </si>
  <si>
    <t>Last 20 years (Sep 2005 → Sep 2025) — cumulative</t>
  </si>
  <si>
    <t>Last 20 years — annualised (CAGR)</t>
  </si>
  <si>
    <t>Since series start — cumulative</t>
  </si>
  <si>
    <t>Since series start — annualised (CAGR)</t>
  </si>
  <si>
    <t>Quarterly index values (Sep 2025 = 100)</t>
  </si>
  <si>
    <t>Electricity YoY %</t>
  </si>
  <si>
    <t>Gas YoY %</t>
  </si>
  <si>
    <t>CPI YoY %</t>
  </si>
  <si>
    <t>Annual snapshot (September quarter each year)</t>
  </si>
  <si>
    <t>Year</t>
  </si>
  <si>
    <t>Electricity index</t>
  </si>
  <si>
    <t>Gas index</t>
  </si>
  <si>
    <t>CPI index</t>
  </si>
  <si>
    <t>Electricity annual %</t>
  </si>
  <si>
    <t>Gas annual %</t>
  </si>
  <si>
    <t>CPI annual %</t>
  </si>
  <si>
    <t>Annualised growth by decade (CAGR)</t>
  </si>
  <si>
    <t>Decade</t>
  </si>
  <si>
    <t>1980s (1980–1990)</t>
  </si>
  <si>
    <t>n/a</t>
  </si>
  <si>
    <t>1990s (1990–2000)</t>
  </si>
  <si>
    <t>2000s (2000–2010)</t>
  </si>
  <si>
    <t>2010s (2010–2020)</t>
  </si>
  <si>
    <t>2020s so far (2020–2025)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</si>
</sst>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-yyyy"/>
    <numFmt numFmtId="165" formatCode="0.00;\-0.00;0.00;@"/>
    <numFmt numFmtId="166" formatCode="0.0;\-0.0;0.0;@"/>
    <numFmt numFmtId="167" formatCode="0.0%;[Red]\(0.0%\);\-"/>
    <numFmt numFmtId="168" formatCode="mmm\ yyyy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A6A6A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3" borderId="0" xfId="0" applyFont="1" applyFill="1"/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right"/>
    </xf>
    <xf numFmtId="0" fontId="14" fillId="0" borderId="0" xfId="0" applyFont="1"/>
    <xf numFmtId="167" fontId="0" fillId="0" borderId="0" xfId="0" applyNumberFormat="1"/>
    <xf numFmtId="167" fontId="14" fillId="0" borderId="0" xfId="0" applyNumberFormat="1" applyFont="1"/>
    <xf numFmtId="168" fontId="0" fillId="0" borderId="0" xfId="0" applyNumberFormat="1"/>
    <xf numFmtId="2" fontId="0" fillId="0" borderId="0" xfId="0" applyNumberFormat="1"/>
    <xf numFmtId="0" fontId="15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price indexes vs CPI, Australia (Sep 2025 =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Prices'!$N$7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'Energy Prices'!$N$8:$N$53</c:f>
              <c:numCache>
                <c:formatCode>General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3-4FB2-A54C-D75672178197}"/>
            </c:ext>
          </c:extLst>
        </c:ser>
        <c:ser>
          <c:idx val="1"/>
          <c:order val="1"/>
          <c:tx>
            <c:strRef>
              <c:f>'Energy Prices'!$O$7</c:f>
              <c:strCache>
                <c:ptCount val="1"/>
                <c:pt idx="0">
                  <c:v>Electricity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'Energy Prices'!$O$8:$O$53</c:f>
              <c:numCache>
                <c:formatCode>0.00</c:formatCode>
                <c:ptCount val="46"/>
                <c:pt idx="0">
                  <c:v>10.53</c:v>
                </c:pt>
                <c:pt idx="1">
                  <c:v>12.31</c:v>
                </c:pt>
                <c:pt idx="2">
                  <c:v>16.53</c:v>
                </c:pt>
                <c:pt idx="3">
                  <c:v>17.88</c:v>
                </c:pt>
                <c:pt idx="4">
                  <c:v>18.39</c:v>
                </c:pt>
                <c:pt idx="5">
                  <c:v>19.54</c:v>
                </c:pt>
                <c:pt idx="6">
                  <c:v>20.75</c:v>
                </c:pt>
                <c:pt idx="7">
                  <c:v>22.07</c:v>
                </c:pt>
                <c:pt idx="8">
                  <c:v>23.23</c:v>
                </c:pt>
                <c:pt idx="9">
                  <c:v>24.12</c:v>
                </c:pt>
                <c:pt idx="10">
                  <c:v>25.3</c:v>
                </c:pt>
                <c:pt idx="11">
                  <c:v>26.53</c:v>
                </c:pt>
                <c:pt idx="12">
                  <c:v>27.64</c:v>
                </c:pt>
                <c:pt idx="13">
                  <c:v>28.24</c:v>
                </c:pt>
                <c:pt idx="14">
                  <c:v>28.26</c:v>
                </c:pt>
                <c:pt idx="15">
                  <c:v>28.34</c:v>
                </c:pt>
                <c:pt idx="16">
                  <c:v>28.7</c:v>
                </c:pt>
                <c:pt idx="17">
                  <c:v>28.94</c:v>
                </c:pt>
                <c:pt idx="18">
                  <c:v>27.95</c:v>
                </c:pt>
                <c:pt idx="19">
                  <c:v>28.26</c:v>
                </c:pt>
                <c:pt idx="20">
                  <c:v>31.4</c:v>
                </c:pt>
                <c:pt idx="21">
                  <c:v>32.5</c:v>
                </c:pt>
                <c:pt idx="22">
                  <c:v>33.36</c:v>
                </c:pt>
                <c:pt idx="23">
                  <c:v>35.07</c:v>
                </c:pt>
                <c:pt idx="24">
                  <c:v>36.04</c:v>
                </c:pt>
                <c:pt idx="25">
                  <c:v>37.020000000000003</c:v>
                </c:pt>
                <c:pt idx="26">
                  <c:v>38.130000000000003</c:v>
                </c:pt>
                <c:pt idx="27">
                  <c:v>40.32</c:v>
                </c:pt>
                <c:pt idx="28">
                  <c:v>44.42</c:v>
                </c:pt>
                <c:pt idx="29">
                  <c:v>51.39</c:v>
                </c:pt>
                <c:pt idx="30">
                  <c:v>57.84</c:v>
                </c:pt>
                <c:pt idx="31">
                  <c:v>64.87</c:v>
                </c:pt>
                <c:pt idx="32">
                  <c:v>76.349999999999994</c:v>
                </c:pt>
                <c:pt idx="33">
                  <c:v>81.17</c:v>
                </c:pt>
                <c:pt idx="34">
                  <c:v>77.510000000000005</c:v>
                </c:pt>
                <c:pt idx="35">
                  <c:v>77.45</c:v>
                </c:pt>
                <c:pt idx="36">
                  <c:v>81.150000000000006</c:v>
                </c:pt>
                <c:pt idx="37">
                  <c:v>91.25</c:v>
                </c:pt>
                <c:pt idx="38">
                  <c:v>92.86</c:v>
                </c:pt>
                <c:pt idx="39">
                  <c:v>89.63</c:v>
                </c:pt>
                <c:pt idx="40">
                  <c:v>81.349999999999994</c:v>
                </c:pt>
                <c:pt idx="41">
                  <c:v>83.78</c:v>
                </c:pt>
                <c:pt idx="42">
                  <c:v>93.55</c:v>
                </c:pt>
                <c:pt idx="43">
                  <c:v>99.98</c:v>
                </c:pt>
                <c:pt idx="44">
                  <c:v>74.760000000000005</c:v>
                </c:pt>
                <c:pt idx="45">
                  <c:v>93.88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3-4FB2-A54C-D75672178197}"/>
            </c:ext>
          </c:extLst>
        </c:ser>
        <c:ser>
          <c:idx val="2"/>
          <c:order val="2"/>
          <c:tx>
            <c:strRef>
              <c:f>'Energy Prices'!$P$7</c:f>
              <c:strCache>
                <c:ptCount val="1"/>
                <c:pt idx="0">
                  <c:v>Gas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'Energy Prices'!$P$8:$P$53</c:f>
              <c:numCache>
                <c:formatCode>0.00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17.239999999999998</c:v>
                </c:pt>
                <c:pt idx="10">
                  <c:v>18.46</c:v>
                </c:pt>
                <c:pt idx="11">
                  <c:v>19.149999999999999</c:v>
                </c:pt>
                <c:pt idx="12">
                  <c:v>19.829999999999998</c:v>
                </c:pt>
                <c:pt idx="13">
                  <c:v>20.62</c:v>
                </c:pt>
                <c:pt idx="14">
                  <c:v>21.1</c:v>
                </c:pt>
                <c:pt idx="15">
                  <c:v>21.48</c:v>
                </c:pt>
                <c:pt idx="16">
                  <c:v>21.95</c:v>
                </c:pt>
                <c:pt idx="17">
                  <c:v>22.36</c:v>
                </c:pt>
                <c:pt idx="18">
                  <c:v>22.36</c:v>
                </c:pt>
                <c:pt idx="19">
                  <c:v>21.9</c:v>
                </c:pt>
                <c:pt idx="20">
                  <c:v>24.12</c:v>
                </c:pt>
                <c:pt idx="21">
                  <c:v>24.41</c:v>
                </c:pt>
                <c:pt idx="22">
                  <c:v>25.81</c:v>
                </c:pt>
                <c:pt idx="23">
                  <c:v>27.66</c:v>
                </c:pt>
                <c:pt idx="24">
                  <c:v>29.43</c:v>
                </c:pt>
                <c:pt idx="25">
                  <c:v>30.89</c:v>
                </c:pt>
                <c:pt idx="26">
                  <c:v>32.33</c:v>
                </c:pt>
                <c:pt idx="27">
                  <c:v>33.65</c:v>
                </c:pt>
                <c:pt idx="28">
                  <c:v>36.880000000000003</c:v>
                </c:pt>
                <c:pt idx="29">
                  <c:v>40.21</c:v>
                </c:pt>
                <c:pt idx="30">
                  <c:v>43.06</c:v>
                </c:pt>
                <c:pt idx="31">
                  <c:v>45.97</c:v>
                </c:pt>
                <c:pt idx="32">
                  <c:v>53.91</c:v>
                </c:pt>
                <c:pt idx="33">
                  <c:v>56.93</c:v>
                </c:pt>
                <c:pt idx="34">
                  <c:v>58.35</c:v>
                </c:pt>
                <c:pt idx="35">
                  <c:v>58.92</c:v>
                </c:pt>
                <c:pt idx="36">
                  <c:v>60.06</c:v>
                </c:pt>
                <c:pt idx="37">
                  <c:v>64.709999999999994</c:v>
                </c:pt>
                <c:pt idx="38">
                  <c:v>66.790000000000006</c:v>
                </c:pt>
                <c:pt idx="39">
                  <c:v>67.73</c:v>
                </c:pt>
                <c:pt idx="40">
                  <c:v>65.98</c:v>
                </c:pt>
                <c:pt idx="41">
                  <c:v>67.69</c:v>
                </c:pt>
                <c:pt idx="42">
                  <c:v>79.45</c:v>
                </c:pt>
                <c:pt idx="43">
                  <c:v>90.1</c:v>
                </c:pt>
                <c:pt idx="44">
                  <c:v>94.2</c:v>
                </c:pt>
                <c:pt idx="45">
                  <c:v>98.52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43-4FB2-A54C-D75672178197}"/>
            </c:ext>
          </c:extLst>
        </c:ser>
        <c:ser>
          <c:idx val="3"/>
          <c:order val="3"/>
          <c:tx>
            <c:strRef>
              <c:f>'Energy Prices'!$Q$7</c:f>
              <c:strCache>
                <c:ptCount val="1"/>
                <c:pt idx="0">
                  <c:v>CPI index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'Energy Prices'!$Q$8:$Q$53</c:f>
              <c:numCache>
                <c:formatCode>0.00</c:formatCode>
                <c:ptCount val="46"/>
                <c:pt idx="0">
                  <c:v>18.87</c:v>
                </c:pt>
                <c:pt idx="1">
                  <c:v>20.99</c:v>
                </c:pt>
                <c:pt idx="2">
                  <c:v>23.31</c:v>
                </c:pt>
                <c:pt idx="3">
                  <c:v>25.32</c:v>
                </c:pt>
                <c:pt idx="4">
                  <c:v>25.98</c:v>
                </c:pt>
                <c:pt idx="5">
                  <c:v>28.11</c:v>
                </c:pt>
                <c:pt idx="6">
                  <c:v>30.85</c:v>
                </c:pt>
                <c:pt idx="7">
                  <c:v>33.049999999999997</c:v>
                </c:pt>
                <c:pt idx="8">
                  <c:v>35.57</c:v>
                </c:pt>
                <c:pt idx="9">
                  <c:v>38.35</c:v>
                </c:pt>
                <c:pt idx="10">
                  <c:v>40.98</c:v>
                </c:pt>
                <c:pt idx="11">
                  <c:v>41.6</c:v>
                </c:pt>
                <c:pt idx="12">
                  <c:v>41.71</c:v>
                </c:pt>
                <c:pt idx="13">
                  <c:v>42.53</c:v>
                </c:pt>
                <c:pt idx="14">
                  <c:v>43.61</c:v>
                </c:pt>
                <c:pt idx="15">
                  <c:v>45.81</c:v>
                </c:pt>
                <c:pt idx="16">
                  <c:v>46.51</c:v>
                </c:pt>
                <c:pt idx="17">
                  <c:v>46.39</c:v>
                </c:pt>
                <c:pt idx="18">
                  <c:v>47.11</c:v>
                </c:pt>
                <c:pt idx="19">
                  <c:v>47.97</c:v>
                </c:pt>
                <c:pt idx="20">
                  <c:v>50.76</c:v>
                </c:pt>
                <c:pt idx="21">
                  <c:v>52.35</c:v>
                </c:pt>
                <c:pt idx="22">
                  <c:v>53.92</c:v>
                </c:pt>
                <c:pt idx="23">
                  <c:v>55.22</c:v>
                </c:pt>
                <c:pt idx="24">
                  <c:v>56.63</c:v>
                </c:pt>
                <c:pt idx="25">
                  <c:v>58.22</c:v>
                </c:pt>
                <c:pt idx="26">
                  <c:v>60.11</c:v>
                </c:pt>
                <c:pt idx="27">
                  <c:v>61.89</c:v>
                </c:pt>
                <c:pt idx="28">
                  <c:v>64.16</c:v>
                </c:pt>
                <c:pt idx="29">
                  <c:v>65.510000000000005</c:v>
                </c:pt>
                <c:pt idx="30">
                  <c:v>67.260000000000005</c:v>
                </c:pt>
                <c:pt idx="31">
                  <c:v>69.34</c:v>
                </c:pt>
                <c:pt idx="32">
                  <c:v>70.87</c:v>
                </c:pt>
                <c:pt idx="33">
                  <c:v>72.77</c:v>
                </c:pt>
                <c:pt idx="34">
                  <c:v>74.02</c:v>
                </c:pt>
                <c:pt idx="35">
                  <c:v>75.27</c:v>
                </c:pt>
                <c:pt idx="36">
                  <c:v>76.38</c:v>
                </c:pt>
                <c:pt idx="37">
                  <c:v>77.87</c:v>
                </c:pt>
                <c:pt idx="38">
                  <c:v>79.239999999999995</c:v>
                </c:pt>
                <c:pt idx="39">
                  <c:v>80.7</c:v>
                </c:pt>
                <c:pt idx="40">
                  <c:v>81.400000000000006</c:v>
                </c:pt>
                <c:pt idx="41">
                  <c:v>84.23</c:v>
                </c:pt>
                <c:pt idx="42">
                  <c:v>90.85</c:v>
                </c:pt>
                <c:pt idx="43">
                  <c:v>94.53</c:v>
                </c:pt>
                <c:pt idx="44">
                  <c:v>96.81</c:v>
                </c:pt>
                <c:pt idx="45">
                  <c:v>100.32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43-4FB2-A54C-D75672178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852528"/>
        <c:axId val="1936493280"/>
      </c:lineChart>
      <c:catAx>
        <c:axId val="181285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 (Sep quarter)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93280"/>
        <c:crosses val="autoZero"/>
        <c:auto val="1"/>
        <c:lblAlgn val="ctr"/>
        <c:lblOffset val="100"/>
        <c:noMultiLvlLbl val="0"/>
      </c:catAx>
      <c:valAx>
        <c:axId val="19364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(Sep 2025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5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price indexes vs CPI, Australia (Sep 2025 =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'Energy Prices'!$O$7</c:f>
              <c:strCache>
                <c:ptCount val="1"/>
                <c:pt idx="0">
                  <c:v>Electricity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Prices'!$N$8:$N$53</c:f>
              <c:numCache>
                <c:formatCode>General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'Energy Prices'!$O$8:$O$53</c:f>
              <c:numCache>
                <c:formatCode>0.00</c:formatCode>
                <c:ptCount val="46"/>
                <c:pt idx="0">
                  <c:v>10.53</c:v>
                </c:pt>
                <c:pt idx="1">
                  <c:v>12.31</c:v>
                </c:pt>
                <c:pt idx="2">
                  <c:v>16.53</c:v>
                </c:pt>
                <c:pt idx="3">
                  <c:v>17.88</c:v>
                </c:pt>
                <c:pt idx="4">
                  <c:v>18.39</c:v>
                </c:pt>
                <c:pt idx="5">
                  <c:v>19.54</c:v>
                </c:pt>
                <c:pt idx="6">
                  <c:v>20.75</c:v>
                </c:pt>
                <c:pt idx="7">
                  <c:v>22.07</c:v>
                </c:pt>
                <c:pt idx="8">
                  <c:v>23.23</c:v>
                </c:pt>
                <c:pt idx="9">
                  <c:v>24.12</c:v>
                </c:pt>
                <c:pt idx="10">
                  <c:v>25.3</c:v>
                </c:pt>
                <c:pt idx="11">
                  <c:v>26.53</c:v>
                </c:pt>
                <c:pt idx="12">
                  <c:v>27.64</c:v>
                </c:pt>
                <c:pt idx="13">
                  <c:v>28.24</c:v>
                </c:pt>
                <c:pt idx="14">
                  <c:v>28.26</c:v>
                </c:pt>
                <c:pt idx="15">
                  <c:v>28.34</c:v>
                </c:pt>
                <c:pt idx="16">
                  <c:v>28.7</c:v>
                </c:pt>
                <c:pt idx="17">
                  <c:v>28.94</c:v>
                </c:pt>
                <c:pt idx="18">
                  <c:v>27.95</c:v>
                </c:pt>
                <c:pt idx="19">
                  <c:v>28.26</c:v>
                </c:pt>
                <c:pt idx="20">
                  <c:v>31.4</c:v>
                </c:pt>
                <c:pt idx="21">
                  <c:v>32.5</c:v>
                </c:pt>
                <c:pt idx="22">
                  <c:v>33.36</c:v>
                </c:pt>
                <c:pt idx="23">
                  <c:v>35.07</c:v>
                </c:pt>
                <c:pt idx="24">
                  <c:v>36.04</c:v>
                </c:pt>
                <c:pt idx="25">
                  <c:v>37.020000000000003</c:v>
                </c:pt>
                <c:pt idx="26">
                  <c:v>38.130000000000003</c:v>
                </c:pt>
                <c:pt idx="27">
                  <c:v>40.32</c:v>
                </c:pt>
                <c:pt idx="28">
                  <c:v>44.42</c:v>
                </c:pt>
                <c:pt idx="29">
                  <c:v>51.39</c:v>
                </c:pt>
                <c:pt idx="30">
                  <c:v>57.84</c:v>
                </c:pt>
                <c:pt idx="31">
                  <c:v>64.87</c:v>
                </c:pt>
                <c:pt idx="32">
                  <c:v>76.349999999999994</c:v>
                </c:pt>
                <c:pt idx="33">
                  <c:v>81.17</c:v>
                </c:pt>
                <c:pt idx="34">
                  <c:v>77.510000000000005</c:v>
                </c:pt>
                <c:pt idx="35">
                  <c:v>77.45</c:v>
                </c:pt>
                <c:pt idx="36">
                  <c:v>81.150000000000006</c:v>
                </c:pt>
                <c:pt idx="37">
                  <c:v>91.25</c:v>
                </c:pt>
                <c:pt idx="38">
                  <c:v>92.86</c:v>
                </c:pt>
                <c:pt idx="39">
                  <c:v>89.63</c:v>
                </c:pt>
                <c:pt idx="40">
                  <c:v>81.349999999999994</c:v>
                </c:pt>
                <c:pt idx="41">
                  <c:v>83.78</c:v>
                </c:pt>
                <c:pt idx="42">
                  <c:v>93.55</c:v>
                </c:pt>
                <c:pt idx="43">
                  <c:v>99.98</c:v>
                </c:pt>
                <c:pt idx="44">
                  <c:v>74.760000000000005</c:v>
                </c:pt>
                <c:pt idx="45">
                  <c:v>93.88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25-4716-B86F-4B4A350683F7}"/>
            </c:ext>
          </c:extLst>
        </c:ser>
        <c:ser>
          <c:idx val="2"/>
          <c:order val="1"/>
          <c:tx>
            <c:strRef>
              <c:f>'Energy Prices'!$P$7</c:f>
              <c:strCache>
                <c:ptCount val="1"/>
                <c:pt idx="0">
                  <c:v>Gas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Prices'!$N$8:$N$53</c:f>
              <c:numCache>
                <c:formatCode>General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'Energy Prices'!$P$8:$P$53</c:f>
              <c:numCache>
                <c:formatCode>0.00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17.239999999999998</c:v>
                </c:pt>
                <c:pt idx="10">
                  <c:v>18.46</c:v>
                </c:pt>
                <c:pt idx="11">
                  <c:v>19.149999999999999</c:v>
                </c:pt>
                <c:pt idx="12">
                  <c:v>19.829999999999998</c:v>
                </c:pt>
                <c:pt idx="13">
                  <c:v>20.62</c:v>
                </c:pt>
                <c:pt idx="14">
                  <c:v>21.1</c:v>
                </c:pt>
                <c:pt idx="15">
                  <c:v>21.48</c:v>
                </c:pt>
                <c:pt idx="16">
                  <c:v>21.95</c:v>
                </c:pt>
                <c:pt idx="17">
                  <c:v>22.36</c:v>
                </c:pt>
                <c:pt idx="18">
                  <c:v>22.36</c:v>
                </c:pt>
                <c:pt idx="19">
                  <c:v>21.9</c:v>
                </c:pt>
                <c:pt idx="20">
                  <c:v>24.12</c:v>
                </c:pt>
                <c:pt idx="21">
                  <c:v>24.41</c:v>
                </c:pt>
                <c:pt idx="22">
                  <c:v>25.81</c:v>
                </c:pt>
                <c:pt idx="23">
                  <c:v>27.66</c:v>
                </c:pt>
                <c:pt idx="24">
                  <c:v>29.43</c:v>
                </c:pt>
                <c:pt idx="25">
                  <c:v>30.89</c:v>
                </c:pt>
                <c:pt idx="26">
                  <c:v>32.33</c:v>
                </c:pt>
                <c:pt idx="27">
                  <c:v>33.65</c:v>
                </c:pt>
                <c:pt idx="28">
                  <c:v>36.880000000000003</c:v>
                </c:pt>
                <c:pt idx="29">
                  <c:v>40.21</c:v>
                </c:pt>
                <c:pt idx="30">
                  <c:v>43.06</c:v>
                </c:pt>
                <c:pt idx="31">
                  <c:v>45.97</c:v>
                </c:pt>
                <c:pt idx="32">
                  <c:v>53.91</c:v>
                </c:pt>
                <c:pt idx="33">
                  <c:v>56.93</c:v>
                </c:pt>
                <c:pt idx="34">
                  <c:v>58.35</c:v>
                </c:pt>
                <c:pt idx="35">
                  <c:v>58.92</c:v>
                </c:pt>
                <c:pt idx="36">
                  <c:v>60.06</c:v>
                </c:pt>
                <c:pt idx="37">
                  <c:v>64.709999999999994</c:v>
                </c:pt>
                <c:pt idx="38">
                  <c:v>66.790000000000006</c:v>
                </c:pt>
                <c:pt idx="39">
                  <c:v>67.73</c:v>
                </c:pt>
                <c:pt idx="40">
                  <c:v>65.98</c:v>
                </c:pt>
                <c:pt idx="41">
                  <c:v>67.69</c:v>
                </c:pt>
                <c:pt idx="42">
                  <c:v>79.45</c:v>
                </c:pt>
                <c:pt idx="43">
                  <c:v>90.1</c:v>
                </c:pt>
                <c:pt idx="44">
                  <c:v>94.2</c:v>
                </c:pt>
                <c:pt idx="45">
                  <c:v>98.52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25-4716-B86F-4B4A350683F7}"/>
            </c:ext>
          </c:extLst>
        </c:ser>
        <c:ser>
          <c:idx val="3"/>
          <c:order val="2"/>
          <c:tx>
            <c:strRef>
              <c:f>'Energy Prices'!$Q$7</c:f>
              <c:strCache>
                <c:ptCount val="1"/>
                <c:pt idx="0">
                  <c:v>CPI index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Prices'!$N$8:$N$53</c:f>
              <c:numCache>
                <c:formatCode>General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'Energy Prices'!$Q$8:$Q$53</c:f>
              <c:numCache>
                <c:formatCode>0.00</c:formatCode>
                <c:ptCount val="46"/>
                <c:pt idx="0">
                  <c:v>18.87</c:v>
                </c:pt>
                <c:pt idx="1">
                  <c:v>20.99</c:v>
                </c:pt>
                <c:pt idx="2">
                  <c:v>23.31</c:v>
                </c:pt>
                <c:pt idx="3">
                  <c:v>25.32</c:v>
                </c:pt>
                <c:pt idx="4">
                  <c:v>25.98</c:v>
                </c:pt>
                <c:pt idx="5">
                  <c:v>28.11</c:v>
                </c:pt>
                <c:pt idx="6">
                  <c:v>30.85</c:v>
                </c:pt>
                <c:pt idx="7">
                  <c:v>33.049999999999997</c:v>
                </c:pt>
                <c:pt idx="8">
                  <c:v>35.57</c:v>
                </c:pt>
                <c:pt idx="9">
                  <c:v>38.35</c:v>
                </c:pt>
                <c:pt idx="10">
                  <c:v>40.98</c:v>
                </c:pt>
                <c:pt idx="11">
                  <c:v>41.6</c:v>
                </c:pt>
                <c:pt idx="12">
                  <c:v>41.71</c:v>
                </c:pt>
                <c:pt idx="13">
                  <c:v>42.53</c:v>
                </c:pt>
                <c:pt idx="14">
                  <c:v>43.61</c:v>
                </c:pt>
                <c:pt idx="15">
                  <c:v>45.81</c:v>
                </c:pt>
                <c:pt idx="16">
                  <c:v>46.51</c:v>
                </c:pt>
                <c:pt idx="17">
                  <c:v>46.39</c:v>
                </c:pt>
                <c:pt idx="18">
                  <c:v>47.11</c:v>
                </c:pt>
                <c:pt idx="19">
                  <c:v>47.97</c:v>
                </c:pt>
                <c:pt idx="20">
                  <c:v>50.76</c:v>
                </c:pt>
                <c:pt idx="21">
                  <c:v>52.35</c:v>
                </c:pt>
                <c:pt idx="22">
                  <c:v>53.92</c:v>
                </c:pt>
                <c:pt idx="23">
                  <c:v>55.22</c:v>
                </c:pt>
                <c:pt idx="24">
                  <c:v>56.63</c:v>
                </c:pt>
                <c:pt idx="25">
                  <c:v>58.22</c:v>
                </c:pt>
                <c:pt idx="26">
                  <c:v>60.11</c:v>
                </c:pt>
                <c:pt idx="27">
                  <c:v>61.89</c:v>
                </c:pt>
                <c:pt idx="28">
                  <c:v>64.16</c:v>
                </c:pt>
                <c:pt idx="29">
                  <c:v>65.510000000000005</c:v>
                </c:pt>
                <c:pt idx="30">
                  <c:v>67.260000000000005</c:v>
                </c:pt>
                <c:pt idx="31">
                  <c:v>69.34</c:v>
                </c:pt>
                <c:pt idx="32">
                  <c:v>70.87</c:v>
                </c:pt>
                <c:pt idx="33">
                  <c:v>72.77</c:v>
                </c:pt>
                <c:pt idx="34">
                  <c:v>74.02</c:v>
                </c:pt>
                <c:pt idx="35">
                  <c:v>75.27</c:v>
                </c:pt>
                <c:pt idx="36">
                  <c:v>76.38</c:v>
                </c:pt>
                <c:pt idx="37">
                  <c:v>77.87</c:v>
                </c:pt>
                <c:pt idx="38">
                  <c:v>79.239999999999995</c:v>
                </c:pt>
                <c:pt idx="39">
                  <c:v>80.7</c:v>
                </c:pt>
                <c:pt idx="40">
                  <c:v>81.400000000000006</c:v>
                </c:pt>
                <c:pt idx="41">
                  <c:v>84.23</c:v>
                </c:pt>
                <c:pt idx="42">
                  <c:v>90.85</c:v>
                </c:pt>
                <c:pt idx="43">
                  <c:v>94.53</c:v>
                </c:pt>
                <c:pt idx="44">
                  <c:v>96.81</c:v>
                </c:pt>
                <c:pt idx="45">
                  <c:v>100.32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25-4716-B86F-4B4A35068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285968"/>
        <c:axId val="1936482720"/>
      </c:lineChart>
      <c:catAx>
        <c:axId val="201828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 (Sep quarter)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82720"/>
        <c:crosses val="autoZero"/>
        <c:auto val="1"/>
        <c:lblAlgn val="ctr"/>
        <c:lblOffset val="100"/>
        <c:noMultiLvlLbl val="0"/>
      </c:catAx>
      <c:valAx>
        <c:axId val="193648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(Sep 2025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8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Year-on-year growth in energy prices vs CPI (quarterly)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Prices'!$W$7</c:f>
              <c:strCache>
                <c:ptCount val="1"/>
                <c:pt idx="0">
                  <c:v>Electricity YoY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Prices'!$V$8:$V$189</c:f>
              <c:numCache>
                <c:formatCode>mmm\ yyyy</c:formatCode>
                <c:ptCount val="182"/>
                <c:pt idx="0">
                  <c:v>29465</c:v>
                </c:pt>
                <c:pt idx="1">
                  <c:v>29556</c:v>
                </c:pt>
                <c:pt idx="2">
                  <c:v>29646</c:v>
                </c:pt>
                <c:pt idx="3">
                  <c:v>29738</c:v>
                </c:pt>
                <c:pt idx="4">
                  <c:v>29830</c:v>
                </c:pt>
                <c:pt idx="5">
                  <c:v>29921</c:v>
                </c:pt>
                <c:pt idx="6">
                  <c:v>30011</c:v>
                </c:pt>
                <c:pt idx="7">
                  <c:v>30103</c:v>
                </c:pt>
                <c:pt idx="8">
                  <c:v>30195</c:v>
                </c:pt>
                <c:pt idx="9">
                  <c:v>30286</c:v>
                </c:pt>
                <c:pt idx="10">
                  <c:v>30376</c:v>
                </c:pt>
                <c:pt idx="11">
                  <c:v>30468</c:v>
                </c:pt>
                <c:pt idx="12">
                  <c:v>30560</c:v>
                </c:pt>
                <c:pt idx="13">
                  <c:v>30651</c:v>
                </c:pt>
                <c:pt idx="14">
                  <c:v>30742</c:v>
                </c:pt>
                <c:pt idx="15">
                  <c:v>30834</c:v>
                </c:pt>
                <c:pt idx="16">
                  <c:v>30926</c:v>
                </c:pt>
                <c:pt idx="17">
                  <c:v>31017</c:v>
                </c:pt>
                <c:pt idx="18">
                  <c:v>31107</c:v>
                </c:pt>
                <c:pt idx="19">
                  <c:v>31199</c:v>
                </c:pt>
                <c:pt idx="20">
                  <c:v>31291</c:v>
                </c:pt>
                <c:pt idx="21">
                  <c:v>31382</c:v>
                </c:pt>
                <c:pt idx="22">
                  <c:v>31472</c:v>
                </c:pt>
                <c:pt idx="23">
                  <c:v>31564</c:v>
                </c:pt>
                <c:pt idx="24">
                  <c:v>31656</c:v>
                </c:pt>
                <c:pt idx="25">
                  <c:v>31747</c:v>
                </c:pt>
                <c:pt idx="26">
                  <c:v>31837</c:v>
                </c:pt>
                <c:pt idx="27">
                  <c:v>31929</c:v>
                </c:pt>
                <c:pt idx="28">
                  <c:v>32021</c:v>
                </c:pt>
                <c:pt idx="29">
                  <c:v>32112</c:v>
                </c:pt>
                <c:pt idx="30">
                  <c:v>32203</c:v>
                </c:pt>
                <c:pt idx="31">
                  <c:v>32295</c:v>
                </c:pt>
                <c:pt idx="32">
                  <c:v>32387</c:v>
                </c:pt>
                <c:pt idx="33">
                  <c:v>32478</c:v>
                </c:pt>
                <c:pt idx="34">
                  <c:v>32568</c:v>
                </c:pt>
                <c:pt idx="35">
                  <c:v>32660</c:v>
                </c:pt>
                <c:pt idx="36">
                  <c:v>32752</c:v>
                </c:pt>
                <c:pt idx="37">
                  <c:v>32843</c:v>
                </c:pt>
                <c:pt idx="38">
                  <c:v>32933</c:v>
                </c:pt>
                <c:pt idx="39">
                  <c:v>33025</c:v>
                </c:pt>
                <c:pt idx="40">
                  <c:v>33117</c:v>
                </c:pt>
                <c:pt idx="41">
                  <c:v>33208</c:v>
                </c:pt>
                <c:pt idx="42">
                  <c:v>33298</c:v>
                </c:pt>
                <c:pt idx="43">
                  <c:v>33390</c:v>
                </c:pt>
                <c:pt idx="44">
                  <c:v>33482</c:v>
                </c:pt>
                <c:pt idx="45">
                  <c:v>33573</c:v>
                </c:pt>
                <c:pt idx="46">
                  <c:v>33664</c:v>
                </c:pt>
                <c:pt idx="47">
                  <c:v>33756</c:v>
                </c:pt>
                <c:pt idx="48">
                  <c:v>33848</c:v>
                </c:pt>
                <c:pt idx="49">
                  <c:v>33939</c:v>
                </c:pt>
                <c:pt idx="50">
                  <c:v>34029</c:v>
                </c:pt>
                <c:pt idx="51">
                  <c:v>34121</c:v>
                </c:pt>
                <c:pt idx="52">
                  <c:v>34213</c:v>
                </c:pt>
                <c:pt idx="53">
                  <c:v>34304</c:v>
                </c:pt>
                <c:pt idx="54">
                  <c:v>34394</c:v>
                </c:pt>
                <c:pt idx="55">
                  <c:v>34486</c:v>
                </c:pt>
                <c:pt idx="56">
                  <c:v>34578</c:v>
                </c:pt>
                <c:pt idx="57">
                  <c:v>34669</c:v>
                </c:pt>
                <c:pt idx="58">
                  <c:v>34759</c:v>
                </c:pt>
                <c:pt idx="59">
                  <c:v>34851</c:v>
                </c:pt>
                <c:pt idx="60">
                  <c:v>34943</c:v>
                </c:pt>
                <c:pt idx="61">
                  <c:v>35034</c:v>
                </c:pt>
                <c:pt idx="62">
                  <c:v>35125</c:v>
                </c:pt>
                <c:pt idx="63">
                  <c:v>35217</c:v>
                </c:pt>
                <c:pt idx="64">
                  <c:v>35309</c:v>
                </c:pt>
                <c:pt idx="65">
                  <c:v>35400</c:v>
                </c:pt>
                <c:pt idx="66">
                  <c:v>35490</c:v>
                </c:pt>
                <c:pt idx="67">
                  <c:v>35582</c:v>
                </c:pt>
                <c:pt idx="68">
                  <c:v>35674</c:v>
                </c:pt>
                <c:pt idx="69">
                  <c:v>35765</c:v>
                </c:pt>
                <c:pt idx="70">
                  <c:v>35855</c:v>
                </c:pt>
                <c:pt idx="71">
                  <c:v>35947</c:v>
                </c:pt>
                <c:pt idx="72">
                  <c:v>36039</c:v>
                </c:pt>
                <c:pt idx="73">
                  <c:v>36130</c:v>
                </c:pt>
                <c:pt idx="74">
                  <c:v>36220</c:v>
                </c:pt>
                <c:pt idx="75">
                  <c:v>36312</c:v>
                </c:pt>
                <c:pt idx="76">
                  <c:v>36404</c:v>
                </c:pt>
                <c:pt idx="77">
                  <c:v>36495</c:v>
                </c:pt>
                <c:pt idx="78">
                  <c:v>36586</c:v>
                </c:pt>
                <c:pt idx="79">
                  <c:v>36678</c:v>
                </c:pt>
                <c:pt idx="80">
                  <c:v>36770</c:v>
                </c:pt>
                <c:pt idx="81">
                  <c:v>36861</c:v>
                </c:pt>
                <c:pt idx="82">
                  <c:v>36951</c:v>
                </c:pt>
                <c:pt idx="83">
                  <c:v>37043</c:v>
                </c:pt>
                <c:pt idx="84">
                  <c:v>37135</c:v>
                </c:pt>
                <c:pt idx="85">
                  <c:v>37226</c:v>
                </c:pt>
                <c:pt idx="86">
                  <c:v>37316</c:v>
                </c:pt>
                <c:pt idx="87">
                  <c:v>37408</c:v>
                </c:pt>
                <c:pt idx="88">
                  <c:v>37500</c:v>
                </c:pt>
                <c:pt idx="89">
                  <c:v>37591</c:v>
                </c:pt>
                <c:pt idx="90">
                  <c:v>37681</c:v>
                </c:pt>
                <c:pt idx="91">
                  <c:v>37773</c:v>
                </c:pt>
                <c:pt idx="92">
                  <c:v>37865</c:v>
                </c:pt>
                <c:pt idx="93">
                  <c:v>37956</c:v>
                </c:pt>
                <c:pt idx="94">
                  <c:v>38047</c:v>
                </c:pt>
                <c:pt idx="95">
                  <c:v>38139</c:v>
                </c:pt>
                <c:pt idx="96">
                  <c:v>38231</c:v>
                </c:pt>
                <c:pt idx="97">
                  <c:v>38322</c:v>
                </c:pt>
                <c:pt idx="98">
                  <c:v>38412</c:v>
                </c:pt>
                <c:pt idx="99">
                  <c:v>38504</c:v>
                </c:pt>
                <c:pt idx="100">
                  <c:v>38596</c:v>
                </c:pt>
                <c:pt idx="101">
                  <c:v>38687</c:v>
                </c:pt>
                <c:pt idx="102">
                  <c:v>38777</c:v>
                </c:pt>
                <c:pt idx="103">
                  <c:v>38869</c:v>
                </c:pt>
                <c:pt idx="104">
                  <c:v>38961</c:v>
                </c:pt>
                <c:pt idx="105">
                  <c:v>39052</c:v>
                </c:pt>
                <c:pt idx="106">
                  <c:v>39142</c:v>
                </c:pt>
                <c:pt idx="107">
                  <c:v>39234</c:v>
                </c:pt>
                <c:pt idx="108">
                  <c:v>39326</c:v>
                </c:pt>
                <c:pt idx="109">
                  <c:v>39417</c:v>
                </c:pt>
                <c:pt idx="110">
                  <c:v>39508</c:v>
                </c:pt>
                <c:pt idx="111">
                  <c:v>39600</c:v>
                </c:pt>
                <c:pt idx="112">
                  <c:v>39692</c:v>
                </c:pt>
                <c:pt idx="113">
                  <c:v>39783</c:v>
                </c:pt>
                <c:pt idx="114">
                  <c:v>39873</c:v>
                </c:pt>
                <c:pt idx="115">
                  <c:v>39965</c:v>
                </c:pt>
                <c:pt idx="116">
                  <c:v>40057</c:v>
                </c:pt>
                <c:pt idx="117">
                  <c:v>40148</c:v>
                </c:pt>
                <c:pt idx="118">
                  <c:v>40238</c:v>
                </c:pt>
                <c:pt idx="119">
                  <c:v>40330</c:v>
                </c:pt>
                <c:pt idx="120">
                  <c:v>40422</c:v>
                </c:pt>
                <c:pt idx="121">
                  <c:v>40513</c:v>
                </c:pt>
                <c:pt idx="122">
                  <c:v>40603</c:v>
                </c:pt>
                <c:pt idx="123">
                  <c:v>40695</c:v>
                </c:pt>
                <c:pt idx="124">
                  <c:v>40787</c:v>
                </c:pt>
                <c:pt idx="125">
                  <c:v>40878</c:v>
                </c:pt>
                <c:pt idx="126">
                  <c:v>40969</c:v>
                </c:pt>
                <c:pt idx="127">
                  <c:v>41061</c:v>
                </c:pt>
                <c:pt idx="128">
                  <c:v>41153</c:v>
                </c:pt>
                <c:pt idx="129">
                  <c:v>41244</c:v>
                </c:pt>
                <c:pt idx="130">
                  <c:v>41334</c:v>
                </c:pt>
                <c:pt idx="131">
                  <c:v>41426</c:v>
                </c:pt>
                <c:pt idx="132">
                  <c:v>41518</c:v>
                </c:pt>
                <c:pt idx="133">
                  <c:v>41609</c:v>
                </c:pt>
                <c:pt idx="134">
                  <c:v>41699</c:v>
                </c:pt>
                <c:pt idx="135">
                  <c:v>41791</c:v>
                </c:pt>
                <c:pt idx="136">
                  <c:v>41883</c:v>
                </c:pt>
                <c:pt idx="137">
                  <c:v>41974</c:v>
                </c:pt>
                <c:pt idx="138">
                  <c:v>42064</c:v>
                </c:pt>
                <c:pt idx="139">
                  <c:v>42156</c:v>
                </c:pt>
                <c:pt idx="140">
                  <c:v>42248</c:v>
                </c:pt>
                <c:pt idx="141">
                  <c:v>42339</c:v>
                </c:pt>
                <c:pt idx="142">
                  <c:v>42430</c:v>
                </c:pt>
                <c:pt idx="143">
                  <c:v>42522</c:v>
                </c:pt>
                <c:pt idx="144">
                  <c:v>42614</c:v>
                </c:pt>
                <c:pt idx="145">
                  <c:v>42705</c:v>
                </c:pt>
                <c:pt idx="146">
                  <c:v>42795</c:v>
                </c:pt>
                <c:pt idx="147">
                  <c:v>42887</c:v>
                </c:pt>
                <c:pt idx="148">
                  <c:v>42979</c:v>
                </c:pt>
                <c:pt idx="149">
                  <c:v>43070</c:v>
                </c:pt>
                <c:pt idx="150">
                  <c:v>43160</c:v>
                </c:pt>
                <c:pt idx="151">
                  <c:v>43252</c:v>
                </c:pt>
                <c:pt idx="152">
                  <c:v>43344</c:v>
                </c:pt>
                <c:pt idx="153">
                  <c:v>43435</c:v>
                </c:pt>
                <c:pt idx="154">
                  <c:v>43525</c:v>
                </c:pt>
                <c:pt idx="155">
                  <c:v>43617</c:v>
                </c:pt>
                <c:pt idx="156">
                  <c:v>43709</c:v>
                </c:pt>
                <c:pt idx="157">
                  <c:v>43800</c:v>
                </c:pt>
                <c:pt idx="158">
                  <c:v>43891</c:v>
                </c:pt>
                <c:pt idx="159">
                  <c:v>43983</c:v>
                </c:pt>
                <c:pt idx="160">
                  <c:v>44075</c:v>
                </c:pt>
                <c:pt idx="161">
                  <c:v>44166</c:v>
                </c:pt>
                <c:pt idx="162">
                  <c:v>44256</c:v>
                </c:pt>
                <c:pt idx="163">
                  <c:v>44348</c:v>
                </c:pt>
                <c:pt idx="164">
                  <c:v>44440</c:v>
                </c:pt>
                <c:pt idx="165">
                  <c:v>44531</c:v>
                </c:pt>
                <c:pt idx="166">
                  <c:v>44621</c:v>
                </c:pt>
                <c:pt idx="167">
                  <c:v>44713</c:v>
                </c:pt>
                <c:pt idx="168">
                  <c:v>44805</c:v>
                </c:pt>
                <c:pt idx="169">
                  <c:v>44896</c:v>
                </c:pt>
                <c:pt idx="170">
                  <c:v>44986</c:v>
                </c:pt>
                <c:pt idx="171">
                  <c:v>45078</c:v>
                </c:pt>
                <c:pt idx="172">
                  <c:v>45170</c:v>
                </c:pt>
                <c:pt idx="173">
                  <c:v>45261</c:v>
                </c:pt>
                <c:pt idx="174">
                  <c:v>45352</c:v>
                </c:pt>
                <c:pt idx="175">
                  <c:v>45444</c:v>
                </c:pt>
                <c:pt idx="176">
                  <c:v>45536</c:v>
                </c:pt>
                <c:pt idx="177">
                  <c:v>45627</c:v>
                </c:pt>
                <c:pt idx="178">
                  <c:v>45717</c:v>
                </c:pt>
                <c:pt idx="179">
                  <c:v>45809</c:v>
                </c:pt>
                <c:pt idx="180">
                  <c:v>45901</c:v>
                </c:pt>
                <c:pt idx="181">
                  <c:v>45992</c:v>
                </c:pt>
              </c:numCache>
            </c:numRef>
          </c:cat>
          <c:val>
            <c:numRef>
              <c:f>'Energy Prices'!$W$8:$W$189</c:f>
              <c:numCache>
                <c:formatCode>0.0%;[Red]\(0.0%\);\-</c:formatCode>
                <c:ptCount val="18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0.15200764818355639</c:v>
                </c:pt>
                <c:pt idx="5">
                  <c:v>0.16904083570750239</c:v>
                </c:pt>
                <c:pt idx="6">
                  <c:v>0.170008718395815</c:v>
                </c:pt>
                <c:pt idx="7">
                  <c:v>0.21607605877268798</c:v>
                </c:pt>
                <c:pt idx="8">
                  <c:v>0.2821576763485476</c:v>
                </c:pt>
                <c:pt idx="9">
                  <c:v>0.34281072298943949</c:v>
                </c:pt>
                <c:pt idx="10">
                  <c:v>0.2391952309985097</c:v>
                </c:pt>
                <c:pt idx="11">
                  <c:v>0.17981520966595599</c:v>
                </c:pt>
                <c:pt idx="12">
                  <c:v>0.10744336569579294</c:v>
                </c:pt>
                <c:pt idx="13">
                  <c:v>8.1669691470054318E-2</c:v>
                </c:pt>
                <c:pt idx="14">
                  <c:v>6.1936259771497415E-2</c:v>
                </c:pt>
                <c:pt idx="15">
                  <c:v>4.3975903614457579E-2</c:v>
                </c:pt>
                <c:pt idx="16">
                  <c:v>4.6171829339567427E-2</c:v>
                </c:pt>
                <c:pt idx="17">
                  <c:v>2.8523489932885893E-2</c:v>
                </c:pt>
                <c:pt idx="18">
                  <c:v>7.3612684031710174E-2</c:v>
                </c:pt>
                <c:pt idx="19">
                  <c:v>9.8672821696480062E-2</c:v>
                </c:pt>
                <c:pt idx="20">
                  <c:v>8.2122905027933069E-2</c:v>
                </c:pt>
                <c:pt idx="21">
                  <c:v>6.2533985861881414E-2</c:v>
                </c:pt>
                <c:pt idx="22">
                  <c:v>5.4852320675105481E-2</c:v>
                </c:pt>
                <c:pt idx="23">
                  <c:v>5.6722689075630273E-2</c:v>
                </c:pt>
                <c:pt idx="24">
                  <c:v>5.6272586473928854E-2</c:v>
                </c:pt>
                <c:pt idx="25">
                  <c:v>6.192425793244638E-2</c:v>
                </c:pt>
                <c:pt idx="26">
                  <c:v>4.3500000000000094E-2</c:v>
                </c:pt>
                <c:pt idx="27">
                  <c:v>3.9761431411530879E-2</c:v>
                </c:pt>
                <c:pt idx="28">
                  <c:v>7.038123167155419E-2</c:v>
                </c:pt>
                <c:pt idx="29">
                  <c:v>6.3614457831325355E-2</c:v>
                </c:pt>
                <c:pt idx="30">
                  <c:v>6.0852898897939545E-2</c:v>
                </c:pt>
                <c:pt idx="31">
                  <c:v>5.9751434034416739E-2</c:v>
                </c:pt>
                <c:pt idx="32">
                  <c:v>5.7534246575342562E-2</c:v>
                </c:pt>
                <c:pt idx="33">
                  <c:v>5.2560036248300968E-2</c:v>
                </c:pt>
                <c:pt idx="34">
                  <c:v>5.1490514905148999E-2</c:v>
                </c:pt>
                <c:pt idx="35">
                  <c:v>5.0067658998646847E-2</c:v>
                </c:pt>
                <c:pt idx="36">
                  <c:v>3.5405872193436938E-2</c:v>
                </c:pt>
                <c:pt idx="37">
                  <c:v>3.831252690486453E-2</c:v>
                </c:pt>
                <c:pt idx="38">
                  <c:v>3.6941580756013614E-2</c:v>
                </c:pt>
                <c:pt idx="39">
                  <c:v>3.6941580756013614E-2</c:v>
                </c:pt>
                <c:pt idx="40">
                  <c:v>-2.9190992493744794E-2</c:v>
                </c:pt>
                <c:pt idx="41">
                  <c:v>4.8922056384743007E-2</c:v>
                </c:pt>
                <c:pt idx="42">
                  <c:v>5.0952775476387657E-2</c:v>
                </c:pt>
                <c:pt idx="43">
                  <c:v>5.2195526097762901E-2</c:v>
                </c:pt>
                <c:pt idx="44">
                  <c:v>0.13445017182130581</c:v>
                </c:pt>
                <c:pt idx="45">
                  <c:v>4.8616600790513775E-2</c:v>
                </c:pt>
                <c:pt idx="46">
                  <c:v>4.6511627906976827E-2</c:v>
                </c:pt>
                <c:pt idx="47">
                  <c:v>4.6456692913385833E-2</c:v>
                </c:pt>
                <c:pt idx="48">
                  <c:v>2.7262400605831072E-2</c:v>
                </c:pt>
                <c:pt idx="49">
                  <c:v>4.1839427063701473E-2</c:v>
                </c:pt>
                <c:pt idx="50">
                  <c:v>5.0094161958568639E-2</c:v>
                </c:pt>
                <c:pt idx="51">
                  <c:v>4.9661399548532659E-2</c:v>
                </c:pt>
                <c:pt idx="52">
                  <c:v>4.0176925912274175E-2</c:v>
                </c:pt>
                <c:pt idx="53">
                  <c:v>2.1707670043415339E-2</c:v>
                </c:pt>
                <c:pt idx="54">
                  <c:v>1.3629842180774787E-2</c:v>
                </c:pt>
                <c:pt idx="55">
                  <c:v>1.3978494623655857E-2</c:v>
                </c:pt>
                <c:pt idx="56">
                  <c:v>1.4174344436570507E-3</c:v>
                </c:pt>
                <c:pt idx="57">
                  <c:v>7.0821529745046519E-4</c:v>
                </c:pt>
                <c:pt idx="58">
                  <c:v>0</c:v>
                </c:pt>
                <c:pt idx="59">
                  <c:v>-1.0604453870625141E-3</c:v>
                </c:pt>
                <c:pt idx="60">
                  <c:v>2.8308563340408988E-3</c:v>
                </c:pt>
                <c:pt idx="61">
                  <c:v>2.8308563340408988E-3</c:v>
                </c:pt>
                <c:pt idx="62">
                  <c:v>2.8308563340408988E-3</c:v>
                </c:pt>
                <c:pt idx="63">
                  <c:v>2.8308563340408988E-3</c:v>
                </c:pt>
                <c:pt idx="64">
                  <c:v>1.2702893436838281E-2</c:v>
                </c:pt>
                <c:pt idx="65">
                  <c:v>1.2702893436838281E-2</c:v>
                </c:pt>
                <c:pt idx="66">
                  <c:v>1.4467184191954807E-2</c:v>
                </c:pt>
                <c:pt idx="67">
                  <c:v>1.4467184191954807E-2</c:v>
                </c:pt>
                <c:pt idx="68">
                  <c:v>8.3623693379790698E-3</c:v>
                </c:pt>
                <c:pt idx="69">
                  <c:v>8.3623693379790698E-3</c:v>
                </c:pt>
                <c:pt idx="70">
                  <c:v>6.6086956521740348E-3</c:v>
                </c:pt>
                <c:pt idx="71">
                  <c:v>6.6086956521740348E-3</c:v>
                </c:pt>
                <c:pt idx="72">
                  <c:v>-3.9391845196959263E-2</c:v>
                </c:pt>
                <c:pt idx="73">
                  <c:v>-3.4208707671043559E-2</c:v>
                </c:pt>
                <c:pt idx="74">
                  <c:v>-2.2805805114029076E-2</c:v>
                </c:pt>
                <c:pt idx="75">
                  <c:v>-3.2826537664132793E-2</c:v>
                </c:pt>
                <c:pt idx="76">
                  <c:v>4.6762589928057707E-3</c:v>
                </c:pt>
                <c:pt idx="77">
                  <c:v>1.1091234347048395E-2</c:v>
                </c:pt>
                <c:pt idx="78">
                  <c:v>7.4257425742574323E-3</c:v>
                </c:pt>
                <c:pt idx="79">
                  <c:v>6.4308681672027301E-3</c:v>
                </c:pt>
                <c:pt idx="80">
                  <c:v>0.11886860007160771</c:v>
                </c:pt>
                <c:pt idx="81">
                  <c:v>0.11111111111111094</c:v>
                </c:pt>
                <c:pt idx="82">
                  <c:v>0.10845910845910844</c:v>
                </c:pt>
                <c:pt idx="83">
                  <c:v>0.11111111111111116</c:v>
                </c:pt>
                <c:pt idx="84">
                  <c:v>3.1359999999999832E-2</c:v>
                </c:pt>
                <c:pt idx="85">
                  <c:v>3.5031847133758065E-2</c:v>
                </c:pt>
                <c:pt idx="86">
                  <c:v>4.4965167827739183E-2</c:v>
                </c:pt>
                <c:pt idx="87">
                  <c:v>4.4728434504792469E-2</c:v>
                </c:pt>
                <c:pt idx="88">
                  <c:v>2.6372944461681813E-2</c:v>
                </c:pt>
                <c:pt idx="89">
                  <c:v>2.6461538461538536E-2</c:v>
                </c:pt>
                <c:pt idx="90">
                  <c:v>6.3636363636363713E-2</c:v>
                </c:pt>
                <c:pt idx="91">
                  <c:v>5.749235474006098E-2</c:v>
                </c:pt>
                <c:pt idx="92">
                  <c:v>5.9854897218863501E-2</c:v>
                </c:pt>
                <c:pt idx="93">
                  <c:v>5.125899280575541E-2</c:v>
                </c:pt>
                <c:pt idx="94">
                  <c:v>1.2250712250712281E-2</c:v>
                </c:pt>
                <c:pt idx="95">
                  <c:v>1.3591671486408385E-2</c:v>
                </c:pt>
                <c:pt idx="96">
                  <c:v>2.224757558471202E-2</c:v>
                </c:pt>
                <c:pt idx="97">
                  <c:v>2.7658967778728227E-2</c:v>
                </c:pt>
                <c:pt idx="98">
                  <c:v>3.06783000281452E-2</c:v>
                </c:pt>
                <c:pt idx="99">
                  <c:v>3.1098430813124134E-2</c:v>
                </c:pt>
                <c:pt idx="100">
                  <c:v>2.5669642857142794E-2</c:v>
                </c:pt>
                <c:pt idx="101">
                  <c:v>2.7192008879023399E-2</c:v>
                </c:pt>
                <c:pt idx="102">
                  <c:v>2.5942108137629871E-2</c:v>
                </c:pt>
                <c:pt idx="103">
                  <c:v>2.7116768123962354E-2</c:v>
                </c:pt>
                <c:pt idx="104">
                  <c:v>3.2100108813928108E-2</c:v>
                </c:pt>
                <c:pt idx="105">
                  <c:v>2.9983792544570509E-2</c:v>
                </c:pt>
                <c:pt idx="106">
                  <c:v>3.406973649188183E-2</c:v>
                </c:pt>
                <c:pt idx="107">
                  <c:v>3.4752155172413701E-2</c:v>
                </c:pt>
                <c:pt idx="108">
                  <c:v>5.5350553505535194E-2</c:v>
                </c:pt>
                <c:pt idx="109">
                  <c:v>5.7435090479937001E-2</c:v>
                </c:pt>
                <c:pt idx="110">
                  <c:v>0.10012870012870012</c:v>
                </c:pt>
                <c:pt idx="111">
                  <c:v>9.7891174173392548E-2</c:v>
                </c:pt>
                <c:pt idx="112">
                  <c:v>0.10164835164835173</c:v>
                </c:pt>
                <c:pt idx="113">
                  <c:v>0.10168650793650791</c:v>
                </c:pt>
                <c:pt idx="114">
                  <c:v>7.6509124941506634E-2</c:v>
                </c:pt>
                <c:pt idx="115">
                  <c:v>8.5368745553711101E-2</c:v>
                </c:pt>
                <c:pt idx="116">
                  <c:v>0.15620040807073221</c:v>
                </c:pt>
                <c:pt idx="117">
                  <c:v>0.15691130121566865</c:v>
                </c:pt>
                <c:pt idx="118">
                  <c:v>0.18256900673766574</c:v>
                </c:pt>
                <c:pt idx="119">
                  <c:v>0.18112300633602785</c:v>
                </c:pt>
                <c:pt idx="120">
                  <c:v>0.12411764705882344</c:v>
                </c:pt>
                <c:pt idx="121">
                  <c:v>0.12551079976649149</c:v>
                </c:pt>
                <c:pt idx="122">
                  <c:v>0.1170740672670465</c:v>
                </c:pt>
                <c:pt idx="123">
                  <c:v>0.10728819829818703</c:v>
                </c:pt>
                <c:pt idx="124">
                  <c:v>0.12523983952555384</c:v>
                </c:pt>
                <c:pt idx="125">
                  <c:v>0.12154218533886585</c:v>
                </c:pt>
                <c:pt idx="126">
                  <c:v>9.8881210924646412E-2</c:v>
                </c:pt>
                <c:pt idx="127">
                  <c:v>0.10641496825927166</c:v>
                </c:pt>
                <c:pt idx="128">
                  <c:v>0.18508758332041531</c:v>
                </c:pt>
                <c:pt idx="129">
                  <c:v>0.17696932326190828</c:v>
                </c:pt>
                <c:pt idx="130">
                  <c:v>0.17098368019164534</c:v>
                </c:pt>
                <c:pt idx="131">
                  <c:v>0.17288237958629016</c:v>
                </c:pt>
                <c:pt idx="132">
                  <c:v>6.0824068018312527E-2</c:v>
                </c:pt>
                <c:pt idx="133">
                  <c:v>6.3130320890635305E-2</c:v>
                </c:pt>
                <c:pt idx="134">
                  <c:v>5.2167242040660033E-2</c:v>
                </c:pt>
                <c:pt idx="135">
                  <c:v>5.09783728115345E-2</c:v>
                </c:pt>
                <c:pt idx="136">
                  <c:v>-4.4266337854500515E-2</c:v>
                </c:pt>
                <c:pt idx="137">
                  <c:v>-4.5090550696069931E-2</c:v>
                </c:pt>
                <c:pt idx="138">
                  <c:v>-3.961599222262735E-2</c:v>
                </c:pt>
                <c:pt idx="139">
                  <c:v>-3.7481626653601219E-2</c:v>
                </c:pt>
                <c:pt idx="140">
                  <c:v>-7.7409366533354174E-4</c:v>
                </c:pt>
                <c:pt idx="141">
                  <c:v>-7.7409366533354174E-4</c:v>
                </c:pt>
                <c:pt idx="142">
                  <c:v>-2.1637352903960627E-2</c:v>
                </c:pt>
                <c:pt idx="143">
                  <c:v>-2.0234156273861048E-2</c:v>
                </c:pt>
                <c:pt idx="144">
                  <c:v>4.7901872175597049E-2</c:v>
                </c:pt>
                <c:pt idx="145">
                  <c:v>4.7772756617172396E-2</c:v>
                </c:pt>
                <c:pt idx="146">
                  <c:v>7.5918261769270634E-2</c:v>
                </c:pt>
                <c:pt idx="147">
                  <c:v>7.8841407975061895E-2</c:v>
                </c:pt>
                <c:pt idx="148">
                  <c:v>0.11434204041399698</c:v>
                </c:pt>
                <c:pt idx="149">
                  <c:v>0.12446087492298208</c:v>
                </c:pt>
                <c:pt idx="150">
                  <c:v>0.11672075970669571</c:v>
                </c:pt>
                <c:pt idx="151">
                  <c:v>0.10390079460630863</c:v>
                </c:pt>
                <c:pt idx="152">
                  <c:v>1.868642193719583E-2</c:v>
                </c:pt>
                <c:pt idx="153">
                  <c:v>1.7643835616438341E-2</c:v>
                </c:pt>
                <c:pt idx="154">
                  <c:v>-5.8127018299247712E-3</c:v>
                </c:pt>
                <c:pt idx="155">
                  <c:v>-9.5975569854945819E-3</c:v>
                </c:pt>
                <c:pt idx="156">
                  <c:v>-2.1274286334527215E-2</c:v>
                </c:pt>
                <c:pt idx="157">
                  <c:v>-3.4783545121688575E-2</c:v>
                </c:pt>
                <c:pt idx="158">
                  <c:v>-1.6998700736249428E-2</c:v>
                </c:pt>
                <c:pt idx="159">
                  <c:v>-2.4777006937561907E-2</c:v>
                </c:pt>
                <c:pt idx="160">
                  <c:v>-2.4398358655872254E-2</c:v>
                </c:pt>
                <c:pt idx="161">
                  <c:v>-9.2379783554613404E-2</c:v>
                </c:pt>
                <c:pt idx="162">
                  <c:v>-0.11201674193193079</c:v>
                </c:pt>
                <c:pt idx="163">
                  <c:v>-5.9394760614272846E-2</c:v>
                </c:pt>
                <c:pt idx="164">
                  <c:v>-5.138115266568144E-2</c:v>
                </c:pt>
                <c:pt idx="165">
                  <c:v>2.9870928088506554E-2</c:v>
                </c:pt>
                <c:pt idx="166">
                  <c:v>3.5102952121061737E-2</c:v>
                </c:pt>
                <c:pt idx="167">
                  <c:v>1.8007202881153983E-3</c:v>
                </c:pt>
                <c:pt idx="168">
                  <c:v>3.1755542240862633E-2</c:v>
                </c:pt>
                <c:pt idx="169">
                  <c:v>0.11661494390069227</c:v>
                </c:pt>
                <c:pt idx="170">
                  <c:v>0.15518274415817856</c:v>
                </c:pt>
                <c:pt idx="171">
                  <c:v>0.13385260635110852</c:v>
                </c:pt>
                <c:pt idx="172">
                  <c:v>0.14483159117305466</c:v>
                </c:pt>
                <c:pt idx="173">
                  <c:v>6.873329770176384E-2</c:v>
                </c:pt>
                <c:pt idx="174">
                  <c:v>1.9294605809128562E-2</c:v>
                </c:pt>
                <c:pt idx="175">
                  <c:v>6.0240963855421548E-2</c:v>
                </c:pt>
                <c:pt idx="176">
                  <c:v>-0.15785736025159769</c:v>
                </c:pt>
                <c:pt idx="177">
                  <c:v>-0.25225045009001801</c:v>
                </c:pt>
                <c:pt idx="178">
                  <c:v>-0.11439039283533492</c:v>
                </c:pt>
                <c:pt idx="179">
                  <c:v>-6.230063795853269E-2</c:v>
                </c:pt>
                <c:pt idx="180">
                  <c:v>0.23527285869172387</c:v>
                </c:pt>
                <c:pt idx="181">
                  <c:v>0.25575173889780611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72-4480-89CC-CCBE33B60970}"/>
            </c:ext>
          </c:extLst>
        </c:ser>
        <c:ser>
          <c:idx val="1"/>
          <c:order val="1"/>
          <c:tx>
            <c:strRef>
              <c:f>'Energy Prices'!$X$7</c:f>
              <c:strCache>
                <c:ptCount val="1"/>
                <c:pt idx="0">
                  <c:v>Gas YoY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Prices'!$V$8:$V$189</c:f>
              <c:numCache>
                <c:formatCode>mmm\ yyyy</c:formatCode>
                <c:ptCount val="182"/>
                <c:pt idx="0">
                  <c:v>29465</c:v>
                </c:pt>
                <c:pt idx="1">
                  <c:v>29556</c:v>
                </c:pt>
                <c:pt idx="2">
                  <c:v>29646</c:v>
                </c:pt>
                <c:pt idx="3">
                  <c:v>29738</c:v>
                </c:pt>
                <c:pt idx="4">
                  <c:v>29830</c:v>
                </c:pt>
                <c:pt idx="5">
                  <c:v>29921</c:v>
                </c:pt>
                <c:pt idx="6">
                  <c:v>30011</c:v>
                </c:pt>
                <c:pt idx="7">
                  <c:v>30103</c:v>
                </c:pt>
                <c:pt idx="8">
                  <c:v>30195</c:v>
                </c:pt>
                <c:pt idx="9">
                  <c:v>30286</c:v>
                </c:pt>
                <c:pt idx="10">
                  <c:v>30376</c:v>
                </c:pt>
                <c:pt idx="11">
                  <c:v>30468</c:v>
                </c:pt>
                <c:pt idx="12">
                  <c:v>30560</c:v>
                </c:pt>
                <c:pt idx="13">
                  <c:v>30651</c:v>
                </c:pt>
                <c:pt idx="14">
                  <c:v>30742</c:v>
                </c:pt>
                <c:pt idx="15">
                  <c:v>30834</c:v>
                </c:pt>
                <c:pt idx="16">
                  <c:v>30926</c:v>
                </c:pt>
                <c:pt idx="17">
                  <c:v>31017</c:v>
                </c:pt>
                <c:pt idx="18">
                  <c:v>31107</c:v>
                </c:pt>
                <c:pt idx="19">
                  <c:v>31199</c:v>
                </c:pt>
                <c:pt idx="20">
                  <c:v>31291</c:v>
                </c:pt>
                <c:pt idx="21">
                  <c:v>31382</c:v>
                </c:pt>
                <c:pt idx="22">
                  <c:v>31472</c:v>
                </c:pt>
                <c:pt idx="23">
                  <c:v>31564</c:v>
                </c:pt>
                <c:pt idx="24">
                  <c:v>31656</c:v>
                </c:pt>
                <c:pt idx="25">
                  <c:v>31747</c:v>
                </c:pt>
                <c:pt idx="26">
                  <c:v>31837</c:v>
                </c:pt>
                <c:pt idx="27">
                  <c:v>31929</c:v>
                </c:pt>
                <c:pt idx="28">
                  <c:v>32021</c:v>
                </c:pt>
                <c:pt idx="29">
                  <c:v>32112</c:v>
                </c:pt>
                <c:pt idx="30">
                  <c:v>32203</c:v>
                </c:pt>
                <c:pt idx="31">
                  <c:v>32295</c:v>
                </c:pt>
                <c:pt idx="32">
                  <c:v>32387</c:v>
                </c:pt>
                <c:pt idx="33">
                  <c:v>32478</c:v>
                </c:pt>
                <c:pt idx="34">
                  <c:v>32568</c:v>
                </c:pt>
                <c:pt idx="35">
                  <c:v>32660</c:v>
                </c:pt>
                <c:pt idx="36">
                  <c:v>32752</c:v>
                </c:pt>
                <c:pt idx="37">
                  <c:v>32843</c:v>
                </c:pt>
                <c:pt idx="38">
                  <c:v>32933</c:v>
                </c:pt>
                <c:pt idx="39">
                  <c:v>33025</c:v>
                </c:pt>
                <c:pt idx="40">
                  <c:v>33117</c:v>
                </c:pt>
                <c:pt idx="41">
                  <c:v>33208</c:v>
                </c:pt>
                <c:pt idx="42">
                  <c:v>33298</c:v>
                </c:pt>
                <c:pt idx="43">
                  <c:v>33390</c:v>
                </c:pt>
                <c:pt idx="44">
                  <c:v>33482</c:v>
                </c:pt>
                <c:pt idx="45">
                  <c:v>33573</c:v>
                </c:pt>
                <c:pt idx="46">
                  <c:v>33664</c:v>
                </c:pt>
                <c:pt idx="47">
                  <c:v>33756</c:v>
                </c:pt>
                <c:pt idx="48">
                  <c:v>33848</c:v>
                </c:pt>
                <c:pt idx="49">
                  <c:v>33939</c:v>
                </c:pt>
                <c:pt idx="50">
                  <c:v>34029</c:v>
                </c:pt>
                <c:pt idx="51">
                  <c:v>34121</c:v>
                </c:pt>
                <c:pt idx="52">
                  <c:v>34213</c:v>
                </c:pt>
                <c:pt idx="53">
                  <c:v>34304</c:v>
                </c:pt>
                <c:pt idx="54">
                  <c:v>34394</c:v>
                </c:pt>
                <c:pt idx="55">
                  <c:v>34486</c:v>
                </c:pt>
                <c:pt idx="56">
                  <c:v>34578</c:v>
                </c:pt>
                <c:pt idx="57">
                  <c:v>34669</c:v>
                </c:pt>
                <c:pt idx="58">
                  <c:v>34759</c:v>
                </c:pt>
                <c:pt idx="59">
                  <c:v>34851</c:v>
                </c:pt>
                <c:pt idx="60">
                  <c:v>34943</c:v>
                </c:pt>
                <c:pt idx="61">
                  <c:v>35034</c:v>
                </c:pt>
                <c:pt idx="62">
                  <c:v>35125</c:v>
                </c:pt>
                <c:pt idx="63">
                  <c:v>35217</c:v>
                </c:pt>
                <c:pt idx="64">
                  <c:v>35309</c:v>
                </c:pt>
                <c:pt idx="65">
                  <c:v>35400</c:v>
                </c:pt>
                <c:pt idx="66">
                  <c:v>35490</c:v>
                </c:pt>
                <c:pt idx="67">
                  <c:v>35582</c:v>
                </c:pt>
                <c:pt idx="68">
                  <c:v>35674</c:v>
                </c:pt>
                <c:pt idx="69">
                  <c:v>35765</c:v>
                </c:pt>
                <c:pt idx="70">
                  <c:v>35855</c:v>
                </c:pt>
                <c:pt idx="71">
                  <c:v>35947</c:v>
                </c:pt>
                <c:pt idx="72">
                  <c:v>36039</c:v>
                </c:pt>
                <c:pt idx="73">
                  <c:v>36130</c:v>
                </c:pt>
                <c:pt idx="74">
                  <c:v>36220</c:v>
                </c:pt>
                <c:pt idx="75">
                  <c:v>36312</c:v>
                </c:pt>
                <c:pt idx="76">
                  <c:v>36404</c:v>
                </c:pt>
                <c:pt idx="77">
                  <c:v>36495</c:v>
                </c:pt>
                <c:pt idx="78">
                  <c:v>36586</c:v>
                </c:pt>
                <c:pt idx="79">
                  <c:v>36678</c:v>
                </c:pt>
                <c:pt idx="80">
                  <c:v>36770</c:v>
                </c:pt>
                <c:pt idx="81">
                  <c:v>36861</c:v>
                </c:pt>
                <c:pt idx="82">
                  <c:v>36951</c:v>
                </c:pt>
                <c:pt idx="83">
                  <c:v>37043</c:v>
                </c:pt>
                <c:pt idx="84">
                  <c:v>37135</c:v>
                </c:pt>
                <c:pt idx="85">
                  <c:v>37226</c:v>
                </c:pt>
                <c:pt idx="86">
                  <c:v>37316</c:v>
                </c:pt>
                <c:pt idx="87">
                  <c:v>37408</c:v>
                </c:pt>
                <c:pt idx="88">
                  <c:v>37500</c:v>
                </c:pt>
                <c:pt idx="89">
                  <c:v>37591</c:v>
                </c:pt>
                <c:pt idx="90">
                  <c:v>37681</c:v>
                </c:pt>
                <c:pt idx="91">
                  <c:v>37773</c:v>
                </c:pt>
                <c:pt idx="92">
                  <c:v>37865</c:v>
                </c:pt>
                <c:pt idx="93">
                  <c:v>37956</c:v>
                </c:pt>
                <c:pt idx="94">
                  <c:v>38047</c:v>
                </c:pt>
                <c:pt idx="95">
                  <c:v>38139</c:v>
                </c:pt>
                <c:pt idx="96">
                  <c:v>38231</c:v>
                </c:pt>
                <c:pt idx="97">
                  <c:v>38322</c:v>
                </c:pt>
                <c:pt idx="98">
                  <c:v>38412</c:v>
                </c:pt>
                <c:pt idx="99">
                  <c:v>38504</c:v>
                </c:pt>
                <c:pt idx="100">
                  <c:v>38596</c:v>
                </c:pt>
                <c:pt idx="101">
                  <c:v>38687</c:v>
                </c:pt>
                <c:pt idx="102">
                  <c:v>38777</c:v>
                </c:pt>
                <c:pt idx="103">
                  <c:v>38869</c:v>
                </c:pt>
                <c:pt idx="104">
                  <c:v>38961</c:v>
                </c:pt>
                <c:pt idx="105">
                  <c:v>39052</c:v>
                </c:pt>
                <c:pt idx="106">
                  <c:v>39142</c:v>
                </c:pt>
                <c:pt idx="107">
                  <c:v>39234</c:v>
                </c:pt>
                <c:pt idx="108">
                  <c:v>39326</c:v>
                </c:pt>
                <c:pt idx="109">
                  <c:v>39417</c:v>
                </c:pt>
                <c:pt idx="110">
                  <c:v>39508</c:v>
                </c:pt>
                <c:pt idx="111">
                  <c:v>39600</c:v>
                </c:pt>
                <c:pt idx="112">
                  <c:v>39692</c:v>
                </c:pt>
                <c:pt idx="113">
                  <c:v>39783</c:v>
                </c:pt>
                <c:pt idx="114">
                  <c:v>39873</c:v>
                </c:pt>
                <c:pt idx="115">
                  <c:v>39965</c:v>
                </c:pt>
                <c:pt idx="116">
                  <c:v>40057</c:v>
                </c:pt>
                <c:pt idx="117">
                  <c:v>40148</c:v>
                </c:pt>
                <c:pt idx="118">
                  <c:v>40238</c:v>
                </c:pt>
                <c:pt idx="119">
                  <c:v>40330</c:v>
                </c:pt>
                <c:pt idx="120">
                  <c:v>40422</c:v>
                </c:pt>
                <c:pt idx="121">
                  <c:v>40513</c:v>
                </c:pt>
                <c:pt idx="122">
                  <c:v>40603</c:v>
                </c:pt>
                <c:pt idx="123">
                  <c:v>40695</c:v>
                </c:pt>
                <c:pt idx="124">
                  <c:v>40787</c:v>
                </c:pt>
                <c:pt idx="125">
                  <c:v>40878</c:v>
                </c:pt>
                <c:pt idx="126">
                  <c:v>40969</c:v>
                </c:pt>
                <c:pt idx="127">
                  <c:v>41061</c:v>
                </c:pt>
                <c:pt idx="128">
                  <c:v>41153</c:v>
                </c:pt>
                <c:pt idx="129">
                  <c:v>41244</c:v>
                </c:pt>
                <c:pt idx="130">
                  <c:v>41334</c:v>
                </c:pt>
                <c:pt idx="131">
                  <c:v>41426</c:v>
                </c:pt>
                <c:pt idx="132">
                  <c:v>41518</c:v>
                </c:pt>
                <c:pt idx="133">
                  <c:v>41609</c:v>
                </c:pt>
                <c:pt idx="134">
                  <c:v>41699</c:v>
                </c:pt>
                <c:pt idx="135">
                  <c:v>41791</c:v>
                </c:pt>
                <c:pt idx="136">
                  <c:v>41883</c:v>
                </c:pt>
                <c:pt idx="137">
                  <c:v>41974</c:v>
                </c:pt>
                <c:pt idx="138">
                  <c:v>42064</c:v>
                </c:pt>
                <c:pt idx="139">
                  <c:v>42156</c:v>
                </c:pt>
                <c:pt idx="140">
                  <c:v>42248</c:v>
                </c:pt>
                <c:pt idx="141">
                  <c:v>42339</c:v>
                </c:pt>
                <c:pt idx="142">
                  <c:v>42430</c:v>
                </c:pt>
                <c:pt idx="143">
                  <c:v>42522</c:v>
                </c:pt>
                <c:pt idx="144">
                  <c:v>42614</c:v>
                </c:pt>
                <c:pt idx="145">
                  <c:v>42705</c:v>
                </c:pt>
                <c:pt idx="146">
                  <c:v>42795</c:v>
                </c:pt>
                <c:pt idx="147">
                  <c:v>42887</c:v>
                </c:pt>
                <c:pt idx="148">
                  <c:v>42979</c:v>
                </c:pt>
                <c:pt idx="149">
                  <c:v>43070</c:v>
                </c:pt>
                <c:pt idx="150">
                  <c:v>43160</c:v>
                </c:pt>
                <c:pt idx="151">
                  <c:v>43252</c:v>
                </c:pt>
                <c:pt idx="152">
                  <c:v>43344</c:v>
                </c:pt>
                <c:pt idx="153">
                  <c:v>43435</c:v>
                </c:pt>
                <c:pt idx="154">
                  <c:v>43525</c:v>
                </c:pt>
                <c:pt idx="155">
                  <c:v>43617</c:v>
                </c:pt>
                <c:pt idx="156">
                  <c:v>43709</c:v>
                </c:pt>
                <c:pt idx="157">
                  <c:v>43800</c:v>
                </c:pt>
                <c:pt idx="158">
                  <c:v>43891</c:v>
                </c:pt>
                <c:pt idx="159">
                  <c:v>43983</c:v>
                </c:pt>
                <c:pt idx="160">
                  <c:v>44075</c:v>
                </c:pt>
                <c:pt idx="161">
                  <c:v>44166</c:v>
                </c:pt>
                <c:pt idx="162">
                  <c:v>44256</c:v>
                </c:pt>
                <c:pt idx="163">
                  <c:v>44348</c:v>
                </c:pt>
                <c:pt idx="164">
                  <c:v>44440</c:v>
                </c:pt>
                <c:pt idx="165">
                  <c:v>44531</c:v>
                </c:pt>
                <c:pt idx="166">
                  <c:v>44621</c:v>
                </c:pt>
                <c:pt idx="167">
                  <c:v>44713</c:v>
                </c:pt>
                <c:pt idx="168">
                  <c:v>44805</c:v>
                </c:pt>
                <c:pt idx="169">
                  <c:v>44896</c:v>
                </c:pt>
                <c:pt idx="170">
                  <c:v>44986</c:v>
                </c:pt>
                <c:pt idx="171">
                  <c:v>45078</c:v>
                </c:pt>
                <c:pt idx="172">
                  <c:v>45170</c:v>
                </c:pt>
                <c:pt idx="173">
                  <c:v>45261</c:v>
                </c:pt>
                <c:pt idx="174">
                  <c:v>45352</c:v>
                </c:pt>
                <c:pt idx="175">
                  <c:v>45444</c:v>
                </c:pt>
                <c:pt idx="176">
                  <c:v>45536</c:v>
                </c:pt>
                <c:pt idx="177">
                  <c:v>45627</c:v>
                </c:pt>
                <c:pt idx="178">
                  <c:v>45717</c:v>
                </c:pt>
                <c:pt idx="179">
                  <c:v>45809</c:v>
                </c:pt>
                <c:pt idx="180">
                  <c:v>45901</c:v>
                </c:pt>
                <c:pt idx="181">
                  <c:v>45992</c:v>
                </c:pt>
              </c:numCache>
            </c:numRef>
          </c:cat>
          <c:val>
            <c:numRef>
              <c:f>'Energy Prices'!$X$8:$X$189</c:f>
              <c:numCache>
                <c:formatCode>0.0%;[Red]\(0.0%\);\-</c:formatCode>
                <c:ptCount val="18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7.2824156305506316E-2</c:v>
                </c:pt>
                <c:pt idx="41">
                  <c:v>7.0765661252900403E-2</c:v>
                </c:pt>
                <c:pt idx="42">
                  <c:v>7.0649052268811019E-2</c:v>
                </c:pt>
                <c:pt idx="43">
                  <c:v>6.006864988558358E-2</c:v>
                </c:pt>
                <c:pt idx="44">
                  <c:v>5.6843267108167561E-2</c:v>
                </c:pt>
                <c:pt idx="45">
                  <c:v>3.7378114842903543E-2</c:v>
                </c:pt>
                <c:pt idx="46">
                  <c:v>3.2188841201716611E-2</c:v>
                </c:pt>
                <c:pt idx="47">
                  <c:v>3.5617916891527157E-2</c:v>
                </c:pt>
                <c:pt idx="48">
                  <c:v>6.2663185378590835E-3</c:v>
                </c:pt>
                <c:pt idx="49">
                  <c:v>3.5509138381200955E-2</c:v>
                </c:pt>
                <c:pt idx="50">
                  <c:v>6.9126819126819283E-2</c:v>
                </c:pt>
                <c:pt idx="51">
                  <c:v>7.0870244919228664E-2</c:v>
                </c:pt>
                <c:pt idx="52">
                  <c:v>6.7462376751427078E-2</c:v>
                </c:pt>
                <c:pt idx="53">
                  <c:v>3.9838628340897797E-2</c:v>
                </c:pt>
                <c:pt idx="54">
                  <c:v>2.430724355858116E-3</c:v>
                </c:pt>
                <c:pt idx="55">
                  <c:v>0</c:v>
                </c:pt>
                <c:pt idx="56">
                  <c:v>2.1876519202722378E-2</c:v>
                </c:pt>
                <c:pt idx="57">
                  <c:v>2.3278370514064006E-2</c:v>
                </c:pt>
                <c:pt idx="58">
                  <c:v>3.0067895247332554E-2</c:v>
                </c:pt>
                <c:pt idx="59">
                  <c:v>3.5523114355231256E-2</c:v>
                </c:pt>
                <c:pt idx="60">
                  <c:v>2.1883920076118057E-2</c:v>
                </c:pt>
                <c:pt idx="61">
                  <c:v>1.8009478672985635E-2</c:v>
                </c:pt>
                <c:pt idx="62">
                  <c:v>1.4124293785310771E-2</c:v>
                </c:pt>
                <c:pt idx="63">
                  <c:v>1.2687969924811915E-2</c:v>
                </c:pt>
                <c:pt idx="64">
                  <c:v>1.7225325884543841E-2</c:v>
                </c:pt>
                <c:pt idx="65">
                  <c:v>2.1880819366852933E-2</c:v>
                </c:pt>
                <c:pt idx="66">
                  <c:v>2.3212627669452202E-2</c:v>
                </c:pt>
                <c:pt idx="67">
                  <c:v>2.088167053364276E-2</c:v>
                </c:pt>
                <c:pt idx="68">
                  <c:v>2.4256292906178478E-2</c:v>
                </c:pt>
                <c:pt idx="69">
                  <c:v>1.8678815489749478E-2</c:v>
                </c:pt>
                <c:pt idx="70">
                  <c:v>1.4519056261343088E-2</c:v>
                </c:pt>
                <c:pt idx="71">
                  <c:v>1.7272727272727328E-2</c:v>
                </c:pt>
                <c:pt idx="72">
                  <c:v>-1.7873100983020529E-2</c:v>
                </c:pt>
                <c:pt idx="73">
                  <c:v>0</c:v>
                </c:pt>
                <c:pt idx="74">
                  <c:v>-1.610017889087656E-2</c:v>
                </c:pt>
                <c:pt idx="75">
                  <c:v>-2.1000893655049091E-2</c:v>
                </c:pt>
                <c:pt idx="76">
                  <c:v>-2.2747952684258888E-3</c:v>
                </c:pt>
                <c:pt idx="77">
                  <c:v>-2.0572450805009024E-2</c:v>
                </c:pt>
                <c:pt idx="78">
                  <c:v>-1.3181818181818183E-2</c:v>
                </c:pt>
                <c:pt idx="79">
                  <c:v>-2.2820629849383822E-3</c:v>
                </c:pt>
                <c:pt idx="80">
                  <c:v>0.12175102599179222</c:v>
                </c:pt>
                <c:pt idx="81">
                  <c:v>0.10136986301369877</c:v>
                </c:pt>
                <c:pt idx="82">
                  <c:v>0.11146936895439885</c:v>
                </c:pt>
                <c:pt idx="83">
                  <c:v>0.11802378774016486</c:v>
                </c:pt>
                <c:pt idx="84">
                  <c:v>3.6178861788617844E-2</c:v>
                </c:pt>
                <c:pt idx="85">
                  <c:v>1.2023217247097762E-2</c:v>
                </c:pt>
                <c:pt idx="86">
                  <c:v>5.6775797762121938E-2</c:v>
                </c:pt>
                <c:pt idx="87">
                  <c:v>5.1963993453355117E-2</c:v>
                </c:pt>
                <c:pt idx="88">
                  <c:v>5.3746567281286906E-2</c:v>
                </c:pt>
                <c:pt idx="89">
                  <c:v>5.7353543629659942E-2</c:v>
                </c:pt>
                <c:pt idx="90">
                  <c:v>6.23529411764705E-2</c:v>
                </c:pt>
                <c:pt idx="91">
                  <c:v>6.3010501750291548E-2</c:v>
                </c:pt>
                <c:pt idx="92">
                  <c:v>4.9143708116157869E-2</c:v>
                </c:pt>
                <c:pt idx="93">
                  <c:v>7.1677644323905554E-2</c:v>
                </c:pt>
                <c:pt idx="94">
                  <c:v>7.0136581764488781E-2</c:v>
                </c:pt>
                <c:pt idx="95">
                  <c:v>5.3055250640322127E-2</c:v>
                </c:pt>
                <c:pt idx="96">
                  <c:v>4.009936124911273E-2</c:v>
                </c:pt>
                <c:pt idx="97">
                  <c:v>6.3991323210412121E-2</c:v>
                </c:pt>
                <c:pt idx="98">
                  <c:v>4.3118316660917477E-2</c:v>
                </c:pt>
                <c:pt idx="99">
                  <c:v>5.5594162612925491E-2</c:v>
                </c:pt>
                <c:pt idx="100">
                  <c:v>5.7659501876492714E-2</c:v>
                </c:pt>
                <c:pt idx="101">
                  <c:v>4.9609242269792686E-2</c:v>
                </c:pt>
                <c:pt idx="102">
                  <c:v>4.629629629629628E-2</c:v>
                </c:pt>
                <c:pt idx="103">
                  <c:v>4.4437129690585886E-2</c:v>
                </c:pt>
                <c:pt idx="104">
                  <c:v>4.9677419354838603E-2</c:v>
                </c:pt>
                <c:pt idx="105">
                  <c:v>4.6617028164454455E-2</c:v>
                </c:pt>
                <c:pt idx="106">
                  <c:v>3.7926675094816842E-2</c:v>
                </c:pt>
                <c:pt idx="107">
                  <c:v>3.8134257800189086E-2</c:v>
                </c:pt>
                <c:pt idx="108">
                  <c:v>3.7185003073140876E-2</c:v>
                </c:pt>
                <c:pt idx="109">
                  <c:v>4.0828951438292682E-2</c:v>
                </c:pt>
                <c:pt idx="110">
                  <c:v>5.3593179049939099E-2</c:v>
                </c:pt>
                <c:pt idx="111">
                  <c:v>7.5591985428051123E-2</c:v>
                </c:pt>
                <c:pt idx="112">
                  <c:v>9.866666666666668E-2</c:v>
                </c:pt>
                <c:pt idx="113">
                  <c:v>9.5988112927191782E-2</c:v>
                </c:pt>
                <c:pt idx="114">
                  <c:v>0.10867052023121371</c:v>
                </c:pt>
                <c:pt idx="115">
                  <c:v>8.2980524978831349E-2</c:v>
                </c:pt>
                <c:pt idx="116">
                  <c:v>6.2837108953613718E-2</c:v>
                </c:pt>
                <c:pt idx="117">
                  <c:v>9.0292841648589972E-2</c:v>
                </c:pt>
                <c:pt idx="118">
                  <c:v>8.5505735140771755E-2</c:v>
                </c:pt>
                <c:pt idx="119">
                  <c:v>0.10346624967422491</c:v>
                </c:pt>
                <c:pt idx="120">
                  <c:v>9.7944684090332634E-2</c:v>
                </c:pt>
                <c:pt idx="121">
                  <c:v>7.0877891071872812E-2</c:v>
                </c:pt>
                <c:pt idx="122">
                  <c:v>5.0432276657060626E-2</c:v>
                </c:pt>
                <c:pt idx="123">
                  <c:v>4.3221539914974016E-2</c:v>
                </c:pt>
                <c:pt idx="124">
                  <c:v>6.0318927663508104E-2</c:v>
                </c:pt>
                <c:pt idx="125">
                  <c:v>6.7580120761727702E-2</c:v>
                </c:pt>
                <c:pt idx="126">
                  <c:v>6.6529492455418282E-2</c:v>
                </c:pt>
                <c:pt idx="127">
                  <c:v>8.0144894724926363E-2</c:v>
                </c:pt>
                <c:pt idx="128">
                  <c:v>0.18766346992153449</c:v>
                </c:pt>
                <c:pt idx="129">
                  <c:v>0.17272134000435058</c:v>
                </c:pt>
                <c:pt idx="130">
                  <c:v>0.16720257234726699</c:v>
                </c:pt>
                <c:pt idx="131">
                  <c:v>0.15342695451687272</c:v>
                </c:pt>
                <c:pt idx="132">
                  <c:v>5.8359331987520635E-2</c:v>
                </c:pt>
                <c:pt idx="133">
                  <c:v>5.6019291411611993E-2</c:v>
                </c:pt>
                <c:pt idx="134">
                  <c:v>6.9237832874196492E-2</c:v>
                </c:pt>
                <c:pt idx="135">
                  <c:v>6.1239324005088136E-2</c:v>
                </c:pt>
                <c:pt idx="136">
                  <c:v>2.5143055314721607E-2</c:v>
                </c:pt>
                <c:pt idx="137">
                  <c:v>2.4942912348498103E-2</c:v>
                </c:pt>
                <c:pt idx="138">
                  <c:v>2.9543112332531818E-2</c:v>
                </c:pt>
                <c:pt idx="139">
                  <c:v>3.4931506849315008E-2</c:v>
                </c:pt>
                <c:pt idx="140">
                  <c:v>8.9648173207037551E-3</c:v>
                </c:pt>
                <c:pt idx="141">
                  <c:v>9.7686375321337504E-3</c:v>
                </c:pt>
                <c:pt idx="142">
                  <c:v>1.2345679012345734E-2</c:v>
                </c:pt>
                <c:pt idx="143">
                  <c:v>7.2799470549305134E-3</c:v>
                </c:pt>
                <c:pt idx="144">
                  <c:v>2.0284995808885098E-2</c:v>
                </c:pt>
                <c:pt idx="145">
                  <c:v>1.9348268839103788E-2</c:v>
                </c:pt>
                <c:pt idx="146">
                  <c:v>2.7356624917600492E-2</c:v>
                </c:pt>
                <c:pt idx="147">
                  <c:v>2.7759526938239132E-2</c:v>
                </c:pt>
                <c:pt idx="148">
                  <c:v>8.1169898126848494E-2</c:v>
                </c:pt>
                <c:pt idx="149">
                  <c:v>7.7422577422577188E-2</c:v>
                </c:pt>
                <c:pt idx="150">
                  <c:v>9.9935835739492829E-2</c:v>
                </c:pt>
                <c:pt idx="151">
                  <c:v>7.1599808214799276E-2</c:v>
                </c:pt>
                <c:pt idx="152">
                  <c:v>3.0091185410334509E-2</c:v>
                </c:pt>
                <c:pt idx="153">
                  <c:v>3.2143409055787497E-2</c:v>
                </c:pt>
                <c:pt idx="154">
                  <c:v>-1.7354528219337917E-2</c:v>
                </c:pt>
                <c:pt idx="155">
                  <c:v>-4.4742729306490592E-4</c:v>
                </c:pt>
                <c:pt idx="156">
                  <c:v>1.8442018294482221E-2</c:v>
                </c:pt>
                <c:pt idx="157">
                  <c:v>1.4073963168138803E-2</c:v>
                </c:pt>
                <c:pt idx="158">
                  <c:v>8.4594835262690182E-3</c:v>
                </c:pt>
                <c:pt idx="159">
                  <c:v>5.222321695016463E-3</c:v>
                </c:pt>
                <c:pt idx="160">
                  <c:v>-3.0566420396928917E-2</c:v>
                </c:pt>
                <c:pt idx="161">
                  <c:v>-2.5837885722722609E-2</c:v>
                </c:pt>
                <c:pt idx="162">
                  <c:v>-1.3539367181751305E-2</c:v>
                </c:pt>
                <c:pt idx="163">
                  <c:v>-8.4607392014250937E-3</c:v>
                </c:pt>
                <c:pt idx="164">
                  <c:v>9.8625224148236601E-3</c:v>
                </c:pt>
                <c:pt idx="165">
                  <c:v>2.5916944528644903E-2</c:v>
                </c:pt>
                <c:pt idx="166">
                  <c:v>7.3549157093838469E-2</c:v>
                </c:pt>
                <c:pt idx="167">
                  <c:v>6.4520958083832403E-2</c:v>
                </c:pt>
                <c:pt idx="168">
                  <c:v>0.16617342408996749</c:v>
                </c:pt>
                <c:pt idx="169">
                  <c:v>0.17373319544984489</c:v>
                </c:pt>
                <c:pt idx="170">
                  <c:v>0.26222901612006688</c:v>
                </c:pt>
                <c:pt idx="171">
                  <c:v>0.26184784137252159</c:v>
                </c:pt>
                <c:pt idx="172">
                  <c:v>0.15429514021063317</c:v>
                </c:pt>
                <c:pt idx="173">
                  <c:v>0.13404657016991806</c:v>
                </c:pt>
                <c:pt idx="174">
                  <c:v>-2.3120114499614597E-2</c:v>
                </c:pt>
                <c:pt idx="175">
                  <c:v>-2.7304134626100596E-2</c:v>
                </c:pt>
                <c:pt idx="176">
                  <c:v>2.9460261624711492E-2</c:v>
                </c:pt>
                <c:pt idx="177">
                  <c:v>4.5504994450610514E-2</c:v>
                </c:pt>
                <c:pt idx="178">
                  <c:v>6.1985799616815163E-2</c:v>
                </c:pt>
                <c:pt idx="179">
                  <c:v>5.6943171402383141E-2</c:v>
                </c:pt>
                <c:pt idx="180">
                  <c:v>5.082754938601175E-2</c:v>
                </c:pt>
                <c:pt idx="181">
                  <c:v>4.5859872611464958E-2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72-4480-89CC-CCBE33B60970}"/>
            </c:ext>
          </c:extLst>
        </c:ser>
        <c:ser>
          <c:idx val="2"/>
          <c:order val="2"/>
          <c:tx>
            <c:strRef>
              <c:f>'Energy Prices'!$Y$7</c:f>
              <c:strCache>
                <c:ptCount val="1"/>
                <c:pt idx="0">
                  <c:v>CPI YoY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Prices'!$V$8:$V$189</c:f>
              <c:numCache>
                <c:formatCode>mmm\ yyyy</c:formatCode>
                <c:ptCount val="182"/>
                <c:pt idx="0">
                  <c:v>29465</c:v>
                </c:pt>
                <c:pt idx="1">
                  <c:v>29556</c:v>
                </c:pt>
                <c:pt idx="2">
                  <c:v>29646</c:v>
                </c:pt>
                <c:pt idx="3">
                  <c:v>29738</c:v>
                </c:pt>
                <c:pt idx="4">
                  <c:v>29830</c:v>
                </c:pt>
                <c:pt idx="5">
                  <c:v>29921</c:v>
                </c:pt>
                <c:pt idx="6">
                  <c:v>30011</c:v>
                </c:pt>
                <c:pt idx="7">
                  <c:v>30103</c:v>
                </c:pt>
                <c:pt idx="8">
                  <c:v>30195</c:v>
                </c:pt>
                <c:pt idx="9">
                  <c:v>30286</c:v>
                </c:pt>
                <c:pt idx="10">
                  <c:v>30376</c:v>
                </c:pt>
                <c:pt idx="11">
                  <c:v>30468</c:v>
                </c:pt>
                <c:pt idx="12">
                  <c:v>30560</c:v>
                </c:pt>
                <c:pt idx="13">
                  <c:v>30651</c:v>
                </c:pt>
                <c:pt idx="14">
                  <c:v>30742</c:v>
                </c:pt>
                <c:pt idx="15">
                  <c:v>30834</c:v>
                </c:pt>
                <c:pt idx="16">
                  <c:v>30926</c:v>
                </c:pt>
                <c:pt idx="17">
                  <c:v>31017</c:v>
                </c:pt>
                <c:pt idx="18">
                  <c:v>31107</c:v>
                </c:pt>
                <c:pt idx="19">
                  <c:v>31199</c:v>
                </c:pt>
                <c:pt idx="20">
                  <c:v>31291</c:v>
                </c:pt>
                <c:pt idx="21">
                  <c:v>31382</c:v>
                </c:pt>
                <c:pt idx="22">
                  <c:v>31472</c:v>
                </c:pt>
                <c:pt idx="23">
                  <c:v>31564</c:v>
                </c:pt>
                <c:pt idx="24">
                  <c:v>31656</c:v>
                </c:pt>
                <c:pt idx="25">
                  <c:v>31747</c:v>
                </c:pt>
                <c:pt idx="26">
                  <c:v>31837</c:v>
                </c:pt>
                <c:pt idx="27">
                  <c:v>31929</c:v>
                </c:pt>
                <c:pt idx="28">
                  <c:v>32021</c:v>
                </c:pt>
                <c:pt idx="29">
                  <c:v>32112</c:v>
                </c:pt>
                <c:pt idx="30">
                  <c:v>32203</c:v>
                </c:pt>
                <c:pt idx="31">
                  <c:v>32295</c:v>
                </c:pt>
                <c:pt idx="32">
                  <c:v>32387</c:v>
                </c:pt>
                <c:pt idx="33">
                  <c:v>32478</c:v>
                </c:pt>
                <c:pt idx="34">
                  <c:v>32568</c:v>
                </c:pt>
                <c:pt idx="35">
                  <c:v>32660</c:v>
                </c:pt>
                <c:pt idx="36">
                  <c:v>32752</c:v>
                </c:pt>
                <c:pt idx="37">
                  <c:v>32843</c:v>
                </c:pt>
                <c:pt idx="38">
                  <c:v>32933</c:v>
                </c:pt>
                <c:pt idx="39">
                  <c:v>33025</c:v>
                </c:pt>
                <c:pt idx="40">
                  <c:v>33117</c:v>
                </c:pt>
                <c:pt idx="41">
                  <c:v>33208</c:v>
                </c:pt>
                <c:pt idx="42">
                  <c:v>33298</c:v>
                </c:pt>
                <c:pt idx="43">
                  <c:v>33390</c:v>
                </c:pt>
                <c:pt idx="44">
                  <c:v>33482</c:v>
                </c:pt>
                <c:pt idx="45">
                  <c:v>33573</c:v>
                </c:pt>
                <c:pt idx="46">
                  <c:v>33664</c:v>
                </c:pt>
                <c:pt idx="47">
                  <c:v>33756</c:v>
                </c:pt>
                <c:pt idx="48">
                  <c:v>33848</c:v>
                </c:pt>
                <c:pt idx="49">
                  <c:v>33939</c:v>
                </c:pt>
                <c:pt idx="50">
                  <c:v>34029</c:v>
                </c:pt>
                <c:pt idx="51">
                  <c:v>34121</c:v>
                </c:pt>
                <c:pt idx="52">
                  <c:v>34213</c:v>
                </c:pt>
                <c:pt idx="53">
                  <c:v>34304</c:v>
                </c:pt>
                <c:pt idx="54">
                  <c:v>34394</c:v>
                </c:pt>
                <c:pt idx="55">
                  <c:v>34486</c:v>
                </c:pt>
                <c:pt idx="56">
                  <c:v>34578</c:v>
                </c:pt>
                <c:pt idx="57">
                  <c:v>34669</c:v>
                </c:pt>
                <c:pt idx="58">
                  <c:v>34759</c:v>
                </c:pt>
                <c:pt idx="59">
                  <c:v>34851</c:v>
                </c:pt>
                <c:pt idx="60">
                  <c:v>34943</c:v>
                </c:pt>
                <c:pt idx="61">
                  <c:v>35034</c:v>
                </c:pt>
                <c:pt idx="62">
                  <c:v>35125</c:v>
                </c:pt>
                <c:pt idx="63">
                  <c:v>35217</c:v>
                </c:pt>
                <c:pt idx="64">
                  <c:v>35309</c:v>
                </c:pt>
                <c:pt idx="65">
                  <c:v>35400</c:v>
                </c:pt>
                <c:pt idx="66">
                  <c:v>35490</c:v>
                </c:pt>
                <c:pt idx="67">
                  <c:v>35582</c:v>
                </c:pt>
                <c:pt idx="68">
                  <c:v>35674</c:v>
                </c:pt>
                <c:pt idx="69">
                  <c:v>35765</c:v>
                </c:pt>
                <c:pt idx="70">
                  <c:v>35855</c:v>
                </c:pt>
                <c:pt idx="71">
                  <c:v>35947</c:v>
                </c:pt>
                <c:pt idx="72">
                  <c:v>36039</c:v>
                </c:pt>
                <c:pt idx="73">
                  <c:v>36130</c:v>
                </c:pt>
                <c:pt idx="74">
                  <c:v>36220</c:v>
                </c:pt>
                <c:pt idx="75">
                  <c:v>36312</c:v>
                </c:pt>
                <c:pt idx="76">
                  <c:v>36404</c:v>
                </c:pt>
                <c:pt idx="77">
                  <c:v>36495</c:v>
                </c:pt>
                <c:pt idx="78">
                  <c:v>36586</c:v>
                </c:pt>
                <c:pt idx="79">
                  <c:v>36678</c:v>
                </c:pt>
                <c:pt idx="80">
                  <c:v>36770</c:v>
                </c:pt>
                <c:pt idx="81">
                  <c:v>36861</c:v>
                </c:pt>
                <c:pt idx="82">
                  <c:v>36951</c:v>
                </c:pt>
                <c:pt idx="83">
                  <c:v>37043</c:v>
                </c:pt>
                <c:pt idx="84">
                  <c:v>37135</c:v>
                </c:pt>
                <c:pt idx="85">
                  <c:v>37226</c:v>
                </c:pt>
                <c:pt idx="86">
                  <c:v>37316</c:v>
                </c:pt>
                <c:pt idx="87">
                  <c:v>37408</c:v>
                </c:pt>
                <c:pt idx="88">
                  <c:v>37500</c:v>
                </c:pt>
                <c:pt idx="89">
                  <c:v>37591</c:v>
                </c:pt>
                <c:pt idx="90">
                  <c:v>37681</c:v>
                </c:pt>
                <c:pt idx="91">
                  <c:v>37773</c:v>
                </c:pt>
                <c:pt idx="92">
                  <c:v>37865</c:v>
                </c:pt>
                <c:pt idx="93">
                  <c:v>37956</c:v>
                </c:pt>
                <c:pt idx="94">
                  <c:v>38047</c:v>
                </c:pt>
                <c:pt idx="95">
                  <c:v>38139</c:v>
                </c:pt>
                <c:pt idx="96">
                  <c:v>38231</c:v>
                </c:pt>
                <c:pt idx="97">
                  <c:v>38322</c:v>
                </c:pt>
                <c:pt idx="98">
                  <c:v>38412</c:v>
                </c:pt>
                <c:pt idx="99">
                  <c:v>38504</c:v>
                </c:pt>
                <c:pt idx="100">
                  <c:v>38596</c:v>
                </c:pt>
                <c:pt idx="101">
                  <c:v>38687</c:v>
                </c:pt>
                <c:pt idx="102">
                  <c:v>38777</c:v>
                </c:pt>
                <c:pt idx="103">
                  <c:v>38869</c:v>
                </c:pt>
                <c:pt idx="104">
                  <c:v>38961</c:v>
                </c:pt>
                <c:pt idx="105">
                  <c:v>39052</c:v>
                </c:pt>
                <c:pt idx="106">
                  <c:v>39142</c:v>
                </c:pt>
                <c:pt idx="107">
                  <c:v>39234</c:v>
                </c:pt>
                <c:pt idx="108">
                  <c:v>39326</c:v>
                </c:pt>
                <c:pt idx="109">
                  <c:v>39417</c:v>
                </c:pt>
                <c:pt idx="110">
                  <c:v>39508</c:v>
                </c:pt>
                <c:pt idx="111">
                  <c:v>39600</c:v>
                </c:pt>
                <c:pt idx="112">
                  <c:v>39692</c:v>
                </c:pt>
                <c:pt idx="113">
                  <c:v>39783</c:v>
                </c:pt>
                <c:pt idx="114">
                  <c:v>39873</c:v>
                </c:pt>
                <c:pt idx="115">
                  <c:v>39965</c:v>
                </c:pt>
                <c:pt idx="116">
                  <c:v>40057</c:v>
                </c:pt>
                <c:pt idx="117">
                  <c:v>40148</c:v>
                </c:pt>
                <c:pt idx="118">
                  <c:v>40238</c:v>
                </c:pt>
                <c:pt idx="119">
                  <c:v>40330</c:v>
                </c:pt>
                <c:pt idx="120">
                  <c:v>40422</c:v>
                </c:pt>
                <c:pt idx="121">
                  <c:v>40513</c:v>
                </c:pt>
                <c:pt idx="122">
                  <c:v>40603</c:v>
                </c:pt>
                <c:pt idx="123">
                  <c:v>40695</c:v>
                </c:pt>
                <c:pt idx="124">
                  <c:v>40787</c:v>
                </c:pt>
                <c:pt idx="125">
                  <c:v>40878</c:v>
                </c:pt>
                <c:pt idx="126">
                  <c:v>40969</c:v>
                </c:pt>
                <c:pt idx="127">
                  <c:v>41061</c:v>
                </c:pt>
                <c:pt idx="128">
                  <c:v>41153</c:v>
                </c:pt>
                <c:pt idx="129">
                  <c:v>41244</c:v>
                </c:pt>
                <c:pt idx="130">
                  <c:v>41334</c:v>
                </c:pt>
                <c:pt idx="131">
                  <c:v>41426</c:v>
                </c:pt>
                <c:pt idx="132">
                  <c:v>41518</c:v>
                </c:pt>
                <c:pt idx="133">
                  <c:v>41609</c:v>
                </c:pt>
                <c:pt idx="134">
                  <c:v>41699</c:v>
                </c:pt>
                <c:pt idx="135">
                  <c:v>41791</c:v>
                </c:pt>
                <c:pt idx="136">
                  <c:v>41883</c:v>
                </c:pt>
                <c:pt idx="137">
                  <c:v>41974</c:v>
                </c:pt>
                <c:pt idx="138">
                  <c:v>42064</c:v>
                </c:pt>
                <c:pt idx="139">
                  <c:v>42156</c:v>
                </c:pt>
                <c:pt idx="140">
                  <c:v>42248</c:v>
                </c:pt>
                <c:pt idx="141">
                  <c:v>42339</c:v>
                </c:pt>
                <c:pt idx="142">
                  <c:v>42430</c:v>
                </c:pt>
                <c:pt idx="143">
                  <c:v>42522</c:v>
                </c:pt>
                <c:pt idx="144">
                  <c:v>42614</c:v>
                </c:pt>
                <c:pt idx="145">
                  <c:v>42705</c:v>
                </c:pt>
                <c:pt idx="146">
                  <c:v>42795</c:v>
                </c:pt>
                <c:pt idx="147">
                  <c:v>42887</c:v>
                </c:pt>
                <c:pt idx="148">
                  <c:v>42979</c:v>
                </c:pt>
                <c:pt idx="149">
                  <c:v>43070</c:v>
                </c:pt>
                <c:pt idx="150">
                  <c:v>43160</c:v>
                </c:pt>
                <c:pt idx="151">
                  <c:v>43252</c:v>
                </c:pt>
                <c:pt idx="152">
                  <c:v>43344</c:v>
                </c:pt>
                <c:pt idx="153">
                  <c:v>43435</c:v>
                </c:pt>
                <c:pt idx="154">
                  <c:v>43525</c:v>
                </c:pt>
                <c:pt idx="155">
                  <c:v>43617</c:v>
                </c:pt>
                <c:pt idx="156">
                  <c:v>43709</c:v>
                </c:pt>
                <c:pt idx="157">
                  <c:v>43800</c:v>
                </c:pt>
                <c:pt idx="158">
                  <c:v>43891</c:v>
                </c:pt>
                <c:pt idx="159">
                  <c:v>43983</c:v>
                </c:pt>
                <c:pt idx="160">
                  <c:v>44075</c:v>
                </c:pt>
                <c:pt idx="161">
                  <c:v>44166</c:v>
                </c:pt>
                <c:pt idx="162">
                  <c:v>44256</c:v>
                </c:pt>
                <c:pt idx="163">
                  <c:v>44348</c:v>
                </c:pt>
                <c:pt idx="164">
                  <c:v>44440</c:v>
                </c:pt>
                <c:pt idx="165">
                  <c:v>44531</c:v>
                </c:pt>
                <c:pt idx="166">
                  <c:v>44621</c:v>
                </c:pt>
                <c:pt idx="167">
                  <c:v>44713</c:v>
                </c:pt>
                <c:pt idx="168">
                  <c:v>44805</c:v>
                </c:pt>
                <c:pt idx="169">
                  <c:v>44896</c:v>
                </c:pt>
                <c:pt idx="170">
                  <c:v>44986</c:v>
                </c:pt>
                <c:pt idx="171">
                  <c:v>45078</c:v>
                </c:pt>
                <c:pt idx="172">
                  <c:v>45170</c:v>
                </c:pt>
                <c:pt idx="173">
                  <c:v>45261</c:v>
                </c:pt>
                <c:pt idx="174">
                  <c:v>45352</c:v>
                </c:pt>
                <c:pt idx="175">
                  <c:v>45444</c:v>
                </c:pt>
                <c:pt idx="176">
                  <c:v>45536</c:v>
                </c:pt>
                <c:pt idx="177">
                  <c:v>45627</c:v>
                </c:pt>
                <c:pt idx="178">
                  <c:v>45717</c:v>
                </c:pt>
                <c:pt idx="179">
                  <c:v>45809</c:v>
                </c:pt>
                <c:pt idx="180">
                  <c:v>45901</c:v>
                </c:pt>
                <c:pt idx="181">
                  <c:v>45992</c:v>
                </c:pt>
              </c:numCache>
            </c:numRef>
          </c:cat>
          <c:val>
            <c:numRef>
              <c:f>'Energy Prices'!$Y$8:$Y$189</c:f>
              <c:numCache>
                <c:formatCode>0.0%;[Red]\(0.0%\);\-</c:formatCode>
                <c:ptCount val="182"/>
                <c:pt idx="0">
                  <c:v>0.10131108462455307</c:v>
                </c:pt>
                <c:pt idx="1">
                  <c:v>9.201388888888884E-2</c:v>
                </c:pt>
                <c:pt idx="2">
                  <c:v>9.3944538766270291E-2</c:v>
                </c:pt>
                <c:pt idx="3">
                  <c:v>8.7506879471656474E-2</c:v>
                </c:pt>
                <c:pt idx="4">
                  <c:v>8.982683982683981E-2</c:v>
                </c:pt>
                <c:pt idx="5">
                  <c:v>0.11234764175940626</c:v>
                </c:pt>
                <c:pt idx="6">
                  <c:v>0.10605276771857231</c:v>
                </c:pt>
                <c:pt idx="7">
                  <c:v>0.10728744939271251</c:v>
                </c:pt>
                <c:pt idx="8">
                  <c:v>0.12462760675273077</c:v>
                </c:pt>
                <c:pt idx="9">
                  <c:v>0.11052882324916635</c:v>
                </c:pt>
                <c:pt idx="10">
                  <c:v>0.11365762394761458</c:v>
                </c:pt>
                <c:pt idx="11">
                  <c:v>0.11151736745886653</c:v>
                </c:pt>
                <c:pt idx="12">
                  <c:v>9.2273730684326649E-2</c:v>
                </c:pt>
                <c:pt idx="13">
                  <c:v>8.6229086229086205E-2</c:v>
                </c:pt>
                <c:pt idx="14">
                  <c:v>5.8798824023519547E-2</c:v>
                </c:pt>
                <c:pt idx="15">
                  <c:v>3.9473684210526327E-2</c:v>
                </c:pt>
                <c:pt idx="16">
                  <c:v>3.4357316087308076E-2</c:v>
                </c:pt>
                <c:pt idx="17">
                  <c:v>2.6066350710900466E-2</c:v>
                </c:pt>
                <c:pt idx="18">
                  <c:v>4.4426814756049149E-2</c:v>
                </c:pt>
                <c:pt idx="19">
                  <c:v>6.6060126582278444E-2</c:v>
                </c:pt>
                <c:pt idx="20">
                  <c:v>7.6983196561156708E-2</c:v>
                </c:pt>
                <c:pt idx="21">
                  <c:v>8.1986143187066984E-2</c:v>
                </c:pt>
                <c:pt idx="22">
                  <c:v>9.2290163311811835E-2</c:v>
                </c:pt>
                <c:pt idx="23">
                  <c:v>8.4601113172541709E-2</c:v>
                </c:pt>
                <c:pt idx="24">
                  <c:v>8.8534107402032047E-2</c:v>
                </c:pt>
                <c:pt idx="25">
                  <c:v>9.7474208466737933E-2</c:v>
                </c:pt>
                <c:pt idx="26">
                  <c:v>9.4228094575799615E-2</c:v>
                </c:pt>
                <c:pt idx="27">
                  <c:v>9.2370851864522763E-2</c:v>
                </c:pt>
                <c:pt idx="28">
                  <c:v>8.2333333333333369E-2</c:v>
                </c:pt>
                <c:pt idx="29">
                  <c:v>7.1312803889789222E-2</c:v>
                </c:pt>
                <c:pt idx="30">
                  <c:v>6.8636796949475887E-2</c:v>
                </c:pt>
                <c:pt idx="31">
                  <c:v>7.1406201064829311E-2</c:v>
                </c:pt>
                <c:pt idx="32">
                  <c:v>7.3914382506929499E-2</c:v>
                </c:pt>
                <c:pt idx="33">
                  <c:v>7.6248108925869973E-2</c:v>
                </c:pt>
                <c:pt idx="34">
                  <c:v>6.7796610169491345E-2</c:v>
                </c:pt>
                <c:pt idx="35">
                  <c:v>7.5708857059339163E-2</c:v>
                </c:pt>
                <c:pt idx="36">
                  <c:v>7.9724691712073525E-2</c:v>
                </c:pt>
                <c:pt idx="37">
                  <c:v>7.8155749226876514E-2</c:v>
                </c:pt>
                <c:pt idx="38">
                  <c:v>8.6326928432191696E-2</c:v>
                </c:pt>
                <c:pt idx="39">
                  <c:v>7.6902173913043548E-2</c:v>
                </c:pt>
                <c:pt idx="40">
                  <c:v>6.0823373173970685E-2</c:v>
                </c:pt>
                <c:pt idx="41">
                  <c:v>6.8578878748370098E-2</c:v>
                </c:pt>
                <c:pt idx="42">
                  <c:v>4.8449115611381766E-2</c:v>
                </c:pt>
                <c:pt idx="43">
                  <c:v>3.4065102195306451E-2</c:v>
                </c:pt>
                <c:pt idx="44">
                  <c:v>3.1797696544817233E-2</c:v>
                </c:pt>
                <c:pt idx="45">
                  <c:v>1.512933138116157E-2</c:v>
                </c:pt>
                <c:pt idx="46">
                  <c:v>1.7114914425427896E-2</c:v>
                </c:pt>
                <c:pt idx="47">
                  <c:v>1.2201073694485087E-2</c:v>
                </c:pt>
                <c:pt idx="48">
                  <c:v>7.5224460082505828E-3</c:v>
                </c:pt>
                <c:pt idx="49">
                  <c:v>2.6442307692307043E-3</c:v>
                </c:pt>
                <c:pt idx="50">
                  <c:v>1.2019230769230838E-2</c:v>
                </c:pt>
                <c:pt idx="51">
                  <c:v>1.8563162970106184E-2</c:v>
                </c:pt>
                <c:pt idx="52">
                  <c:v>2.2398843930635737E-2</c:v>
                </c:pt>
                <c:pt idx="53">
                  <c:v>1.9659554063773621E-2</c:v>
                </c:pt>
                <c:pt idx="54">
                  <c:v>1.3776722090261151E-2</c:v>
                </c:pt>
                <c:pt idx="55">
                  <c:v>1.7514792899408382E-2</c:v>
                </c:pt>
                <c:pt idx="56">
                  <c:v>1.9081272084805478E-2</c:v>
                </c:pt>
                <c:pt idx="57">
                  <c:v>2.539383964260522E-2</c:v>
                </c:pt>
                <c:pt idx="58">
                  <c:v>3.8894095595126688E-2</c:v>
                </c:pt>
                <c:pt idx="59">
                  <c:v>4.4894161432891266E-2</c:v>
                </c:pt>
                <c:pt idx="60">
                  <c:v>5.0855293573740301E-2</c:v>
                </c:pt>
                <c:pt idx="61">
                  <c:v>5.0447145150194883E-2</c:v>
                </c:pt>
                <c:pt idx="62">
                  <c:v>3.7437979251240261E-2</c:v>
                </c:pt>
                <c:pt idx="63">
                  <c:v>3.0943900267141666E-2</c:v>
                </c:pt>
                <c:pt idx="64">
                  <c:v>2.1337439507259193E-2</c:v>
                </c:pt>
                <c:pt idx="65">
                  <c:v>1.5280506439641961E-2</c:v>
                </c:pt>
                <c:pt idx="66">
                  <c:v>1.2608695652173818E-2</c:v>
                </c:pt>
                <c:pt idx="67">
                  <c:v>3.4549773267111838E-3</c:v>
                </c:pt>
                <c:pt idx="68">
                  <c:v>-3.2306698255437638E-3</c:v>
                </c:pt>
                <c:pt idx="69">
                  <c:v>-2.5800903031605316E-3</c:v>
                </c:pt>
                <c:pt idx="70">
                  <c:v>-1.5027908973808124E-3</c:v>
                </c:pt>
                <c:pt idx="71">
                  <c:v>6.6709705186143164E-3</c:v>
                </c:pt>
                <c:pt idx="72">
                  <c:v>1.361279170267915E-2</c:v>
                </c:pt>
                <c:pt idx="73">
                  <c:v>1.5520586333261477E-2</c:v>
                </c:pt>
                <c:pt idx="74">
                  <c:v>1.2255428940012969E-2</c:v>
                </c:pt>
                <c:pt idx="75">
                  <c:v>1.090209491235572E-2</c:v>
                </c:pt>
                <c:pt idx="76">
                  <c:v>1.7267107226604184E-2</c:v>
                </c:pt>
                <c:pt idx="77">
                  <c:v>1.8255147527064253E-2</c:v>
                </c:pt>
                <c:pt idx="78">
                  <c:v>2.8037383177570208E-2</c:v>
                </c:pt>
                <c:pt idx="79">
                  <c:v>3.1296257136815386E-2</c:v>
                </c:pt>
                <c:pt idx="80">
                  <c:v>6.0142497904442704E-2</c:v>
                </c:pt>
                <c:pt idx="81">
                  <c:v>5.8161350844277759E-2</c:v>
                </c:pt>
                <c:pt idx="82">
                  <c:v>5.9917355371900793E-2</c:v>
                </c:pt>
                <c:pt idx="83">
                  <c:v>6.0693049005535959E-2</c:v>
                </c:pt>
                <c:pt idx="84">
                  <c:v>2.5301442972919475E-2</c:v>
                </c:pt>
                <c:pt idx="85">
                  <c:v>3.1323877068557993E-2</c:v>
                </c:pt>
                <c:pt idx="86">
                  <c:v>2.9629629629629672E-2</c:v>
                </c:pt>
                <c:pt idx="87">
                  <c:v>2.8416779431664541E-2</c:v>
                </c:pt>
                <c:pt idx="88">
                  <c:v>3.2581453634085378E-2</c:v>
                </c:pt>
                <c:pt idx="89">
                  <c:v>2.9990448901623612E-2</c:v>
                </c:pt>
                <c:pt idx="90">
                  <c:v>3.4078000757288951E-2</c:v>
                </c:pt>
                <c:pt idx="91">
                  <c:v>2.6691729323308211E-2</c:v>
                </c:pt>
                <c:pt idx="92">
                  <c:v>2.5578790141896901E-2</c:v>
                </c:pt>
                <c:pt idx="93">
                  <c:v>2.4109792284866316E-2</c:v>
                </c:pt>
                <c:pt idx="94">
                  <c:v>1.995606005126338E-2</c:v>
                </c:pt>
                <c:pt idx="95">
                  <c:v>2.4716221164408747E-2</c:v>
                </c:pt>
                <c:pt idx="96">
                  <c:v>2.3120334971782341E-2</c:v>
                </c:pt>
                <c:pt idx="97">
                  <c:v>2.553422672944583E-2</c:v>
                </c:pt>
                <c:pt idx="98">
                  <c:v>2.3335128343205946E-2</c:v>
                </c:pt>
                <c:pt idx="99">
                  <c:v>2.4656065749508738E-2</c:v>
                </c:pt>
                <c:pt idx="100">
                  <c:v>3.0604982206405618E-2</c:v>
                </c:pt>
                <c:pt idx="101">
                  <c:v>2.8076990994172712E-2</c:v>
                </c:pt>
                <c:pt idx="102">
                  <c:v>2.9994737765304258E-2</c:v>
                </c:pt>
                <c:pt idx="103">
                  <c:v>4.0104620749781938E-2</c:v>
                </c:pt>
                <c:pt idx="104">
                  <c:v>3.9019337016574562E-2</c:v>
                </c:pt>
                <c:pt idx="105">
                  <c:v>3.2463071109584352E-2</c:v>
                </c:pt>
                <c:pt idx="106">
                  <c:v>2.4523160762942808E-2</c:v>
                </c:pt>
                <c:pt idx="107">
                  <c:v>2.0955574182732528E-2</c:v>
                </c:pt>
                <c:pt idx="108">
                  <c:v>1.8943170488534333E-2</c:v>
                </c:pt>
                <c:pt idx="109">
                  <c:v>2.9612377308268156E-2</c:v>
                </c:pt>
                <c:pt idx="110">
                  <c:v>4.2553191489361764E-2</c:v>
                </c:pt>
                <c:pt idx="111">
                  <c:v>4.482758620689653E-2</c:v>
                </c:pt>
                <c:pt idx="112">
                  <c:v>4.9739073711676518E-2</c:v>
                </c:pt>
                <c:pt idx="113">
                  <c:v>3.6677977056067235E-2</c:v>
                </c:pt>
                <c:pt idx="114">
                  <c:v>2.4075255102040893E-2</c:v>
                </c:pt>
                <c:pt idx="115">
                  <c:v>1.4458588716014464E-2</c:v>
                </c:pt>
                <c:pt idx="116">
                  <c:v>1.2272797887214359E-2</c:v>
                </c:pt>
                <c:pt idx="117">
                  <c:v>2.1041147132169646E-2</c:v>
                </c:pt>
                <c:pt idx="118">
                  <c:v>2.9425502101821488E-2</c:v>
                </c:pt>
                <c:pt idx="119">
                  <c:v>3.0518977536793113E-2</c:v>
                </c:pt>
                <c:pt idx="120">
                  <c:v>2.8238182934315681E-2</c:v>
                </c:pt>
                <c:pt idx="121">
                  <c:v>2.6713478858189532E-2</c:v>
                </c:pt>
                <c:pt idx="122">
                  <c:v>3.2970356926799615E-2</c:v>
                </c:pt>
                <c:pt idx="123">
                  <c:v>3.6229705351774166E-2</c:v>
                </c:pt>
                <c:pt idx="124">
                  <c:v>3.4925373134328419E-2</c:v>
                </c:pt>
                <c:pt idx="125">
                  <c:v>3.0924769550996212E-2</c:v>
                </c:pt>
                <c:pt idx="126">
                  <c:v>1.5812591508052698E-2</c:v>
                </c:pt>
                <c:pt idx="127">
                  <c:v>1.1751051791672573E-2</c:v>
                </c:pt>
                <c:pt idx="128">
                  <c:v>1.9469281799826765E-2</c:v>
                </c:pt>
                <c:pt idx="129">
                  <c:v>2.2065186039803786E-2</c:v>
                </c:pt>
                <c:pt idx="130">
                  <c:v>2.493513980974349E-2</c:v>
                </c:pt>
                <c:pt idx="131">
                  <c:v>2.3515916260395731E-2</c:v>
                </c:pt>
                <c:pt idx="132">
                  <c:v>2.2068185033243815E-2</c:v>
                </c:pt>
                <c:pt idx="133">
                  <c:v>2.6809651474530627E-2</c:v>
                </c:pt>
                <c:pt idx="134">
                  <c:v>2.9391084235691256E-2</c:v>
                </c:pt>
                <c:pt idx="135">
                  <c:v>3.0680862986830926E-2</c:v>
                </c:pt>
                <c:pt idx="136">
                  <c:v>2.256055363321785E-2</c:v>
                </c:pt>
                <c:pt idx="137">
                  <c:v>1.7177408272639916E-2</c:v>
                </c:pt>
                <c:pt idx="138">
                  <c:v>1.3114754098360493E-2</c:v>
                </c:pt>
                <c:pt idx="139">
                  <c:v>1.5223596574690745E-2</c:v>
                </c:pt>
                <c:pt idx="140">
                  <c:v>1.4889009204114956E-2</c:v>
                </c:pt>
                <c:pt idx="141">
                  <c:v>1.6887327749256942E-2</c:v>
                </c:pt>
                <c:pt idx="142">
                  <c:v>1.2944983818770295E-2</c:v>
                </c:pt>
                <c:pt idx="143">
                  <c:v>1.0175391618690632E-2</c:v>
                </c:pt>
                <c:pt idx="144">
                  <c:v>1.3336889837289867E-2</c:v>
                </c:pt>
                <c:pt idx="145">
                  <c:v>1.4746911119968065E-2</c:v>
                </c:pt>
                <c:pt idx="146">
                  <c:v>2.1432374866879655E-2</c:v>
                </c:pt>
                <c:pt idx="147">
                  <c:v>1.8952948972829509E-2</c:v>
                </c:pt>
                <c:pt idx="148">
                  <c:v>1.8031060805475008E-2</c:v>
                </c:pt>
                <c:pt idx="149">
                  <c:v>1.9507724535218873E-2</c:v>
                </c:pt>
                <c:pt idx="150">
                  <c:v>1.9288413918936431E-2</c:v>
                </c:pt>
                <c:pt idx="151">
                  <c:v>2.0941727367325802E-2</c:v>
                </c:pt>
                <c:pt idx="152">
                  <c:v>1.9133807369101641E-2</c:v>
                </c:pt>
                <c:pt idx="153">
                  <c:v>1.7593424939000846E-2</c:v>
                </c:pt>
                <c:pt idx="154">
                  <c:v>1.3041810510165064E-2</c:v>
                </c:pt>
                <c:pt idx="155">
                  <c:v>1.5415976557523248E-2</c:v>
                </c:pt>
                <c:pt idx="156">
                  <c:v>1.674489407585944E-2</c:v>
                </c:pt>
                <c:pt idx="157">
                  <c:v>1.8425037859666871E-2</c:v>
                </c:pt>
                <c:pt idx="158">
                  <c:v>2.2340022718667196E-2</c:v>
                </c:pt>
                <c:pt idx="159">
                  <c:v>-3.2622333751568533E-3</c:v>
                </c:pt>
                <c:pt idx="160">
                  <c:v>6.4878353087960416E-3</c:v>
                </c:pt>
                <c:pt idx="161">
                  <c:v>8.6741016109046498E-3</c:v>
                </c:pt>
                <c:pt idx="162">
                  <c:v>1.0740740740740717E-2</c:v>
                </c:pt>
                <c:pt idx="163">
                  <c:v>3.8141993957703901E-2</c:v>
                </c:pt>
                <c:pt idx="164">
                  <c:v>3.0990454939878509E-2</c:v>
                </c:pt>
                <c:pt idx="165">
                  <c:v>3.4766584766584785E-2</c:v>
                </c:pt>
                <c:pt idx="166">
                  <c:v>5.1056553071943123E-2</c:v>
                </c:pt>
                <c:pt idx="167">
                  <c:v>6.2083181763065376E-2</c:v>
                </c:pt>
                <c:pt idx="168">
                  <c:v>7.25021041240832E-2</c:v>
                </c:pt>
                <c:pt idx="169">
                  <c:v>7.8594325062329329E-2</c:v>
                </c:pt>
                <c:pt idx="170">
                  <c:v>7.007553747821027E-2</c:v>
                </c:pt>
                <c:pt idx="171">
                  <c:v>6.0280853978764704E-2</c:v>
                </c:pt>
                <c:pt idx="172">
                  <c:v>5.3139013452914829E-2</c:v>
                </c:pt>
                <c:pt idx="173">
                  <c:v>4.0506329113924044E-2</c:v>
                </c:pt>
                <c:pt idx="174">
                  <c:v>3.6164205039096453E-2</c:v>
                </c:pt>
                <c:pt idx="175">
                  <c:v>3.8117799073974279E-2</c:v>
                </c:pt>
                <c:pt idx="176">
                  <c:v>2.852884820097934E-2</c:v>
                </c:pt>
                <c:pt idx="177">
                  <c:v>2.4119327197714924E-2</c:v>
                </c:pt>
                <c:pt idx="178">
                  <c:v>2.4001676973063768E-2</c:v>
                </c:pt>
                <c:pt idx="179">
                  <c:v>2.0952183383466494E-2</c:v>
                </c:pt>
                <c:pt idx="180">
                  <c:v>3.2187952804802356E-2</c:v>
                </c:pt>
                <c:pt idx="181">
                  <c:v>3.6256585063526359E-2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72-4480-89CC-CCBE33B60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704576"/>
        <c:axId val="1936492800"/>
      </c:lineChart>
      <c:dateAx>
        <c:axId val="205970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92800"/>
        <c:crosses val="autoZero"/>
        <c:auto val="1"/>
        <c:lblOffset val="100"/>
        <c:baseTimeUnit val="months"/>
      </c:dateAx>
      <c:valAx>
        <c:axId val="193649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YoY 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0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Annualised growth by decade (CAGR)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'Energy Prices'!$B$21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'Energy Prices'!$A$22:$A$26</c:f>
              <c:strCache>
                <c:ptCount val="5"/>
                <c:pt idx="0">
                  <c:v>1980s (1980–1990)</c:v>
                </c:pt>
                <c:pt idx="1">
                  <c:v>1990s (1990–2000)</c:v>
                </c:pt>
                <c:pt idx="2">
                  <c:v>2000s (2000–2010)</c:v>
                </c:pt>
                <c:pt idx="3">
                  <c:v>2010s (2010–2020)</c:v>
                </c:pt>
                <c:pt idx="4">
                  <c:v>2020s so far (2020–2025)</c:v>
                </c:pt>
              </c:strCache>
            </c:strRef>
          </c:cat>
          <c:val>
            <c:numRef>
              <c:f>'Energy Prices'!$B$22:$B$26</c:f>
              <c:numCache>
                <c:formatCode>0.0%;[Red]\(0.0%\);\-</c:formatCode>
                <c:ptCount val="5"/>
                <c:pt idx="0">
                  <c:v>9.1614296895311309E-2</c:v>
                </c:pt>
                <c:pt idx="1">
                  <c:v>2.1835326079469031E-2</c:v>
                </c:pt>
                <c:pt idx="2">
                  <c:v>6.299167582184273E-2</c:v>
                </c:pt>
                <c:pt idx="3">
                  <c:v>3.4696374368596183E-2</c:v>
                </c:pt>
                <c:pt idx="4">
                  <c:v>2.9065704376990187E-2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A-4525-94A5-3270BE784766}"/>
            </c:ext>
          </c:extLst>
        </c:ser>
        <c:ser>
          <c:idx val="1"/>
          <c:order val="1"/>
          <c:tx>
            <c:strRef>
              <c:f>'Energy Prices'!$C$21</c:f>
              <c:strCache>
                <c:ptCount val="1"/>
                <c:pt idx="0">
                  <c:v>Gas &amp; household fuels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'Energy Prices'!$A$22:$A$26</c:f>
              <c:strCache>
                <c:ptCount val="5"/>
                <c:pt idx="0">
                  <c:v>1980s (1980–1990)</c:v>
                </c:pt>
                <c:pt idx="1">
                  <c:v>1990s (1990–2000)</c:v>
                </c:pt>
                <c:pt idx="2">
                  <c:v>2000s (2000–2010)</c:v>
                </c:pt>
                <c:pt idx="3">
                  <c:v>2010s (2010–2020)</c:v>
                </c:pt>
                <c:pt idx="4">
                  <c:v>2020s so far (2020–2025)</c:v>
                </c:pt>
              </c:strCache>
            </c:strRef>
          </c:cat>
          <c:val>
            <c:numRef>
              <c:f>'Energy Prices'!$C$22:$C$26</c:f>
              <c:numCache>
                <c:formatCode>0.0%;[Red]\(0.0%\);\-</c:formatCode>
                <c:ptCount val="5"/>
                <c:pt idx="0" formatCode="General">
                  <c:v>0</c:v>
                </c:pt>
                <c:pt idx="1">
                  <c:v>2.7104331381045732E-2</c:v>
                </c:pt>
                <c:pt idx="2">
                  <c:v>5.9667640232862196E-2</c:v>
                </c:pt>
                <c:pt idx="3">
                  <c:v>4.3599418825568392E-2</c:v>
                </c:pt>
                <c:pt idx="4">
                  <c:v>8.3483790415280312E-2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CA-4525-94A5-3270BE784766}"/>
            </c:ext>
          </c:extLst>
        </c:ser>
        <c:ser>
          <c:idx val="2"/>
          <c:order val="2"/>
          <c:tx>
            <c:strRef>
              <c:f>'Energy Prices'!$D$21</c:f>
              <c:strCache>
                <c:ptCount val="1"/>
                <c:pt idx="0">
                  <c:v>All Groups CPI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'Energy Prices'!$A$22:$A$26</c:f>
              <c:strCache>
                <c:ptCount val="5"/>
                <c:pt idx="0">
                  <c:v>1980s (1980–1990)</c:v>
                </c:pt>
                <c:pt idx="1">
                  <c:v>1990s (1990–2000)</c:v>
                </c:pt>
                <c:pt idx="2">
                  <c:v>2000s (2000–2010)</c:v>
                </c:pt>
                <c:pt idx="3">
                  <c:v>2010s (2010–2020)</c:v>
                </c:pt>
                <c:pt idx="4">
                  <c:v>2020s so far (2020–2025)</c:v>
                </c:pt>
              </c:strCache>
            </c:strRef>
          </c:cat>
          <c:val>
            <c:numRef>
              <c:f>'Energy Prices'!$D$22:$D$26</c:f>
              <c:numCache>
                <c:formatCode>0.0%;[Red]\(0.0%\);\-</c:formatCode>
                <c:ptCount val="5"/>
                <c:pt idx="0">
                  <c:v>8.0637428218143015E-2</c:v>
                </c:pt>
                <c:pt idx="1">
                  <c:v>2.1633125168552425E-2</c:v>
                </c:pt>
                <c:pt idx="2">
                  <c:v>2.8545539116579643E-2</c:v>
                </c:pt>
                <c:pt idx="3">
                  <c:v>1.9264161509374711E-2</c:v>
                </c:pt>
                <c:pt idx="4">
                  <c:v>4.2683794442716305E-2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CA-4525-94A5-3270BE784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293856"/>
        <c:axId val="1936479360"/>
      </c:barChart>
      <c:catAx>
        <c:axId val="20182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79360"/>
        <c:crosses val="autoZero"/>
        <c:auto val="1"/>
        <c:lblAlgn val="ctr"/>
        <c:lblOffset val="100"/>
        <c:noMultiLvlLbl val="0"/>
      </c:catAx>
      <c:valAx>
        <c:axId val="193647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Annualised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9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5</xdr:row>
      <xdr:rowOff>225425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1E5E7-6F01-8F58-3EDB-A5EBE3DBB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30CFC6-AA2C-9132-667B-E20834206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12</xdr:col>
      <xdr:colOff>0</xdr:colOff>
      <xdr:row>69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A90D73-8397-18F9-B030-AE31621CF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12</xdr:col>
      <xdr:colOff>0</xdr:colOff>
      <xdr:row>90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7A16ED-9256-83F2-A006-6B60353C9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552450</xdr:colOff>
      <xdr:row>6</xdr:row>
      <xdr:rowOff>76200</xdr:rowOff>
    </xdr:from>
    <xdr:to>
      <xdr:col>10</xdr:col>
      <xdr:colOff>504825</xdr:colOff>
      <xdr:row>21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4983F76-DA7B-6266-AEBC-FFCDCF6D0C03}"/>
            </a:ext>
          </a:extLst>
        </xdr:cNvPr>
        <xdr:cNvSpPr txBox="1"/>
      </xdr:nvSpPr>
      <xdr:spPr>
        <a:xfrm>
          <a:off x="3781425" y="1323975"/>
          <a:ext cx="6610350" cy="298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Headline numbers</a:t>
          </a:r>
          <a:endParaRPr lang="en-A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Since 1980, electricity prices in Australia are up ~798% (5.0% per year), gas (since 1989) up ~483% (5.0%/yr), CPI up ~443% (3.8%/yr) — so energy has outpaced general inflation by roughly 1.2 pp/yr.</a:t>
          </a:r>
        </a:p>
        <a:p>
          <a:endParaRPr lang="en-A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Most recent year (Sep 2024 → Sep 2025): Electricity 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+25.6%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Gas 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+4.6%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CPI 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+3.6%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endParaRPr lang="en-A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electricity spike is the Energy Bill Relief Fund rebates rolling off — the prior year was 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-25.2%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as rebates were applied. Look at the 5-year CAGR (Energy PricesB10:D10) for a cleaner signal: Electricity 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2.9%/yr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Gas 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8.3%/yr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CPI 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4.3%/yr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A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Gas is the standout — 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+49% cumulative over 5 years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well above both electricity and CPI.</a:t>
          </a: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Decade view: electricity growth was fastest in the 1980s (9.2%/yr), slowed sharply through the 1990s reform era (2.2%/yr), spiked again in the 2000s (6.3%/yr).</a:t>
          </a:r>
        </a:p>
        <a:p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5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221268-2360-4973-BAAE-782016EB2C6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ac6a1ba-9b0d-42f2-bae2-b5d7a4667ed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9"/>
  <sheetViews>
    <sheetView showGridLines="0" workbookViewId="0">
      <pane ySplit="11" topLeftCell="A58" activePane="bottomLeft" state="frozen"/>
      <selection pane="bottomLeft" activeCell="A75" sqref="A75"/>
    </sheetView>
  </sheetViews>
  <sheetFormatPr defaultColWidth="7.7109375" defaultRowHeight="11.25" x14ac:dyDescent="0.2"/>
  <cols>
    <col min="1" max="1" width="17.85546875" style="11" customWidth="1"/>
    <col min="2" max="2" width="19.140625" style="11" customWidth="1"/>
    <col min="3" max="3" width="30.7109375" style="11" customWidth="1"/>
    <col min="4" max="4" width="7.7109375" style="11"/>
    <col min="5" max="5" width="9.28515625" style="11" bestFit="1" customWidth="1"/>
    <col min="6" max="11" width="7.7109375" style="11"/>
    <col min="12" max="12" width="9.7109375" style="11" customWidth="1"/>
    <col min="13" max="25" width="7.7109375" style="11"/>
    <col min="26" max="26" width="7.7109375" style="11" customWidth="1"/>
    <col min="27" max="16384" width="7.7109375" style="11"/>
  </cols>
  <sheetData>
    <row r="2" spans="1:13" ht="12.75" x14ac:dyDescent="0.2">
      <c r="B2" s="13" t="s">
        <v>784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.75" x14ac:dyDescent="0.25">
      <c r="B5" s="14" t="s">
        <v>785</v>
      </c>
    </row>
    <row r="6" spans="1:13" ht="31.5" customHeight="1" x14ac:dyDescent="0.2">
      <c r="B6" s="20" t="s">
        <v>786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1:13" ht="15" x14ac:dyDescent="0.25">
      <c r="D8" s="16" t="s">
        <v>789</v>
      </c>
    </row>
    <row r="9" spans="1:13" s="17" customFormat="1" x14ac:dyDescent="0.2"/>
    <row r="10" spans="1:13" ht="22.5" customHeight="1" x14ac:dyDescent="0.2">
      <c r="A10" s="18" t="s">
        <v>790</v>
      </c>
      <c r="B10" s="18"/>
      <c r="C10" s="18"/>
      <c r="D10" s="18" t="s">
        <v>237</v>
      </c>
      <c r="E10" s="18" t="s">
        <v>244</v>
      </c>
      <c r="F10" s="18" t="s">
        <v>241</v>
      </c>
      <c r="G10" s="18" t="s">
        <v>242</v>
      </c>
      <c r="H10" s="18" t="s">
        <v>791</v>
      </c>
      <c r="I10" s="18" t="s">
        <v>236</v>
      </c>
      <c r="J10" s="18" t="s">
        <v>238</v>
      </c>
      <c r="K10" s="18" t="s">
        <v>792</v>
      </c>
      <c r="L10" s="18" t="s">
        <v>240</v>
      </c>
    </row>
    <row r="12" spans="1:13" x14ac:dyDescent="0.2">
      <c r="A12" s="11" t="s">
        <v>0</v>
      </c>
      <c r="D12" s="11" t="s">
        <v>246</v>
      </c>
      <c r="E12" s="19" t="s">
        <v>249</v>
      </c>
      <c r="F12" s="10">
        <v>17777</v>
      </c>
      <c r="G12" s="10">
        <v>45992</v>
      </c>
      <c r="H12" s="11">
        <v>310</v>
      </c>
      <c r="I12" s="11" t="s">
        <v>245</v>
      </c>
      <c r="J12" s="11" t="s">
        <v>247</v>
      </c>
      <c r="K12" s="11" t="s">
        <v>248</v>
      </c>
      <c r="L12" s="11">
        <v>3</v>
      </c>
    </row>
    <row r="13" spans="1:13" x14ac:dyDescent="0.2">
      <c r="A13" s="11" t="s">
        <v>1</v>
      </c>
      <c r="D13" s="11" t="s">
        <v>246</v>
      </c>
      <c r="E13" s="19" t="s">
        <v>250</v>
      </c>
      <c r="F13" s="10">
        <v>26543</v>
      </c>
      <c r="G13" s="10">
        <v>45992</v>
      </c>
      <c r="H13" s="11">
        <v>214</v>
      </c>
      <c r="I13" s="11" t="s">
        <v>245</v>
      </c>
      <c r="J13" s="11" t="s">
        <v>247</v>
      </c>
      <c r="K13" s="11" t="s">
        <v>248</v>
      </c>
      <c r="L13" s="11">
        <v>3</v>
      </c>
    </row>
    <row r="14" spans="1:13" x14ac:dyDescent="0.2">
      <c r="A14" s="11" t="s">
        <v>2</v>
      </c>
      <c r="D14" s="11" t="s">
        <v>246</v>
      </c>
      <c r="E14" s="19" t="s">
        <v>251</v>
      </c>
      <c r="F14" s="10">
        <v>26543</v>
      </c>
      <c r="G14" s="10">
        <v>45992</v>
      </c>
      <c r="H14" s="11">
        <v>214</v>
      </c>
      <c r="I14" s="11" t="s">
        <v>245</v>
      </c>
      <c r="J14" s="11" t="s">
        <v>247</v>
      </c>
      <c r="K14" s="11" t="s">
        <v>248</v>
      </c>
      <c r="L14" s="11">
        <v>3</v>
      </c>
    </row>
    <row r="15" spans="1:13" x14ac:dyDescent="0.2">
      <c r="A15" s="11" t="s">
        <v>3</v>
      </c>
      <c r="D15" s="11" t="s">
        <v>246</v>
      </c>
      <c r="E15" s="19" t="s">
        <v>252</v>
      </c>
      <c r="F15" s="10">
        <v>29465</v>
      </c>
      <c r="G15" s="10">
        <v>45992</v>
      </c>
      <c r="H15" s="11">
        <v>182</v>
      </c>
      <c r="I15" s="11" t="s">
        <v>245</v>
      </c>
      <c r="J15" s="11" t="s">
        <v>247</v>
      </c>
      <c r="K15" s="11" t="s">
        <v>248</v>
      </c>
      <c r="L15" s="11">
        <v>3</v>
      </c>
    </row>
    <row r="16" spans="1:13" x14ac:dyDescent="0.2">
      <c r="A16" s="11" t="s">
        <v>4</v>
      </c>
      <c r="D16" s="11" t="s">
        <v>246</v>
      </c>
      <c r="E16" s="19" t="s">
        <v>253</v>
      </c>
      <c r="F16" s="10">
        <v>29465</v>
      </c>
      <c r="G16" s="10">
        <v>45992</v>
      </c>
      <c r="H16" s="11">
        <v>182</v>
      </c>
      <c r="I16" s="11" t="s">
        <v>245</v>
      </c>
      <c r="J16" s="11" t="s">
        <v>247</v>
      </c>
      <c r="K16" s="11" t="s">
        <v>248</v>
      </c>
      <c r="L16" s="11">
        <v>3</v>
      </c>
    </row>
    <row r="17" spans="1:12" x14ac:dyDescent="0.2">
      <c r="A17" s="11" t="s">
        <v>5</v>
      </c>
      <c r="D17" s="11" t="s">
        <v>246</v>
      </c>
      <c r="E17" s="19" t="s">
        <v>254</v>
      </c>
      <c r="F17" s="10">
        <v>29465</v>
      </c>
      <c r="G17" s="10">
        <v>45992</v>
      </c>
      <c r="H17" s="11">
        <v>182</v>
      </c>
      <c r="I17" s="11" t="s">
        <v>245</v>
      </c>
      <c r="J17" s="11" t="s">
        <v>247</v>
      </c>
      <c r="K17" s="11" t="s">
        <v>248</v>
      </c>
      <c r="L17" s="11">
        <v>3</v>
      </c>
    </row>
    <row r="18" spans="1:12" x14ac:dyDescent="0.2">
      <c r="A18" s="11" t="s">
        <v>6</v>
      </c>
      <c r="D18" s="11" t="s">
        <v>246</v>
      </c>
      <c r="E18" s="19" t="s">
        <v>255</v>
      </c>
      <c r="F18" s="10">
        <v>29465</v>
      </c>
      <c r="G18" s="10">
        <v>45992</v>
      </c>
      <c r="H18" s="11">
        <v>182</v>
      </c>
      <c r="I18" s="11" t="s">
        <v>245</v>
      </c>
      <c r="J18" s="11" t="s">
        <v>247</v>
      </c>
      <c r="K18" s="11" t="s">
        <v>248</v>
      </c>
      <c r="L18" s="11">
        <v>3</v>
      </c>
    </row>
    <row r="19" spans="1:12" x14ac:dyDescent="0.2">
      <c r="A19" s="11" t="s">
        <v>7</v>
      </c>
      <c r="D19" s="11" t="s">
        <v>246</v>
      </c>
      <c r="E19" s="19" t="s">
        <v>256</v>
      </c>
      <c r="F19" s="10">
        <v>26543</v>
      </c>
      <c r="G19" s="10">
        <v>45992</v>
      </c>
      <c r="H19" s="11">
        <v>214</v>
      </c>
      <c r="I19" s="11" t="s">
        <v>245</v>
      </c>
      <c r="J19" s="11" t="s">
        <v>247</v>
      </c>
      <c r="K19" s="11" t="s">
        <v>248</v>
      </c>
      <c r="L19" s="11">
        <v>3</v>
      </c>
    </row>
    <row r="20" spans="1:12" x14ac:dyDescent="0.2">
      <c r="A20" s="11" t="s">
        <v>8</v>
      </c>
      <c r="D20" s="11" t="s">
        <v>246</v>
      </c>
      <c r="E20" s="19" t="s">
        <v>257</v>
      </c>
      <c r="F20" s="10">
        <v>26543</v>
      </c>
      <c r="G20" s="10">
        <v>45992</v>
      </c>
      <c r="H20" s="11">
        <v>214</v>
      </c>
      <c r="I20" s="11" t="s">
        <v>245</v>
      </c>
      <c r="J20" s="11" t="s">
        <v>247</v>
      </c>
      <c r="K20" s="11" t="s">
        <v>248</v>
      </c>
      <c r="L20" s="11">
        <v>3</v>
      </c>
    </row>
    <row r="21" spans="1:12" x14ac:dyDescent="0.2">
      <c r="A21" s="11" t="s">
        <v>9</v>
      </c>
      <c r="D21" s="11" t="s">
        <v>246</v>
      </c>
      <c r="E21" s="19" t="s">
        <v>258</v>
      </c>
      <c r="F21" s="10">
        <v>29465</v>
      </c>
      <c r="G21" s="10">
        <v>45992</v>
      </c>
      <c r="H21" s="11">
        <v>182</v>
      </c>
      <c r="I21" s="11" t="s">
        <v>245</v>
      </c>
      <c r="J21" s="11" t="s">
        <v>247</v>
      </c>
      <c r="K21" s="11" t="s">
        <v>248</v>
      </c>
      <c r="L21" s="11">
        <v>3</v>
      </c>
    </row>
    <row r="22" spans="1:12" x14ac:dyDescent="0.2">
      <c r="A22" s="11" t="s">
        <v>10</v>
      </c>
      <c r="D22" s="11" t="s">
        <v>246</v>
      </c>
      <c r="E22" s="19" t="s">
        <v>259</v>
      </c>
      <c r="F22" s="10">
        <v>26543</v>
      </c>
      <c r="G22" s="10">
        <v>45992</v>
      </c>
      <c r="H22" s="11">
        <v>214</v>
      </c>
      <c r="I22" s="11" t="s">
        <v>245</v>
      </c>
      <c r="J22" s="11" t="s">
        <v>247</v>
      </c>
      <c r="K22" s="11" t="s">
        <v>248</v>
      </c>
      <c r="L22" s="11">
        <v>3</v>
      </c>
    </row>
    <row r="23" spans="1:12" x14ac:dyDescent="0.2">
      <c r="A23" s="11" t="s">
        <v>11</v>
      </c>
      <c r="D23" s="11" t="s">
        <v>246</v>
      </c>
      <c r="E23" s="19" t="s">
        <v>260</v>
      </c>
      <c r="F23" s="10">
        <v>26543</v>
      </c>
      <c r="G23" s="10">
        <v>45992</v>
      </c>
      <c r="H23" s="11">
        <v>214</v>
      </c>
      <c r="I23" s="11" t="s">
        <v>245</v>
      </c>
      <c r="J23" s="11" t="s">
        <v>247</v>
      </c>
      <c r="K23" s="11" t="s">
        <v>248</v>
      </c>
      <c r="L23" s="11">
        <v>3</v>
      </c>
    </row>
    <row r="24" spans="1:12" x14ac:dyDescent="0.2">
      <c r="A24" s="11" t="s">
        <v>12</v>
      </c>
      <c r="D24" s="11" t="s">
        <v>246</v>
      </c>
      <c r="E24" s="19" t="s">
        <v>261</v>
      </c>
      <c r="F24" s="10">
        <v>29465</v>
      </c>
      <c r="G24" s="10">
        <v>45992</v>
      </c>
      <c r="H24" s="11">
        <v>182</v>
      </c>
      <c r="I24" s="11" t="s">
        <v>245</v>
      </c>
      <c r="J24" s="11" t="s">
        <v>247</v>
      </c>
      <c r="K24" s="11" t="s">
        <v>248</v>
      </c>
      <c r="L24" s="11">
        <v>3</v>
      </c>
    </row>
    <row r="25" spans="1:12" x14ac:dyDescent="0.2">
      <c r="A25" s="11" t="s">
        <v>13</v>
      </c>
      <c r="D25" s="11" t="s">
        <v>246</v>
      </c>
      <c r="E25" s="19" t="s">
        <v>262</v>
      </c>
      <c r="F25" s="10">
        <v>28004</v>
      </c>
      <c r="G25" s="10">
        <v>45992</v>
      </c>
      <c r="H25" s="11">
        <v>198</v>
      </c>
      <c r="I25" s="11" t="s">
        <v>245</v>
      </c>
      <c r="J25" s="11" t="s">
        <v>247</v>
      </c>
      <c r="K25" s="11" t="s">
        <v>248</v>
      </c>
      <c r="L25" s="11">
        <v>3</v>
      </c>
    </row>
    <row r="26" spans="1:12" x14ac:dyDescent="0.2">
      <c r="A26" s="11" t="s">
        <v>14</v>
      </c>
      <c r="D26" s="11" t="s">
        <v>246</v>
      </c>
      <c r="E26" s="19" t="s">
        <v>263</v>
      </c>
      <c r="F26" s="10">
        <v>26543</v>
      </c>
      <c r="G26" s="10">
        <v>45992</v>
      </c>
      <c r="H26" s="11">
        <v>214</v>
      </c>
      <c r="I26" s="11" t="s">
        <v>245</v>
      </c>
      <c r="J26" s="11" t="s">
        <v>247</v>
      </c>
      <c r="K26" s="11" t="s">
        <v>248</v>
      </c>
      <c r="L26" s="11">
        <v>3</v>
      </c>
    </row>
    <row r="27" spans="1:12" x14ac:dyDescent="0.2">
      <c r="A27" s="11" t="s">
        <v>15</v>
      </c>
      <c r="D27" s="11" t="s">
        <v>246</v>
      </c>
      <c r="E27" s="19" t="s">
        <v>264</v>
      </c>
      <c r="F27" s="10">
        <v>29465</v>
      </c>
      <c r="G27" s="10">
        <v>45992</v>
      </c>
      <c r="H27" s="11">
        <v>182</v>
      </c>
      <c r="I27" s="11" t="s">
        <v>245</v>
      </c>
      <c r="J27" s="11" t="s">
        <v>247</v>
      </c>
      <c r="K27" s="11" t="s">
        <v>248</v>
      </c>
      <c r="L27" s="11">
        <v>3</v>
      </c>
    </row>
    <row r="28" spans="1:12" x14ac:dyDescent="0.2">
      <c r="A28" s="11" t="s">
        <v>16</v>
      </c>
      <c r="D28" s="11" t="s">
        <v>246</v>
      </c>
      <c r="E28" s="19" t="s">
        <v>265</v>
      </c>
      <c r="F28" s="10">
        <v>29465</v>
      </c>
      <c r="G28" s="10">
        <v>45992</v>
      </c>
      <c r="H28" s="11">
        <v>182</v>
      </c>
      <c r="I28" s="11" t="s">
        <v>245</v>
      </c>
      <c r="J28" s="11" t="s">
        <v>247</v>
      </c>
      <c r="K28" s="11" t="s">
        <v>248</v>
      </c>
      <c r="L28" s="11">
        <v>3</v>
      </c>
    </row>
    <row r="29" spans="1:12" x14ac:dyDescent="0.2">
      <c r="A29" s="11" t="s">
        <v>17</v>
      </c>
      <c r="D29" s="11" t="s">
        <v>246</v>
      </c>
      <c r="E29" s="19" t="s">
        <v>266</v>
      </c>
      <c r="F29" s="10">
        <v>29465</v>
      </c>
      <c r="G29" s="10">
        <v>45992</v>
      </c>
      <c r="H29" s="11">
        <v>182</v>
      </c>
      <c r="I29" s="11" t="s">
        <v>245</v>
      </c>
      <c r="J29" s="11" t="s">
        <v>247</v>
      </c>
      <c r="K29" s="11" t="s">
        <v>248</v>
      </c>
      <c r="L29" s="11">
        <v>3</v>
      </c>
    </row>
    <row r="30" spans="1:12" x14ac:dyDescent="0.2">
      <c r="A30" s="11" t="s">
        <v>18</v>
      </c>
      <c r="D30" s="11" t="s">
        <v>246</v>
      </c>
      <c r="E30" s="19" t="s">
        <v>267</v>
      </c>
      <c r="F30" s="10">
        <v>32752</v>
      </c>
      <c r="G30" s="10">
        <v>45992</v>
      </c>
      <c r="H30" s="11">
        <v>146</v>
      </c>
      <c r="I30" s="11" t="s">
        <v>245</v>
      </c>
      <c r="J30" s="11" t="s">
        <v>247</v>
      </c>
      <c r="K30" s="11" t="s">
        <v>248</v>
      </c>
      <c r="L30" s="11">
        <v>3</v>
      </c>
    </row>
    <row r="31" spans="1:12" x14ac:dyDescent="0.2">
      <c r="A31" s="11" t="s">
        <v>19</v>
      </c>
      <c r="D31" s="11" t="s">
        <v>246</v>
      </c>
      <c r="E31" s="19" t="s">
        <v>268</v>
      </c>
      <c r="F31" s="10">
        <v>32752</v>
      </c>
      <c r="G31" s="10">
        <v>45992</v>
      </c>
      <c r="H31" s="11">
        <v>146</v>
      </c>
      <c r="I31" s="11" t="s">
        <v>245</v>
      </c>
      <c r="J31" s="11" t="s">
        <v>247</v>
      </c>
      <c r="K31" s="11" t="s">
        <v>248</v>
      </c>
      <c r="L31" s="11">
        <v>3</v>
      </c>
    </row>
    <row r="32" spans="1:12" x14ac:dyDescent="0.2">
      <c r="A32" s="11" t="s">
        <v>20</v>
      </c>
      <c r="D32" s="11" t="s">
        <v>246</v>
      </c>
      <c r="E32" s="19" t="s">
        <v>269</v>
      </c>
      <c r="F32" s="10">
        <v>32752</v>
      </c>
      <c r="G32" s="10">
        <v>45992</v>
      </c>
      <c r="H32" s="11">
        <v>146</v>
      </c>
      <c r="I32" s="11" t="s">
        <v>245</v>
      </c>
      <c r="J32" s="11" t="s">
        <v>247</v>
      </c>
      <c r="K32" s="11" t="s">
        <v>248</v>
      </c>
      <c r="L32" s="11">
        <v>3</v>
      </c>
    </row>
    <row r="33" spans="1:12" x14ac:dyDescent="0.2">
      <c r="A33" s="11" t="s">
        <v>21</v>
      </c>
      <c r="D33" s="11" t="s">
        <v>246</v>
      </c>
      <c r="E33" s="19" t="s">
        <v>270</v>
      </c>
      <c r="F33" s="10">
        <v>32752</v>
      </c>
      <c r="G33" s="10">
        <v>45992</v>
      </c>
      <c r="H33" s="11">
        <v>146</v>
      </c>
      <c r="I33" s="11" t="s">
        <v>245</v>
      </c>
      <c r="J33" s="11" t="s">
        <v>247</v>
      </c>
      <c r="K33" s="11" t="s">
        <v>248</v>
      </c>
      <c r="L33" s="11">
        <v>3</v>
      </c>
    </row>
    <row r="34" spans="1:12" x14ac:dyDescent="0.2">
      <c r="A34" s="11" t="s">
        <v>22</v>
      </c>
      <c r="D34" s="11" t="s">
        <v>246</v>
      </c>
      <c r="E34" s="19" t="s">
        <v>271</v>
      </c>
      <c r="F34" s="10">
        <v>29465</v>
      </c>
      <c r="G34" s="10">
        <v>45992</v>
      </c>
      <c r="H34" s="11">
        <v>182</v>
      </c>
      <c r="I34" s="11" t="s">
        <v>245</v>
      </c>
      <c r="J34" s="11" t="s">
        <v>247</v>
      </c>
      <c r="K34" s="11" t="s">
        <v>248</v>
      </c>
      <c r="L34" s="11">
        <v>3</v>
      </c>
    </row>
    <row r="35" spans="1:12" x14ac:dyDescent="0.2">
      <c r="A35" s="11" t="s">
        <v>23</v>
      </c>
      <c r="D35" s="11" t="s">
        <v>246</v>
      </c>
      <c r="E35" s="19" t="s">
        <v>272</v>
      </c>
      <c r="F35" s="10">
        <v>29465</v>
      </c>
      <c r="G35" s="10">
        <v>45992</v>
      </c>
      <c r="H35" s="11">
        <v>182</v>
      </c>
      <c r="I35" s="11" t="s">
        <v>245</v>
      </c>
      <c r="J35" s="11" t="s">
        <v>247</v>
      </c>
      <c r="K35" s="11" t="s">
        <v>248</v>
      </c>
      <c r="L35" s="11">
        <v>3</v>
      </c>
    </row>
    <row r="36" spans="1:12" x14ac:dyDescent="0.2">
      <c r="A36" s="11" t="s">
        <v>24</v>
      </c>
      <c r="D36" s="11" t="s">
        <v>246</v>
      </c>
      <c r="E36" s="19" t="s">
        <v>273</v>
      </c>
      <c r="F36" s="10">
        <v>32752</v>
      </c>
      <c r="G36" s="10">
        <v>45992</v>
      </c>
      <c r="H36" s="11">
        <v>146</v>
      </c>
      <c r="I36" s="11" t="s">
        <v>245</v>
      </c>
      <c r="J36" s="11" t="s">
        <v>247</v>
      </c>
      <c r="K36" s="11" t="s">
        <v>248</v>
      </c>
      <c r="L36" s="11">
        <v>3</v>
      </c>
    </row>
    <row r="37" spans="1:12" x14ac:dyDescent="0.2">
      <c r="A37" s="11" t="s">
        <v>25</v>
      </c>
      <c r="D37" s="11" t="s">
        <v>246</v>
      </c>
      <c r="E37" s="19" t="s">
        <v>274</v>
      </c>
      <c r="F37" s="10">
        <v>32752</v>
      </c>
      <c r="G37" s="10">
        <v>45992</v>
      </c>
      <c r="H37" s="11">
        <v>146</v>
      </c>
      <c r="I37" s="11" t="s">
        <v>245</v>
      </c>
      <c r="J37" s="11" t="s">
        <v>247</v>
      </c>
      <c r="K37" s="11" t="s">
        <v>248</v>
      </c>
      <c r="L37" s="11">
        <v>3</v>
      </c>
    </row>
    <row r="38" spans="1:12" x14ac:dyDescent="0.2">
      <c r="A38" s="11" t="s">
        <v>26</v>
      </c>
      <c r="D38" s="11" t="s">
        <v>246</v>
      </c>
      <c r="E38" s="19" t="s">
        <v>275</v>
      </c>
      <c r="F38" s="10">
        <v>32752</v>
      </c>
      <c r="G38" s="10">
        <v>45992</v>
      </c>
      <c r="H38" s="11">
        <v>146</v>
      </c>
      <c r="I38" s="11" t="s">
        <v>245</v>
      </c>
      <c r="J38" s="11" t="s">
        <v>247</v>
      </c>
      <c r="K38" s="11" t="s">
        <v>248</v>
      </c>
      <c r="L38" s="11">
        <v>3</v>
      </c>
    </row>
    <row r="39" spans="1:12" x14ac:dyDescent="0.2">
      <c r="A39" s="11" t="s">
        <v>27</v>
      </c>
      <c r="D39" s="11" t="s">
        <v>246</v>
      </c>
      <c r="E39" s="19" t="s">
        <v>276</v>
      </c>
      <c r="F39" s="10">
        <v>29465</v>
      </c>
      <c r="G39" s="10">
        <v>45992</v>
      </c>
      <c r="H39" s="11">
        <v>182</v>
      </c>
      <c r="I39" s="11" t="s">
        <v>245</v>
      </c>
      <c r="J39" s="11" t="s">
        <v>247</v>
      </c>
      <c r="K39" s="11" t="s">
        <v>248</v>
      </c>
      <c r="L39" s="11">
        <v>3</v>
      </c>
    </row>
    <row r="40" spans="1:12" x14ac:dyDescent="0.2">
      <c r="A40" s="11" t="s">
        <v>28</v>
      </c>
      <c r="D40" s="11" t="s">
        <v>246</v>
      </c>
      <c r="E40" s="19" t="s">
        <v>277</v>
      </c>
      <c r="F40" s="10">
        <v>32752</v>
      </c>
      <c r="G40" s="10">
        <v>45992</v>
      </c>
      <c r="H40" s="11">
        <v>146</v>
      </c>
      <c r="I40" s="11" t="s">
        <v>245</v>
      </c>
      <c r="J40" s="11" t="s">
        <v>247</v>
      </c>
      <c r="K40" s="11" t="s">
        <v>248</v>
      </c>
      <c r="L40" s="11">
        <v>3</v>
      </c>
    </row>
    <row r="41" spans="1:12" x14ac:dyDescent="0.2">
      <c r="A41" s="11" t="s">
        <v>29</v>
      </c>
      <c r="D41" s="11" t="s">
        <v>246</v>
      </c>
      <c r="E41" s="19" t="s">
        <v>278</v>
      </c>
      <c r="F41" s="10">
        <v>29465</v>
      </c>
      <c r="G41" s="10">
        <v>45992</v>
      </c>
      <c r="H41" s="11">
        <v>182</v>
      </c>
      <c r="I41" s="11" t="s">
        <v>245</v>
      </c>
      <c r="J41" s="11" t="s">
        <v>247</v>
      </c>
      <c r="K41" s="11" t="s">
        <v>248</v>
      </c>
      <c r="L41" s="11">
        <v>3</v>
      </c>
    </row>
    <row r="42" spans="1:12" x14ac:dyDescent="0.2">
      <c r="A42" s="11" t="s">
        <v>30</v>
      </c>
      <c r="D42" s="11" t="s">
        <v>246</v>
      </c>
      <c r="E42" s="19" t="s">
        <v>279</v>
      </c>
      <c r="F42" s="10">
        <v>32752</v>
      </c>
      <c r="G42" s="10">
        <v>45992</v>
      </c>
      <c r="H42" s="11">
        <v>146</v>
      </c>
      <c r="I42" s="11" t="s">
        <v>245</v>
      </c>
      <c r="J42" s="11" t="s">
        <v>247</v>
      </c>
      <c r="K42" s="11" t="s">
        <v>248</v>
      </c>
      <c r="L42" s="11">
        <v>3</v>
      </c>
    </row>
    <row r="43" spans="1:12" x14ac:dyDescent="0.2">
      <c r="A43" s="11" t="s">
        <v>31</v>
      </c>
      <c r="D43" s="11" t="s">
        <v>246</v>
      </c>
      <c r="E43" s="19" t="s">
        <v>280</v>
      </c>
      <c r="F43" s="10">
        <v>28004</v>
      </c>
      <c r="G43" s="10">
        <v>45992</v>
      </c>
      <c r="H43" s="11">
        <v>198</v>
      </c>
      <c r="I43" s="11" t="s">
        <v>245</v>
      </c>
      <c r="J43" s="11" t="s">
        <v>247</v>
      </c>
      <c r="K43" s="11" t="s">
        <v>248</v>
      </c>
      <c r="L43" s="11">
        <v>3</v>
      </c>
    </row>
    <row r="44" spans="1:12" x14ac:dyDescent="0.2">
      <c r="A44" s="11" t="s">
        <v>32</v>
      </c>
      <c r="D44" s="11" t="s">
        <v>246</v>
      </c>
      <c r="E44" s="19" t="s">
        <v>281</v>
      </c>
      <c r="F44" s="10">
        <v>29465</v>
      </c>
      <c r="G44" s="10">
        <v>45992</v>
      </c>
      <c r="H44" s="11">
        <v>182</v>
      </c>
      <c r="I44" s="11" t="s">
        <v>245</v>
      </c>
      <c r="J44" s="11" t="s">
        <v>247</v>
      </c>
      <c r="K44" s="11" t="s">
        <v>248</v>
      </c>
      <c r="L44" s="11">
        <v>3</v>
      </c>
    </row>
    <row r="45" spans="1:12" x14ac:dyDescent="0.2">
      <c r="A45" s="11" t="s">
        <v>33</v>
      </c>
      <c r="D45" s="11" t="s">
        <v>246</v>
      </c>
      <c r="E45" s="19" t="s">
        <v>282</v>
      </c>
      <c r="F45" s="10">
        <v>29465</v>
      </c>
      <c r="G45" s="10">
        <v>45992</v>
      </c>
      <c r="H45" s="11">
        <v>182</v>
      </c>
      <c r="I45" s="11" t="s">
        <v>245</v>
      </c>
      <c r="J45" s="11" t="s">
        <v>247</v>
      </c>
      <c r="K45" s="11" t="s">
        <v>248</v>
      </c>
      <c r="L45" s="11">
        <v>3</v>
      </c>
    </row>
    <row r="46" spans="1:12" x14ac:dyDescent="0.2">
      <c r="A46" s="11" t="s">
        <v>34</v>
      </c>
      <c r="D46" s="11" t="s">
        <v>246</v>
      </c>
      <c r="E46" s="19" t="s">
        <v>283</v>
      </c>
      <c r="F46" s="10">
        <v>26543</v>
      </c>
      <c r="G46" s="10">
        <v>45992</v>
      </c>
      <c r="H46" s="11">
        <v>214</v>
      </c>
      <c r="I46" s="11" t="s">
        <v>245</v>
      </c>
      <c r="J46" s="11" t="s">
        <v>247</v>
      </c>
      <c r="K46" s="11" t="s">
        <v>248</v>
      </c>
      <c r="L46" s="11">
        <v>3</v>
      </c>
    </row>
    <row r="47" spans="1:12" x14ac:dyDescent="0.2">
      <c r="A47" s="11" t="s">
        <v>35</v>
      </c>
      <c r="D47" s="11" t="s">
        <v>246</v>
      </c>
      <c r="E47" s="19" t="s">
        <v>284</v>
      </c>
      <c r="F47" s="10">
        <v>26543</v>
      </c>
      <c r="G47" s="10">
        <v>45992</v>
      </c>
      <c r="H47" s="11">
        <v>214</v>
      </c>
      <c r="I47" s="11" t="s">
        <v>245</v>
      </c>
      <c r="J47" s="11" t="s">
        <v>247</v>
      </c>
      <c r="K47" s="11" t="s">
        <v>248</v>
      </c>
      <c r="L47" s="11">
        <v>3</v>
      </c>
    </row>
    <row r="48" spans="1:12" x14ac:dyDescent="0.2">
      <c r="A48" s="11" t="s">
        <v>36</v>
      </c>
      <c r="D48" s="11" t="s">
        <v>246</v>
      </c>
      <c r="E48" s="19" t="s">
        <v>285</v>
      </c>
      <c r="F48" s="10">
        <v>29465</v>
      </c>
      <c r="G48" s="10">
        <v>45992</v>
      </c>
      <c r="H48" s="11">
        <v>182</v>
      </c>
      <c r="I48" s="11" t="s">
        <v>245</v>
      </c>
      <c r="J48" s="11" t="s">
        <v>247</v>
      </c>
      <c r="K48" s="11" t="s">
        <v>248</v>
      </c>
      <c r="L48" s="11">
        <v>3</v>
      </c>
    </row>
    <row r="49" spans="1:12" x14ac:dyDescent="0.2">
      <c r="A49" s="11" t="s">
        <v>37</v>
      </c>
      <c r="D49" s="11" t="s">
        <v>246</v>
      </c>
      <c r="E49" s="19" t="s">
        <v>286</v>
      </c>
      <c r="F49" s="10">
        <v>29465</v>
      </c>
      <c r="G49" s="10">
        <v>45992</v>
      </c>
      <c r="H49" s="11">
        <v>182</v>
      </c>
      <c r="I49" s="11" t="s">
        <v>245</v>
      </c>
      <c r="J49" s="11" t="s">
        <v>247</v>
      </c>
      <c r="K49" s="11" t="s">
        <v>248</v>
      </c>
      <c r="L49" s="11">
        <v>3</v>
      </c>
    </row>
    <row r="50" spans="1:12" x14ac:dyDescent="0.2">
      <c r="A50" s="11" t="s">
        <v>38</v>
      </c>
      <c r="D50" s="11" t="s">
        <v>246</v>
      </c>
      <c r="E50" s="19" t="s">
        <v>287</v>
      </c>
      <c r="F50" s="10">
        <v>26543</v>
      </c>
      <c r="G50" s="10">
        <v>45992</v>
      </c>
      <c r="H50" s="11">
        <v>214</v>
      </c>
      <c r="I50" s="11" t="s">
        <v>245</v>
      </c>
      <c r="J50" s="11" t="s">
        <v>247</v>
      </c>
      <c r="K50" s="11" t="s">
        <v>248</v>
      </c>
      <c r="L50" s="11">
        <v>3</v>
      </c>
    </row>
    <row r="51" spans="1:12" x14ac:dyDescent="0.2">
      <c r="A51" s="11" t="s">
        <v>39</v>
      </c>
      <c r="D51" s="11" t="s">
        <v>246</v>
      </c>
      <c r="E51" s="19" t="s">
        <v>288</v>
      </c>
      <c r="F51" s="10">
        <v>26543</v>
      </c>
      <c r="G51" s="10">
        <v>45992</v>
      </c>
      <c r="H51" s="11">
        <v>214</v>
      </c>
      <c r="I51" s="11" t="s">
        <v>245</v>
      </c>
      <c r="J51" s="11" t="s">
        <v>247</v>
      </c>
      <c r="K51" s="11" t="s">
        <v>248</v>
      </c>
      <c r="L51" s="11">
        <v>3</v>
      </c>
    </row>
    <row r="52" spans="1:12" x14ac:dyDescent="0.2">
      <c r="A52" s="11" t="s">
        <v>39</v>
      </c>
      <c r="D52" s="11" t="s">
        <v>246</v>
      </c>
      <c r="E52" s="19" t="s">
        <v>289</v>
      </c>
      <c r="F52" s="10">
        <v>26543</v>
      </c>
      <c r="G52" s="10">
        <v>45992</v>
      </c>
      <c r="H52" s="11">
        <v>214</v>
      </c>
      <c r="I52" s="11" t="s">
        <v>245</v>
      </c>
      <c r="J52" s="11" t="s">
        <v>247</v>
      </c>
      <c r="K52" s="11" t="s">
        <v>248</v>
      </c>
      <c r="L52" s="11">
        <v>3</v>
      </c>
    </row>
    <row r="53" spans="1:12" x14ac:dyDescent="0.2">
      <c r="A53" s="11" t="s">
        <v>40</v>
      </c>
      <c r="D53" s="11" t="s">
        <v>246</v>
      </c>
      <c r="E53" s="19" t="s">
        <v>290</v>
      </c>
      <c r="F53" s="10">
        <v>26543</v>
      </c>
      <c r="G53" s="10">
        <v>45992</v>
      </c>
      <c r="H53" s="11">
        <v>214</v>
      </c>
      <c r="I53" s="11" t="s">
        <v>245</v>
      </c>
      <c r="J53" s="11" t="s">
        <v>247</v>
      </c>
      <c r="K53" s="11" t="s">
        <v>248</v>
      </c>
      <c r="L53" s="11">
        <v>3</v>
      </c>
    </row>
    <row r="54" spans="1:12" x14ac:dyDescent="0.2">
      <c r="A54" s="11" t="s">
        <v>41</v>
      </c>
      <c r="D54" s="11" t="s">
        <v>246</v>
      </c>
      <c r="E54" s="19" t="s">
        <v>291</v>
      </c>
      <c r="F54" s="10">
        <v>32752</v>
      </c>
      <c r="G54" s="10">
        <v>45992</v>
      </c>
      <c r="H54" s="11">
        <v>146</v>
      </c>
      <c r="I54" s="11" t="s">
        <v>245</v>
      </c>
      <c r="J54" s="11" t="s">
        <v>247</v>
      </c>
      <c r="K54" s="11" t="s">
        <v>248</v>
      </c>
      <c r="L54" s="11">
        <v>3</v>
      </c>
    </row>
    <row r="55" spans="1:12" x14ac:dyDescent="0.2">
      <c r="A55" s="11" t="s">
        <v>42</v>
      </c>
      <c r="D55" s="11" t="s">
        <v>246</v>
      </c>
      <c r="E55" s="19" t="s">
        <v>292</v>
      </c>
      <c r="F55" s="10">
        <v>32752</v>
      </c>
      <c r="G55" s="10">
        <v>45992</v>
      </c>
      <c r="H55" s="11">
        <v>146</v>
      </c>
      <c r="I55" s="11" t="s">
        <v>245</v>
      </c>
      <c r="J55" s="11" t="s">
        <v>247</v>
      </c>
      <c r="K55" s="11" t="s">
        <v>248</v>
      </c>
      <c r="L55" s="11">
        <v>3</v>
      </c>
    </row>
    <row r="56" spans="1:12" x14ac:dyDescent="0.2">
      <c r="A56" s="11" t="s">
        <v>43</v>
      </c>
      <c r="D56" s="11" t="s">
        <v>246</v>
      </c>
      <c r="E56" s="19" t="s">
        <v>293</v>
      </c>
      <c r="F56" s="10">
        <v>32752</v>
      </c>
      <c r="G56" s="10">
        <v>45992</v>
      </c>
      <c r="H56" s="11">
        <v>146</v>
      </c>
      <c r="I56" s="11" t="s">
        <v>245</v>
      </c>
      <c r="J56" s="11" t="s">
        <v>247</v>
      </c>
      <c r="K56" s="11" t="s">
        <v>248</v>
      </c>
      <c r="L56" s="11">
        <v>3</v>
      </c>
    </row>
    <row r="57" spans="1:12" x14ac:dyDescent="0.2">
      <c r="A57" s="11" t="s">
        <v>44</v>
      </c>
      <c r="D57" s="11" t="s">
        <v>246</v>
      </c>
      <c r="E57" s="19" t="s">
        <v>294</v>
      </c>
      <c r="F57" s="10">
        <v>32752</v>
      </c>
      <c r="G57" s="10">
        <v>45992</v>
      </c>
      <c r="H57" s="11">
        <v>146</v>
      </c>
      <c r="I57" s="11" t="s">
        <v>245</v>
      </c>
      <c r="J57" s="11" t="s">
        <v>247</v>
      </c>
      <c r="K57" s="11" t="s">
        <v>248</v>
      </c>
      <c r="L57" s="11">
        <v>3</v>
      </c>
    </row>
    <row r="58" spans="1:12" x14ac:dyDescent="0.2">
      <c r="A58" s="11" t="s">
        <v>45</v>
      </c>
      <c r="D58" s="11" t="s">
        <v>246</v>
      </c>
      <c r="E58" s="19" t="s">
        <v>295</v>
      </c>
      <c r="F58" s="10">
        <v>26543</v>
      </c>
      <c r="G58" s="10">
        <v>45992</v>
      </c>
      <c r="H58" s="11">
        <v>214</v>
      </c>
      <c r="I58" s="11" t="s">
        <v>245</v>
      </c>
      <c r="J58" s="11" t="s">
        <v>247</v>
      </c>
      <c r="K58" s="11" t="s">
        <v>248</v>
      </c>
      <c r="L58" s="11">
        <v>3</v>
      </c>
    </row>
    <row r="59" spans="1:12" x14ac:dyDescent="0.2">
      <c r="A59" s="11" t="s">
        <v>46</v>
      </c>
      <c r="D59" s="11" t="s">
        <v>246</v>
      </c>
      <c r="E59" s="19" t="s">
        <v>296</v>
      </c>
      <c r="F59" s="10">
        <v>29465</v>
      </c>
      <c r="G59" s="10">
        <v>45992</v>
      </c>
      <c r="H59" s="11">
        <v>182</v>
      </c>
      <c r="I59" s="11" t="s">
        <v>245</v>
      </c>
      <c r="J59" s="11" t="s">
        <v>247</v>
      </c>
      <c r="K59" s="11" t="s">
        <v>248</v>
      </c>
      <c r="L59" s="11">
        <v>3</v>
      </c>
    </row>
    <row r="60" spans="1:12" x14ac:dyDescent="0.2">
      <c r="A60" s="11" t="s">
        <v>47</v>
      </c>
      <c r="D60" s="11" t="s">
        <v>246</v>
      </c>
      <c r="E60" s="19" t="s">
        <v>297</v>
      </c>
      <c r="F60" s="10">
        <v>29465</v>
      </c>
      <c r="G60" s="10">
        <v>45992</v>
      </c>
      <c r="H60" s="11">
        <v>182</v>
      </c>
      <c r="I60" s="11" t="s">
        <v>245</v>
      </c>
      <c r="J60" s="11" t="s">
        <v>247</v>
      </c>
      <c r="K60" s="11" t="s">
        <v>248</v>
      </c>
      <c r="L60" s="11">
        <v>3</v>
      </c>
    </row>
    <row r="61" spans="1:12" x14ac:dyDescent="0.2">
      <c r="A61" s="11" t="s">
        <v>48</v>
      </c>
      <c r="D61" s="11" t="s">
        <v>246</v>
      </c>
      <c r="E61" s="19" t="s">
        <v>298</v>
      </c>
      <c r="F61" s="10">
        <v>29465</v>
      </c>
      <c r="G61" s="10">
        <v>45992</v>
      </c>
      <c r="H61" s="11">
        <v>182</v>
      </c>
      <c r="I61" s="11" t="s">
        <v>245</v>
      </c>
      <c r="J61" s="11" t="s">
        <v>247</v>
      </c>
      <c r="K61" s="11" t="s">
        <v>248</v>
      </c>
      <c r="L61" s="11">
        <v>3</v>
      </c>
    </row>
    <row r="62" spans="1:12" x14ac:dyDescent="0.2">
      <c r="A62" s="11" t="s">
        <v>49</v>
      </c>
      <c r="D62" s="11" t="s">
        <v>246</v>
      </c>
      <c r="E62" s="19" t="s">
        <v>299</v>
      </c>
      <c r="F62" s="10">
        <v>35947</v>
      </c>
      <c r="G62" s="10">
        <v>45992</v>
      </c>
      <c r="H62" s="11">
        <v>111</v>
      </c>
      <c r="I62" s="11" t="s">
        <v>245</v>
      </c>
      <c r="J62" s="11" t="s">
        <v>247</v>
      </c>
      <c r="K62" s="11" t="s">
        <v>248</v>
      </c>
      <c r="L62" s="11">
        <v>3</v>
      </c>
    </row>
    <row r="63" spans="1:12" x14ac:dyDescent="0.2">
      <c r="A63" s="11" t="s">
        <v>50</v>
      </c>
      <c r="D63" s="11" t="s">
        <v>246</v>
      </c>
      <c r="E63" s="19" t="s">
        <v>300</v>
      </c>
      <c r="F63" s="10">
        <v>35947</v>
      </c>
      <c r="G63" s="10">
        <v>45992</v>
      </c>
      <c r="H63" s="11">
        <v>111</v>
      </c>
      <c r="I63" s="11" t="s">
        <v>245</v>
      </c>
      <c r="J63" s="11" t="s">
        <v>247</v>
      </c>
      <c r="K63" s="11" t="s">
        <v>248</v>
      </c>
      <c r="L63" s="11">
        <v>3</v>
      </c>
    </row>
    <row r="64" spans="1:12" x14ac:dyDescent="0.2">
      <c r="A64" s="11" t="s">
        <v>51</v>
      </c>
      <c r="D64" s="11" t="s">
        <v>246</v>
      </c>
      <c r="E64" s="19" t="s">
        <v>301</v>
      </c>
      <c r="F64" s="10">
        <v>26543</v>
      </c>
      <c r="G64" s="10">
        <v>45992</v>
      </c>
      <c r="H64" s="11">
        <v>214</v>
      </c>
      <c r="I64" s="11" t="s">
        <v>245</v>
      </c>
      <c r="J64" s="11" t="s">
        <v>247</v>
      </c>
      <c r="K64" s="11" t="s">
        <v>248</v>
      </c>
      <c r="L64" s="11">
        <v>3</v>
      </c>
    </row>
    <row r="65" spans="1:12" x14ac:dyDescent="0.2">
      <c r="A65" s="11" t="s">
        <v>52</v>
      </c>
      <c r="D65" s="11" t="s">
        <v>246</v>
      </c>
      <c r="E65" s="19" t="s">
        <v>302</v>
      </c>
      <c r="F65" s="10">
        <v>26543</v>
      </c>
      <c r="G65" s="10">
        <v>45992</v>
      </c>
      <c r="H65" s="11">
        <v>214</v>
      </c>
      <c r="I65" s="11" t="s">
        <v>245</v>
      </c>
      <c r="J65" s="11" t="s">
        <v>247</v>
      </c>
      <c r="K65" s="11" t="s">
        <v>248</v>
      </c>
      <c r="L65" s="11">
        <v>3</v>
      </c>
    </row>
    <row r="66" spans="1:12" x14ac:dyDescent="0.2">
      <c r="A66" s="11" t="s">
        <v>53</v>
      </c>
      <c r="D66" s="11" t="s">
        <v>246</v>
      </c>
      <c r="E66" s="19" t="s">
        <v>303</v>
      </c>
      <c r="F66" s="10">
        <v>26543</v>
      </c>
      <c r="G66" s="10">
        <v>45992</v>
      </c>
      <c r="H66" s="11">
        <v>214</v>
      </c>
      <c r="I66" s="11" t="s">
        <v>245</v>
      </c>
      <c r="J66" s="11" t="s">
        <v>247</v>
      </c>
      <c r="K66" s="11" t="s">
        <v>248</v>
      </c>
      <c r="L66" s="11">
        <v>3</v>
      </c>
    </row>
    <row r="67" spans="1:12" x14ac:dyDescent="0.2">
      <c r="A67" s="11" t="s">
        <v>53</v>
      </c>
      <c r="D67" s="11" t="s">
        <v>246</v>
      </c>
      <c r="E67" s="19" t="s">
        <v>304</v>
      </c>
      <c r="F67" s="10">
        <v>26543</v>
      </c>
      <c r="G67" s="10">
        <v>45992</v>
      </c>
      <c r="H67" s="11">
        <v>214</v>
      </c>
      <c r="I67" s="11" t="s">
        <v>245</v>
      </c>
      <c r="J67" s="11" t="s">
        <v>247</v>
      </c>
      <c r="K67" s="11" t="s">
        <v>248</v>
      </c>
      <c r="L67" s="11">
        <v>3</v>
      </c>
    </row>
    <row r="68" spans="1:12" x14ac:dyDescent="0.2">
      <c r="A68" s="11" t="s">
        <v>54</v>
      </c>
      <c r="D68" s="11" t="s">
        <v>246</v>
      </c>
      <c r="E68" s="19" t="s">
        <v>305</v>
      </c>
      <c r="F68" s="10">
        <v>35947</v>
      </c>
      <c r="G68" s="10">
        <v>45992</v>
      </c>
      <c r="H68" s="11">
        <v>111</v>
      </c>
      <c r="I68" s="11" t="s">
        <v>245</v>
      </c>
      <c r="J68" s="11" t="s">
        <v>247</v>
      </c>
      <c r="K68" s="11" t="s">
        <v>248</v>
      </c>
      <c r="L68" s="11">
        <v>3</v>
      </c>
    </row>
    <row r="69" spans="1:12" x14ac:dyDescent="0.2">
      <c r="A69" s="11" t="s">
        <v>54</v>
      </c>
      <c r="D69" s="11" t="s">
        <v>246</v>
      </c>
      <c r="E69" s="19" t="s">
        <v>306</v>
      </c>
      <c r="F69" s="10">
        <v>35947</v>
      </c>
      <c r="G69" s="10">
        <v>45992</v>
      </c>
      <c r="H69" s="11">
        <v>111</v>
      </c>
      <c r="I69" s="11" t="s">
        <v>245</v>
      </c>
      <c r="J69" s="11" t="s">
        <v>247</v>
      </c>
      <c r="K69" s="11" t="s">
        <v>248</v>
      </c>
      <c r="L69" s="11">
        <v>3</v>
      </c>
    </row>
    <row r="70" spans="1:12" x14ac:dyDescent="0.2">
      <c r="A70" s="11" t="s">
        <v>55</v>
      </c>
      <c r="D70" s="11" t="s">
        <v>246</v>
      </c>
      <c r="E70" s="19" t="s">
        <v>307</v>
      </c>
      <c r="F70" s="10">
        <v>35947</v>
      </c>
      <c r="G70" s="10">
        <v>45992</v>
      </c>
      <c r="H70" s="11">
        <v>111</v>
      </c>
      <c r="I70" s="11" t="s">
        <v>245</v>
      </c>
      <c r="J70" s="11" t="s">
        <v>247</v>
      </c>
      <c r="K70" s="11" t="s">
        <v>248</v>
      </c>
      <c r="L70" s="11">
        <v>3</v>
      </c>
    </row>
    <row r="71" spans="1:12" x14ac:dyDescent="0.2">
      <c r="A71" s="11" t="s">
        <v>56</v>
      </c>
      <c r="D71" s="11" t="s">
        <v>246</v>
      </c>
      <c r="E71" s="19" t="s">
        <v>308</v>
      </c>
      <c r="F71" s="10">
        <v>29465</v>
      </c>
      <c r="G71" s="10">
        <v>45992</v>
      </c>
      <c r="H71" s="11">
        <v>182</v>
      </c>
      <c r="I71" s="11" t="s">
        <v>245</v>
      </c>
      <c r="J71" s="11" t="s">
        <v>247</v>
      </c>
      <c r="K71" s="11" t="s">
        <v>248</v>
      </c>
      <c r="L71" s="11">
        <v>3</v>
      </c>
    </row>
    <row r="72" spans="1:12" x14ac:dyDescent="0.2">
      <c r="A72" s="11" t="s">
        <v>57</v>
      </c>
      <c r="D72" s="11" t="s">
        <v>246</v>
      </c>
      <c r="E72" s="19" t="s">
        <v>309</v>
      </c>
      <c r="F72" s="10">
        <v>35947</v>
      </c>
      <c r="G72" s="10">
        <v>45992</v>
      </c>
      <c r="H72" s="11">
        <v>111</v>
      </c>
      <c r="I72" s="11" t="s">
        <v>245</v>
      </c>
      <c r="J72" s="11" t="s">
        <v>247</v>
      </c>
      <c r="K72" s="11" t="s">
        <v>248</v>
      </c>
      <c r="L72" s="11">
        <v>3</v>
      </c>
    </row>
    <row r="73" spans="1:12" x14ac:dyDescent="0.2">
      <c r="A73" s="11" t="s">
        <v>58</v>
      </c>
      <c r="D73" s="11" t="s">
        <v>246</v>
      </c>
      <c r="E73" s="19" t="s">
        <v>310</v>
      </c>
      <c r="F73" s="10">
        <v>26543</v>
      </c>
      <c r="G73" s="10">
        <v>45992</v>
      </c>
      <c r="H73" s="11">
        <v>214</v>
      </c>
      <c r="I73" s="11" t="s">
        <v>245</v>
      </c>
      <c r="J73" s="11" t="s">
        <v>247</v>
      </c>
      <c r="K73" s="11" t="s">
        <v>248</v>
      </c>
      <c r="L73" s="11">
        <v>3</v>
      </c>
    </row>
    <row r="74" spans="1:12" x14ac:dyDescent="0.2">
      <c r="A74" s="11" t="s">
        <v>59</v>
      </c>
      <c r="D74" s="11" t="s">
        <v>246</v>
      </c>
      <c r="E74" s="19" t="s">
        <v>311</v>
      </c>
      <c r="F74" s="10">
        <v>35947</v>
      </c>
      <c r="G74" s="10">
        <v>45992</v>
      </c>
      <c r="H74" s="11">
        <v>111</v>
      </c>
      <c r="I74" s="11" t="s">
        <v>245</v>
      </c>
      <c r="J74" s="11" t="s">
        <v>247</v>
      </c>
      <c r="K74" s="11" t="s">
        <v>248</v>
      </c>
      <c r="L74" s="11">
        <v>3</v>
      </c>
    </row>
    <row r="75" spans="1:12" x14ac:dyDescent="0.2">
      <c r="A75" s="11" t="s">
        <v>60</v>
      </c>
      <c r="D75" s="11" t="s">
        <v>246</v>
      </c>
      <c r="E75" s="19" t="s">
        <v>312</v>
      </c>
      <c r="F75" s="10">
        <v>29465</v>
      </c>
      <c r="G75" s="10">
        <v>45992</v>
      </c>
      <c r="H75" s="11">
        <v>182</v>
      </c>
      <c r="I75" s="11" t="s">
        <v>245</v>
      </c>
      <c r="J75" s="11" t="s">
        <v>247</v>
      </c>
      <c r="K75" s="11" t="s">
        <v>248</v>
      </c>
      <c r="L75" s="11">
        <v>3</v>
      </c>
    </row>
    <row r="76" spans="1:12" x14ac:dyDescent="0.2">
      <c r="A76" s="11" t="s">
        <v>61</v>
      </c>
      <c r="D76" s="11" t="s">
        <v>246</v>
      </c>
      <c r="E76" s="19" t="s">
        <v>313</v>
      </c>
      <c r="F76" s="10">
        <v>32752</v>
      </c>
      <c r="G76" s="10">
        <v>45992</v>
      </c>
      <c r="H76" s="11">
        <v>146</v>
      </c>
      <c r="I76" s="11" t="s">
        <v>245</v>
      </c>
      <c r="J76" s="11" t="s">
        <v>247</v>
      </c>
      <c r="K76" s="11" t="s">
        <v>248</v>
      </c>
      <c r="L76" s="11">
        <v>3</v>
      </c>
    </row>
    <row r="77" spans="1:12" x14ac:dyDescent="0.2">
      <c r="A77" s="11" t="s">
        <v>62</v>
      </c>
      <c r="D77" s="11" t="s">
        <v>246</v>
      </c>
      <c r="E77" s="19" t="s">
        <v>314</v>
      </c>
      <c r="F77" s="10">
        <v>26543</v>
      </c>
      <c r="G77" s="10">
        <v>45992</v>
      </c>
      <c r="H77" s="11">
        <v>214</v>
      </c>
      <c r="I77" s="11" t="s">
        <v>245</v>
      </c>
      <c r="J77" s="11" t="s">
        <v>247</v>
      </c>
      <c r="K77" s="11" t="s">
        <v>248</v>
      </c>
      <c r="L77" s="11">
        <v>3</v>
      </c>
    </row>
    <row r="78" spans="1:12" x14ac:dyDescent="0.2">
      <c r="A78" s="11" t="s">
        <v>63</v>
      </c>
      <c r="D78" s="11" t="s">
        <v>246</v>
      </c>
      <c r="E78" s="19" t="s">
        <v>315</v>
      </c>
      <c r="F78" s="10">
        <v>26543</v>
      </c>
      <c r="G78" s="10">
        <v>45992</v>
      </c>
      <c r="H78" s="11">
        <v>214</v>
      </c>
      <c r="I78" s="11" t="s">
        <v>245</v>
      </c>
      <c r="J78" s="11" t="s">
        <v>247</v>
      </c>
      <c r="K78" s="11" t="s">
        <v>248</v>
      </c>
      <c r="L78" s="11">
        <v>3</v>
      </c>
    </row>
    <row r="79" spans="1:12" x14ac:dyDescent="0.2">
      <c r="A79" s="11" t="s">
        <v>64</v>
      </c>
      <c r="D79" s="11" t="s">
        <v>246</v>
      </c>
      <c r="E79" s="19" t="s">
        <v>316</v>
      </c>
      <c r="F79" s="10">
        <v>29465</v>
      </c>
      <c r="G79" s="10">
        <v>45992</v>
      </c>
      <c r="H79" s="11">
        <v>182</v>
      </c>
      <c r="I79" s="11" t="s">
        <v>245</v>
      </c>
      <c r="J79" s="11" t="s">
        <v>247</v>
      </c>
      <c r="K79" s="11" t="s">
        <v>248</v>
      </c>
      <c r="L79" s="11">
        <v>3</v>
      </c>
    </row>
    <row r="80" spans="1:12" x14ac:dyDescent="0.2">
      <c r="A80" s="11" t="s">
        <v>65</v>
      </c>
      <c r="D80" s="11" t="s">
        <v>246</v>
      </c>
      <c r="E80" s="19" t="s">
        <v>317</v>
      </c>
      <c r="F80" s="10">
        <v>29465</v>
      </c>
      <c r="G80" s="10">
        <v>45992</v>
      </c>
      <c r="H80" s="11">
        <v>182</v>
      </c>
      <c r="I80" s="11" t="s">
        <v>245</v>
      </c>
      <c r="J80" s="11" t="s">
        <v>247</v>
      </c>
      <c r="K80" s="11" t="s">
        <v>248</v>
      </c>
      <c r="L80" s="11">
        <v>3</v>
      </c>
    </row>
    <row r="81" spans="1:12" x14ac:dyDescent="0.2">
      <c r="A81" s="11" t="s">
        <v>66</v>
      </c>
      <c r="D81" s="11" t="s">
        <v>246</v>
      </c>
      <c r="E81" s="19" t="s">
        <v>318</v>
      </c>
      <c r="F81" s="10">
        <v>26543</v>
      </c>
      <c r="G81" s="10">
        <v>45992</v>
      </c>
      <c r="H81" s="11">
        <v>214</v>
      </c>
      <c r="I81" s="11" t="s">
        <v>245</v>
      </c>
      <c r="J81" s="11" t="s">
        <v>247</v>
      </c>
      <c r="K81" s="11" t="s">
        <v>248</v>
      </c>
      <c r="L81" s="11">
        <v>3</v>
      </c>
    </row>
    <row r="82" spans="1:12" x14ac:dyDescent="0.2">
      <c r="A82" s="11" t="s">
        <v>66</v>
      </c>
      <c r="D82" s="11" t="s">
        <v>246</v>
      </c>
      <c r="E82" s="19" t="s">
        <v>319</v>
      </c>
      <c r="F82" s="10">
        <v>26543</v>
      </c>
      <c r="G82" s="10">
        <v>45992</v>
      </c>
      <c r="H82" s="11">
        <v>214</v>
      </c>
      <c r="I82" s="11" t="s">
        <v>245</v>
      </c>
      <c r="J82" s="11" t="s">
        <v>247</v>
      </c>
      <c r="K82" s="11" t="s">
        <v>248</v>
      </c>
      <c r="L82" s="11">
        <v>3</v>
      </c>
    </row>
    <row r="83" spans="1:12" x14ac:dyDescent="0.2">
      <c r="A83" s="11" t="s">
        <v>67</v>
      </c>
      <c r="D83" s="11" t="s">
        <v>246</v>
      </c>
      <c r="E83" s="19" t="s">
        <v>320</v>
      </c>
      <c r="F83" s="10">
        <v>32752</v>
      </c>
      <c r="G83" s="10">
        <v>45992</v>
      </c>
      <c r="H83" s="11">
        <v>146</v>
      </c>
      <c r="I83" s="11" t="s">
        <v>245</v>
      </c>
      <c r="J83" s="11" t="s">
        <v>247</v>
      </c>
      <c r="K83" s="11" t="s">
        <v>248</v>
      </c>
      <c r="L83" s="11">
        <v>3</v>
      </c>
    </row>
    <row r="84" spans="1:12" x14ac:dyDescent="0.2">
      <c r="A84" s="11" t="s">
        <v>68</v>
      </c>
      <c r="D84" s="11" t="s">
        <v>246</v>
      </c>
      <c r="E84" s="19" t="s">
        <v>321</v>
      </c>
      <c r="F84" s="10">
        <v>26543</v>
      </c>
      <c r="G84" s="10">
        <v>45992</v>
      </c>
      <c r="H84" s="11">
        <v>214</v>
      </c>
      <c r="I84" s="11" t="s">
        <v>245</v>
      </c>
      <c r="J84" s="11" t="s">
        <v>247</v>
      </c>
      <c r="K84" s="11" t="s">
        <v>248</v>
      </c>
      <c r="L84" s="11">
        <v>3</v>
      </c>
    </row>
    <row r="85" spans="1:12" x14ac:dyDescent="0.2">
      <c r="A85" s="11" t="s">
        <v>69</v>
      </c>
      <c r="D85" s="11" t="s">
        <v>246</v>
      </c>
      <c r="E85" s="19" t="s">
        <v>322</v>
      </c>
      <c r="F85" s="10">
        <v>26543</v>
      </c>
      <c r="G85" s="10">
        <v>45992</v>
      </c>
      <c r="H85" s="11">
        <v>214</v>
      </c>
      <c r="I85" s="11" t="s">
        <v>245</v>
      </c>
      <c r="J85" s="11" t="s">
        <v>247</v>
      </c>
      <c r="K85" s="11" t="s">
        <v>248</v>
      </c>
      <c r="L85" s="11">
        <v>3</v>
      </c>
    </row>
    <row r="86" spans="1:12" x14ac:dyDescent="0.2">
      <c r="A86" s="11" t="s">
        <v>70</v>
      </c>
      <c r="D86" s="11" t="s">
        <v>246</v>
      </c>
      <c r="E86" s="19" t="s">
        <v>323</v>
      </c>
      <c r="F86" s="10">
        <v>32752</v>
      </c>
      <c r="G86" s="10">
        <v>45992</v>
      </c>
      <c r="H86" s="11">
        <v>146</v>
      </c>
      <c r="I86" s="11" t="s">
        <v>245</v>
      </c>
      <c r="J86" s="11" t="s">
        <v>247</v>
      </c>
      <c r="K86" s="11" t="s">
        <v>248</v>
      </c>
      <c r="L86" s="11">
        <v>3</v>
      </c>
    </row>
    <row r="87" spans="1:12" x14ac:dyDescent="0.2">
      <c r="A87" s="11" t="s">
        <v>71</v>
      </c>
      <c r="D87" s="11" t="s">
        <v>246</v>
      </c>
      <c r="E87" s="19" t="s">
        <v>324</v>
      </c>
      <c r="F87" s="10">
        <v>29465</v>
      </c>
      <c r="G87" s="10">
        <v>45992</v>
      </c>
      <c r="H87" s="11">
        <v>182</v>
      </c>
      <c r="I87" s="11" t="s">
        <v>245</v>
      </c>
      <c r="J87" s="11" t="s">
        <v>247</v>
      </c>
      <c r="K87" s="11" t="s">
        <v>248</v>
      </c>
      <c r="L87" s="11">
        <v>3</v>
      </c>
    </row>
    <row r="88" spans="1:12" x14ac:dyDescent="0.2">
      <c r="A88" s="11" t="s">
        <v>72</v>
      </c>
      <c r="D88" s="11" t="s">
        <v>246</v>
      </c>
      <c r="E88" s="19" t="s">
        <v>325</v>
      </c>
      <c r="F88" s="10">
        <v>32752</v>
      </c>
      <c r="G88" s="10">
        <v>45992</v>
      </c>
      <c r="H88" s="11">
        <v>146</v>
      </c>
      <c r="I88" s="11" t="s">
        <v>245</v>
      </c>
      <c r="J88" s="11" t="s">
        <v>247</v>
      </c>
      <c r="K88" s="11" t="s">
        <v>248</v>
      </c>
      <c r="L88" s="11">
        <v>3</v>
      </c>
    </row>
    <row r="89" spans="1:12" x14ac:dyDescent="0.2">
      <c r="A89" s="11" t="s">
        <v>73</v>
      </c>
      <c r="D89" s="11" t="s">
        <v>246</v>
      </c>
      <c r="E89" s="19" t="s">
        <v>326</v>
      </c>
      <c r="F89" s="10">
        <v>29465</v>
      </c>
      <c r="G89" s="10">
        <v>45992</v>
      </c>
      <c r="H89" s="11">
        <v>182</v>
      </c>
      <c r="I89" s="11" t="s">
        <v>245</v>
      </c>
      <c r="J89" s="11" t="s">
        <v>247</v>
      </c>
      <c r="K89" s="11" t="s">
        <v>248</v>
      </c>
      <c r="L89" s="11">
        <v>3</v>
      </c>
    </row>
    <row r="90" spans="1:12" x14ac:dyDescent="0.2">
      <c r="A90" s="11" t="s">
        <v>74</v>
      </c>
      <c r="D90" s="11" t="s">
        <v>246</v>
      </c>
      <c r="E90" s="19" t="s">
        <v>327</v>
      </c>
      <c r="F90" s="10">
        <v>29465</v>
      </c>
      <c r="G90" s="10">
        <v>45992</v>
      </c>
      <c r="H90" s="11">
        <v>182</v>
      </c>
      <c r="I90" s="11" t="s">
        <v>245</v>
      </c>
      <c r="J90" s="11" t="s">
        <v>247</v>
      </c>
      <c r="K90" s="11" t="s">
        <v>248</v>
      </c>
      <c r="L90" s="11">
        <v>3</v>
      </c>
    </row>
    <row r="91" spans="1:12" x14ac:dyDescent="0.2">
      <c r="A91" s="11" t="s">
        <v>75</v>
      </c>
      <c r="D91" s="11" t="s">
        <v>246</v>
      </c>
      <c r="E91" s="19" t="s">
        <v>328</v>
      </c>
      <c r="F91" s="10">
        <v>32752</v>
      </c>
      <c r="G91" s="10">
        <v>45992</v>
      </c>
      <c r="H91" s="11">
        <v>146</v>
      </c>
      <c r="I91" s="11" t="s">
        <v>245</v>
      </c>
      <c r="J91" s="11" t="s">
        <v>247</v>
      </c>
      <c r="K91" s="11" t="s">
        <v>248</v>
      </c>
      <c r="L91" s="11">
        <v>3</v>
      </c>
    </row>
    <row r="92" spans="1:12" x14ac:dyDescent="0.2">
      <c r="A92" s="11" t="s">
        <v>76</v>
      </c>
      <c r="D92" s="11" t="s">
        <v>246</v>
      </c>
      <c r="E92" s="19" t="s">
        <v>329</v>
      </c>
      <c r="F92" s="10">
        <v>32752</v>
      </c>
      <c r="G92" s="10">
        <v>45992</v>
      </c>
      <c r="H92" s="11">
        <v>146</v>
      </c>
      <c r="I92" s="11" t="s">
        <v>245</v>
      </c>
      <c r="J92" s="11" t="s">
        <v>247</v>
      </c>
      <c r="K92" s="11" t="s">
        <v>248</v>
      </c>
      <c r="L92" s="11">
        <v>3</v>
      </c>
    </row>
    <row r="93" spans="1:12" x14ac:dyDescent="0.2">
      <c r="A93" s="11" t="s">
        <v>77</v>
      </c>
      <c r="D93" s="11" t="s">
        <v>246</v>
      </c>
      <c r="E93" s="19" t="s">
        <v>330</v>
      </c>
      <c r="F93" s="10">
        <v>30011</v>
      </c>
      <c r="G93" s="10">
        <v>45992</v>
      </c>
      <c r="H93" s="11">
        <v>176</v>
      </c>
      <c r="I93" s="11" t="s">
        <v>245</v>
      </c>
      <c r="J93" s="11" t="s">
        <v>247</v>
      </c>
      <c r="K93" s="11" t="s">
        <v>248</v>
      </c>
      <c r="L93" s="11">
        <v>3</v>
      </c>
    </row>
    <row r="94" spans="1:12" x14ac:dyDescent="0.2">
      <c r="A94" s="11" t="s">
        <v>78</v>
      </c>
      <c r="D94" s="11" t="s">
        <v>246</v>
      </c>
      <c r="E94" s="19" t="s">
        <v>331</v>
      </c>
      <c r="F94" s="10">
        <v>26543</v>
      </c>
      <c r="G94" s="10">
        <v>45992</v>
      </c>
      <c r="H94" s="11">
        <v>214</v>
      </c>
      <c r="I94" s="11" t="s">
        <v>245</v>
      </c>
      <c r="J94" s="11" t="s">
        <v>247</v>
      </c>
      <c r="K94" s="11" t="s">
        <v>248</v>
      </c>
      <c r="L94" s="11">
        <v>3</v>
      </c>
    </row>
    <row r="95" spans="1:12" x14ac:dyDescent="0.2">
      <c r="A95" s="11" t="s">
        <v>79</v>
      </c>
      <c r="D95" s="11" t="s">
        <v>246</v>
      </c>
      <c r="E95" s="19" t="s">
        <v>332</v>
      </c>
      <c r="F95" s="10">
        <v>32752</v>
      </c>
      <c r="G95" s="10">
        <v>45992</v>
      </c>
      <c r="H95" s="11">
        <v>146</v>
      </c>
      <c r="I95" s="11" t="s">
        <v>245</v>
      </c>
      <c r="J95" s="11" t="s">
        <v>247</v>
      </c>
      <c r="K95" s="11" t="s">
        <v>248</v>
      </c>
      <c r="L95" s="11">
        <v>3</v>
      </c>
    </row>
    <row r="96" spans="1:12" x14ac:dyDescent="0.2">
      <c r="A96" s="11" t="s">
        <v>80</v>
      </c>
      <c r="D96" s="11" t="s">
        <v>246</v>
      </c>
      <c r="E96" s="19" t="s">
        <v>333</v>
      </c>
      <c r="F96" s="10">
        <v>32752</v>
      </c>
      <c r="G96" s="10">
        <v>45992</v>
      </c>
      <c r="H96" s="11">
        <v>146</v>
      </c>
      <c r="I96" s="11" t="s">
        <v>245</v>
      </c>
      <c r="J96" s="11" t="s">
        <v>247</v>
      </c>
      <c r="K96" s="11" t="s">
        <v>248</v>
      </c>
      <c r="L96" s="11">
        <v>3</v>
      </c>
    </row>
    <row r="97" spans="1:12" x14ac:dyDescent="0.2">
      <c r="A97" s="11" t="s">
        <v>81</v>
      </c>
      <c r="D97" s="11" t="s">
        <v>246</v>
      </c>
      <c r="E97" s="19" t="s">
        <v>334</v>
      </c>
      <c r="F97" s="10">
        <v>31747</v>
      </c>
      <c r="G97" s="10">
        <v>45992</v>
      </c>
      <c r="H97" s="11">
        <v>157</v>
      </c>
      <c r="I97" s="11" t="s">
        <v>245</v>
      </c>
      <c r="J97" s="11" t="s">
        <v>247</v>
      </c>
      <c r="K97" s="11" t="s">
        <v>248</v>
      </c>
      <c r="L97" s="11">
        <v>3</v>
      </c>
    </row>
    <row r="98" spans="1:12" x14ac:dyDescent="0.2">
      <c r="A98" s="11" t="s">
        <v>82</v>
      </c>
      <c r="D98" s="11" t="s">
        <v>246</v>
      </c>
      <c r="E98" s="19" t="s">
        <v>335</v>
      </c>
      <c r="F98" s="10">
        <v>29465</v>
      </c>
      <c r="G98" s="10">
        <v>45992</v>
      </c>
      <c r="H98" s="11">
        <v>182</v>
      </c>
      <c r="I98" s="11" t="s">
        <v>245</v>
      </c>
      <c r="J98" s="11" t="s">
        <v>247</v>
      </c>
      <c r="K98" s="11" t="s">
        <v>248</v>
      </c>
      <c r="L98" s="11">
        <v>3</v>
      </c>
    </row>
    <row r="99" spans="1:12" x14ac:dyDescent="0.2">
      <c r="A99" s="11" t="s">
        <v>83</v>
      </c>
      <c r="D99" s="11" t="s">
        <v>246</v>
      </c>
      <c r="E99" s="19" t="s">
        <v>336</v>
      </c>
      <c r="F99" s="10">
        <v>31747</v>
      </c>
      <c r="G99" s="10">
        <v>45992</v>
      </c>
      <c r="H99" s="11">
        <v>157</v>
      </c>
      <c r="I99" s="11" t="s">
        <v>245</v>
      </c>
      <c r="J99" s="11" t="s">
        <v>247</v>
      </c>
      <c r="K99" s="11" t="s">
        <v>248</v>
      </c>
      <c r="L99" s="11">
        <v>3</v>
      </c>
    </row>
    <row r="100" spans="1:12" x14ac:dyDescent="0.2">
      <c r="A100" s="11" t="s">
        <v>84</v>
      </c>
      <c r="D100" s="11" t="s">
        <v>246</v>
      </c>
      <c r="E100" s="19" t="s">
        <v>337</v>
      </c>
      <c r="F100" s="10">
        <v>29465</v>
      </c>
      <c r="G100" s="10">
        <v>45992</v>
      </c>
      <c r="H100" s="11">
        <v>182</v>
      </c>
      <c r="I100" s="11" t="s">
        <v>245</v>
      </c>
      <c r="J100" s="11" t="s">
        <v>247</v>
      </c>
      <c r="K100" s="11" t="s">
        <v>248</v>
      </c>
      <c r="L100" s="11">
        <v>3</v>
      </c>
    </row>
    <row r="101" spans="1:12" x14ac:dyDescent="0.2">
      <c r="A101" s="11" t="s">
        <v>85</v>
      </c>
      <c r="D101" s="11" t="s">
        <v>246</v>
      </c>
      <c r="E101" s="19" t="s">
        <v>338</v>
      </c>
      <c r="F101" s="10">
        <v>29465</v>
      </c>
      <c r="G101" s="10">
        <v>45992</v>
      </c>
      <c r="H101" s="11">
        <v>182</v>
      </c>
      <c r="I101" s="11" t="s">
        <v>245</v>
      </c>
      <c r="J101" s="11" t="s">
        <v>247</v>
      </c>
      <c r="K101" s="11" t="s">
        <v>248</v>
      </c>
      <c r="L101" s="11">
        <v>3</v>
      </c>
    </row>
    <row r="102" spans="1:12" x14ac:dyDescent="0.2">
      <c r="A102" s="11" t="s">
        <v>86</v>
      </c>
      <c r="D102" s="11" t="s">
        <v>246</v>
      </c>
      <c r="E102" s="19" t="s">
        <v>339</v>
      </c>
      <c r="F102" s="10">
        <v>29465</v>
      </c>
      <c r="G102" s="10">
        <v>45992</v>
      </c>
      <c r="H102" s="11">
        <v>182</v>
      </c>
      <c r="I102" s="11" t="s">
        <v>245</v>
      </c>
      <c r="J102" s="11" t="s">
        <v>247</v>
      </c>
      <c r="K102" s="11" t="s">
        <v>248</v>
      </c>
      <c r="L102" s="11">
        <v>3</v>
      </c>
    </row>
    <row r="103" spans="1:12" x14ac:dyDescent="0.2">
      <c r="A103" s="11" t="s">
        <v>87</v>
      </c>
      <c r="D103" s="11" t="s">
        <v>246</v>
      </c>
      <c r="E103" s="19" t="s">
        <v>340</v>
      </c>
      <c r="F103" s="10">
        <v>26543</v>
      </c>
      <c r="G103" s="10">
        <v>45992</v>
      </c>
      <c r="H103" s="11">
        <v>214</v>
      </c>
      <c r="I103" s="11" t="s">
        <v>245</v>
      </c>
      <c r="J103" s="11" t="s">
        <v>247</v>
      </c>
      <c r="K103" s="11" t="s">
        <v>248</v>
      </c>
      <c r="L103" s="11">
        <v>3</v>
      </c>
    </row>
    <row r="104" spans="1:12" x14ac:dyDescent="0.2">
      <c r="A104" s="11" t="s">
        <v>88</v>
      </c>
      <c r="D104" s="11" t="s">
        <v>246</v>
      </c>
      <c r="E104" s="19" t="s">
        <v>341</v>
      </c>
      <c r="F104" s="10">
        <v>26543</v>
      </c>
      <c r="G104" s="10">
        <v>45992</v>
      </c>
      <c r="H104" s="11">
        <v>214</v>
      </c>
      <c r="I104" s="11" t="s">
        <v>245</v>
      </c>
      <c r="J104" s="11" t="s">
        <v>247</v>
      </c>
      <c r="K104" s="11" t="s">
        <v>248</v>
      </c>
      <c r="L104" s="11">
        <v>3</v>
      </c>
    </row>
    <row r="105" spans="1:12" x14ac:dyDescent="0.2">
      <c r="A105" s="11" t="s">
        <v>89</v>
      </c>
      <c r="D105" s="11" t="s">
        <v>246</v>
      </c>
      <c r="E105" s="19" t="s">
        <v>342</v>
      </c>
      <c r="F105" s="10">
        <v>26543</v>
      </c>
      <c r="G105" s="10">
        <v>45992</v>
      </c>
      <c r="H105" s="11">
        <v>214</v>
      </c>
      <c r="I105" s="11" t="s">
        <v>245</v>
      </c>
      <c r="J105" s="11" t="s">
        <v>247</v>
      </c>
      <c r="K105" s="11" t="s">
        <v>248</v>
      </c>
      <c r="L105" s="11">
        <v>3</v>
      </c>
    </row>
    <row r="106" spans="1:12" x14ac:dyDescent="0.2">
      <c r="A106" s="11" t="s">
        <v>90</v>
      </c>
      <c r="D106" s="11" t="s">
        <v>246</v>
      </c>
      <c r="E106" s="19" t="s">
        <v>343</v>
      </c>
      <c r="F106" s="10">
        <v>29465</v>
      </c>
      <c r="G106" s="10">
        <v>45992</v>
      </c>
      <c r="H106" s="11">
        <v>182</v>
      </c>
      <c r="I106" s="11" t="s">
        <v>245</v>
      </c>
      <c r="J106" s="11" t="s">
        <v>247</v>
      </c>
      <c r="K106" s="11" t="s">
        <v>248</v>
      </c>
      <c r="L106" s="11">
        <v>3</v>
      </c>
    </row>
    <row r="107" spans="1:12" x14ac:dyDescent="0.2">
      <c r="A107" s="11" t="s">
        <v>91</v>
      </c>
      <c r="D107" s="11" t="s">
        <v>246</v>
      </c>
      <c r="E107" s="19" t="s">
        <v>344</v>
      </c>
      <c r="F107" s="10">
        <v>26543</v>
      </c>
      <c r="G107" s="10">
        <v>45992</v>
      </c>
      <c r="H107" s="11">
        <v>214</v>
      </c>
      <c r="I107" s="11" t="s">
        <v>245</v>
      </c>
      <c r="J107" s="11" t="s">
        <v>247</v>
      </c>
      <c r="K107" s="11" t="s">
        <v>248</v>
      </c>
      <c r="L107" s="11">
        <v>3</v>
      </c>
    </row>
    <row r="108" spans="1:12" x14ac:dyDescent="0.2">
      <c r="A108" s="11" t="s">
        <v>92</v>
      </c>
      <c r="D108" s="11" t="s">
        <v>246</v>
      </c>
      <c r="E108" s="19" t="s">
        <v>345</v>
      </c>
      <c r="F108" s="10">
        <v>29465</v>
      </c>
      <c r="G108" s="10">
        <v>45992</v>
      </c>
      <c r="H108" s="11">
        <v>182</v>
      </c>
      <c r="I108" s="11" t="s">
        <v>245</v>
      </c>
      <c r="J108" s="11" t="s">
        <v>247</v>
      </c>
      <c r="K108" s="11" t="s">
        <v>248</v>
      </c>
      <c r="L108" s="11">
        <v>3</v>
      </c>
    </row>
    <row r="109" spans="1:12" x14ac:dyDescent="0.2">
      <c r="A109" s="11" t="s">
        <v>93</v>
      </c>
      <c r="D109" s="11" t="s">
        <v>246</v>
      </c>
      <c r="E109" s="19" t="s">
        <v>346</v>
      </c>
      <c r="F109" s="10">
        <v>29465</v>
      </c>
      <c r="G109" s="10">
        <v>45992</v>
      </c>
      <c r="H109" s="11">
        <v>182</v>
      </c>
      <c r="I109" s="11" t="s">
        <v>245</v>
      </c>
      <c r="J109" s="11" t="s">
        <v>247</v>
      </c>
      <c r="K109" s="11" t="s">
        <v>248</v>
      </c>
      <c r="L109" s="11">
        <v>3</v>
      </c>
    </row>
    <row r="110" spans="1:12" x14ac:dyDescent="0.2">
      <c r="A110" s="11" t="s">
        <v>94</v>
      </c>
      <c r="D110" s="11" t="s">
        <v>246</v>
      </c>
      <c r="E110" s="19" t="s">
        <v>347</v>
      </c>
      <c r="F110" s="10">
        <v>26543</v>
      </c>
      <c r="G110" s="10">
        <v>45992</v>
      </c>
      <c r="H110" s="11">
        <v>214</v>
      </c>
      <c r="I110" s="11" t="s">
        <v>245</v>
      </c>
      <c r="J110" s="11" t="s">
        <v>247</v>
      </c>
      <c r="K110" s="11" t="s">
        <v>248</v>
      </c>
      <c r="L110" s="11">
        <v>3</v>
      </c>
    </row>
    <row r="111" spans="1:12" x14ac:dyDescent="0.2">
      <c r="A111" s="11" t="s">
        <v>94</v>
      </c>
      <c r="D111" s="11" t="s">
        <v>246</v>
      </c>
      <c r="E111" s="19" t="s">
        <v>348</v>
      </c>
      <c r="F111" s="10">
        <v>26543</v>
      </c>
      <c r="G111" s="10">
        <v>45992</v>
      </c>
      <c r="H111" s="11">
        <v>214</v>
      </c>
      <c r="I111" s="11" t="s">
        <v>245</v>
      </c>
      <c r="J111" s="11" t="s">
        <v>247</v>
      </c>
      <c r="K111" s="11" t="s">
        <v>248</v>
      </c>
      <c r="L111" s="11">
        <v>3</v>
      </c>
    </row>
    <row r="112" spans="1:12" x14ac:dyDescent="0.2">
      <c r="A112" s="11" t="s">
        <v>95</v>
      </c>
      <c r="D112" s="11" t="s">
        <v>246</v>
      </c>
      <c r="E112" s="19" t="s">
        <v>349</v>
      </c>
      <c r="F112" s="10">
        <v>26543</v>
      </c>
      <c r="G112" s="10">
        <v>45992</v>
      </c>
      <c r="H112" s="11">
        <v>214</v>
      </c>
      <c r="I112" s="11" t="s">
        <v>245</v>
      </c>
      <c r="J112" s="11" t="s">
        <v>247</v>
      </c>
      <c r="K112" s="11" t="s">
        <v>248</v>
      </c>
      <c r="L112" s="11">
        <v>3</v>
      </c>
    </row>
    <row r="113" spans="1:12" x14ac:dyDescent="0.2">
      <c r="A113" s="11" t="s">
        <v>95</v>
      </c>
      <c r="D113" s="11" t="s">
        <v>246</v>
      </c>
      <c r="E113" s="19" t="s">
        <v>350</v>
      </c>
      <c r="F113" s="10">
        <v>26543</v>
      </c>
      <c r="G113" s="10">
        <v>45992</v>
      </c>
      <c r="H113" s="11">
        <v>214</v>
      </c>
      <c r="I113" s="11" t="s">
        <v>245</v>
      </c>
      <c r="J113" s="11" t="s">
        <v>247</v>
      </c>
      <c r="K113" s="11" t="s">
        <v>248</v>
      </c>
      <c r="L113" s="11">
        <v>3</v>
      </c>
    </row>
    <row r="114" spans="1:12" x14ac:dyDescent="0.2">
      <c r="A114" s="11" t="s">
        <v>96</v>
      </c>
      <c r="D114" s="11" t="s">
        <v>246</v>
      </c>
      <c r="E114" s="19" t="s">
        <v>351</v>
      </c>
      <c r="F114" s="10">
        <v>29465</v>
      </c>
      <c r="G114" s="10">
        <v>45992</v>
      </c>
      <c r="H114" s="11">
        <v>182</v>
      </c>
      <c r="I114" s="11" t="s">
        <v>245</v>
      </c>
      <c r="J114" s="11" t="s">
        <v>247</v>
      </c>
      <c r="K114" s="11" t="s">
        <v>248</v>
      </c>
      <c r="L114" s="11">
        <v>3</v>
      </c>
    </row>
    <row r="115" spans="1:12" x14ac:dyDescent="0.2">
      <c r="A115" s="11" t="s">
        <v>97</v>
      </c>
      <c r="D115" s="11" t="s">
        <v>246</v>
      </c>
      <c r="E115" s="19" t="s">
        <v>352</v>
      </c>
      <c r="F115" s="10">
        <v>29465</v>
      </c>
      <c r="G115" s="10">
        <v>45992</v>
      </c>
      <c r="H115" s="11">
        <v>182</v>
      </c>
      <c r="I115" s="11" t="s">
        <v>245</v>
      </c>
      <c r="J115" s="11" t="s">
        <v>247</v>
      </c>
      <c r="K115" s="11" t="s">
        <v>248</v>
      </c>
      <c r="L115" s="11">
        <v>3</v>
      </c>
    </row>
    <row r="116" spans="1:12" x14ac:dyDescent="0.2">
      <c r="A116" s="11" t="s">
        <v>98</v>
      </c>
      <c r="D116" s="11" t="s">
        <v>246</v>
      </c>
      <c r="E116" s="19" t="s">
        <v>353</v>
      </c>
      <c r="F116" s="10">
        <v>32752</v>
      </c>
      <c r="G116" s="10">
        <v>45992</v>
      </c>
      <c r="H116" s="11">
        <v>146</v>
      </c>
      <c r="I116" s="11" t="s">
        <v>245</v>
      </c>
      <c r="J116" s="11" t="s">
        <v>247</v>
      </c>
      <c r="K116" s="11" t="s">
        <v>248</v>
      </c>
      <c r="L116" s="11">
        <v>3</v>
      </c>
    </row>
    <row r="117" spans="1:12" x14ac:dyDescent="0.2">
      <c r="A117" s="11" t="s">
        <v>99</v>
      </c>
      <c r="D117" s="11" t="s">
        <v>246</v>
      </c>
      <c r="E117" s="19" t="s">
        <v>354</v>
      </c>
      <c r="F117" s="10">
        <v>32752</v>
      </c>
      <c r="G117" s="10">
        <v>45992</v>
      </c>
      <c r="H117" s="11">
        <v>146</v>
      </c>
      <c r="I117" s="11" t="s">
        <v>245</v>
      </c>
      <c r="J117" s="11" t="s">
        <v>247</v>
      </c>
      <c r="K117" s="11" t="s">
        <v>248</v>
      </c>
      <c r="L117" s="11">
        <v>3</v>
      </c>
    </row>
    <row r="118" spans="1:12" x14ac:dyDescent="0.2">
      <c r="A118" s="11" t="s">
        <v>100</v>
      </c>
      <c r="D118" s="11" t="s">
        <v>246</v>
      </c>
      <c r="E118" s="19" t="s">
        <v>355</v>
      </c>
      <c r="F118" s="10">
        <v>29465</v>
      </c>
      <c r="G118" s="10">
        <v>45992</v>
      </c>
      <c r="H118" s="11">
        <v>182</v>
      </c>
      <c r="I118" s="11" t="s">
        <v>245</v>
      </c>
      <c r="J118" s="11" t="s">
        <v>247</v>
      </c>
      <c r="K118" s="11" t="s">
        <v>248</v>
      </c>
      <c r="L118" s="11">
        <v>3</v>
      </c>
    </row>
    <row r="119" spans="1:12" x14ac:dyDescent="0.2">
      <c r="A119" s="11" t="s">
        <v>101</v>
      </c>
      <c r="D119" s="11" t="s">
        <v>246</v>
      </c>
      <c r="E119" s="19" t="s">
        <v>356</v>
      </c>
      <c r="F119" s="10">
        <v>32752</v>
      </c>
      <c r="G119" s="10">
        <v>45992</v>
      </c>
      <c r="H119" s="11">
        <v>146</v>
      </c>
      <c r="I119" s="11" t="s">
        <v>245</v>
      </c>
      <c r="J119" s="11" t="s">
        <v>247</v>
      </c>
      <c r="K119" s="11" t="s">
        <v>248</v>
      </c>
      <c r="L119" s="11">
        <v>3</v>
      </c>
    </row>
    <row r="120" spans="1:12" x14ac:dyDescent="0.2">
      <c r="A120" s="11" t="s">
        <v>102</v>
      </c>
      <c r="D120" s="11" t="s">
        <v>246</v>
      </c>
      <c r="E120" s="19" t="s">
        <v>357</v>
      </c>
      <c r="F120" s="10">
        <v>32752</v>
      </c>
      <c r="G120" s="10">
        <v>45992</v>
      </c>
      <c r="H120" s="11">
        <v>146</v>
      </c>
      <c r="I120" s="11" t="s">
        <v>245</v>
      </c>
      <c r="J120" s="11" t="s">
        <v>247</v>
      </c>
      <c r="K120" s="11" t="s">
        <v>248</v>
      </c>
      <c r="L120" s="11">
        <v>3</v>
      </c>
    </row>
    <row r="121" spans="1:12" x14ac:dyDescent="0.2">
      <c r="A121" s="11" t="s">
        <v>103</v>
      </c>
      <c r="D121" s="11" t="s">
        <v>246</v>
      </c>
      <c r="E121" s="19" t="s">
        <v>358</v>
      </c>
      <c r="F121" s="10">
        <v>35947</v>
      </c>
      <c r="G121" s="10">
        <v>45992</v>
      </c>
      <c r="H121" s="11">
        <v>111</v>
      </c>
      <c r="I121" s="11" t="s">
        <v>245</v>
      </c>
      <c r="J121" s="11" t="s">
        <v>247</v>
      </c>
      <c r="K121" s="11" t="s">
        <v>248</v>
      </c>
      <c r="L121" s="11">
        <v>3</v>
      </c>
    </row>
    <row r="122" spans="1:12" x14ac:dyDescent="0.2">
      <c r="A122" s="11" t="s">
        <v>104</v>
      </c>
      <c r="D122" s="11" t="s">
        <v>246</v>
      </c>
      <c r="E122" s="19" t="s">
        <v>359</v>
      </c>
      <c r="F122" s="10">
        <v>35947</v>
      </c>
      <c r="G122" s="10">
        <v>45992</v>
      </c>
      <c r="H122" s="11">
        <v>111</v>
      </c>
      <c r="I122" s="11" t="s">
        <v>245</v>
      </c>
      <c r="J122" s="11" t="s">
        <v>247</v>
      </c>
      <c r="K122" s="11" t="s">
        <v>248</v>
      </c>
      <c r="L122" s="11">
        <v>3</v>
      </c>
    </row>
    <row r="123" spans="1:12" x14ac:dyDescent="0.2">
      <c r="A123" s="11" t="s">
        <v>105</v>
      </c>
      <c r="D123" s="11" t="s">
        <v>246</v>
      </c>
      <c r="E123" s="19" t="s">
        <v>360</v>
      </c>
      <c r="F123" s="10">
        <v>30011</v>
      </c>
      <c r="G123" s="10">
        <v>45992</v>
      </c>
      <c r="H123" s="11">
        <v>176</v>
      </c>
      <c r="I123" s="11" t="s">
        <v>245</v>
      </c>
      <c r="J123" s="11" t="s">
        <v>247</v>
      </c>
      <c r="K123" s="11" t="s">
        <v>248</v>
      </c>
      <c r="L123" s="11">
        <v>3</v>
      </c>
    </row>
    <row r="124" spans="1:12" x14ac:dyDescent="0.2">
      <c r="A124" s="11" t="s">
        <v>106</v>
      </c>
      <c r="D124" s="11" t="s">
        <v>246</v>
      </c>
      <c r="E124" s="19" t="s">
        <v>361</v>
      </c>
      <c r="F124" s="10">
        <v>30011</v>
      </c>
      <c r="G124" s="10">
        <v>45992</v>
      </c>
      <c r="H124" s="11">
        <v>176</v>
      </c>
      <c r="I124" s="11" t="s">
        <v>245</v>
      </c>
      <c r="J124" s="11" t="s">
        <v>247</v>
      </c>
      <c r="K124" s="11" t="s">
        <v>248</v>
      </c>
      <c r="L124" s="11">
        <v>3</v>
      </c>
    </row>
    <row r="125" spans="1:12" x14ac:dyDescent="0.2">
      <c r="A125" s="11" t="s">
        <v>107</v>
      </c>
      <c r="D125" s="11" t="s">
        <v>246</v>
      </c>
      <c r="E125" s="19" t="s">
        <v>362</v>
      </c>
      <c r="F125" s="10">
        <v>30011</v>
      </c>
      <c r="G125" s="10">
        <v>45992</v>
      </c>
      <c r="H125" s="11">
        <v>176</v>
      </c>
      <c r="I125" s="11" t="s">
        <v>245</v>
      </c>
      <c r="J125" s="11" t="s">
        <v>247</v>
      </c>
      <c r="K125" s="11" t="s">
        <v>248</v>
      </c>
      <c r="L125" s="11">
        <v>3</v>
      </c>
    </row>
    <row r="126" spans="1:12" x14ac:dyDescent="0.2">
      <c r="A126" s="11" t="s">
        <v>108</v>
      </c>
      <c r="D126" s="11" t="s">
        <v>246</v>
      </c>
      <c r="E126" s="19" t="s">
        <v>363</v>
      </c>
      <c r="F126" s="10">
        <v>32752</v>
      </c>
      <c r="G126" s="10">
        <v>45992</v>
      </c>
      <c r="H126" s="11">
        <v>146</v>
      </c>
      <c r="I126" s="11" t="s">
        <v>245</v>
      </c>
      <c r="J126" s="11" t="s">
        <v>247</v>
      </c>
      <c r="K126" s="11" t="s">
        <v>248</v>
      </c>
      <c r="L126" s="11">
        <v>3</v>
      </c>
    </row>
    <row r="127" spans="1:12" x14ac:dyDescent="0.2">
      <c r="A127" s="11" t="s">
        <v>109</v>
      </c>
      <c r="D127" s="11" t="s">
        <v>246</v>
      </c>
      <c r="E127" s="19" t="s">
        <v>364</v>
      </c>
      <c r="F127" s="10">
        <v>35947</v>
      </c>
      <c r="G127" s="10">
        <v>45992</v>
      </c>
      <c r="H127" s="11">
        <v>111</v>
      </c>
      <c r="I127" s="11" t="s">
        <v>245</v>
      </c>
      <c r="J127" s="11" t="s">
        <v>247</v>
      </c>
      <c r="K127" s="11" t="s">
        <v>248</v>
      </c>
      <c r="L127" s="11">
        <v>3</v>
      </c>
    </row>
    <row r="128" spans="1:12" x14ac:dyDescent="0.2">
      <c r="A128" s="11" t="s">
        <v>110</v>
      </c>
      <c r="D128" s="11" t="s">
        <v>246</v>
      </c>
      <c r="E128" s="19" t="s">
        <v>365</v>
      </c>
      <c r="F128" s="10">
        <v>35947</v>
      </c>
      <c r="G128" s="10">
        <v>45992</v>
      </c>
      <c r="H128" s="11">
        <v>111</v>
      </c>
      <c r="I128" s="11" t="s">
        <v>245</v>
      </c>
      <c r="J128" s="11" t="s">
        <v>247</v>
      </c>
      <c r="K128" s="11" t="s">
        <v>248</v>
      </c>
      <c r="L128" s="11">
        <v>3</v>
      </c>
    </row>
    <row r="129" spans="1:12" x14ac:dyDescent="0.2">
      <c r="A129" s="11" t="s">
        <v>111</v>
      </c>
      <c r="D129" s="11" t="s">
        <v>246</v>
      </c>
      <c r="E129" s="19" t="s">
        <v>366</v>
      </c>
      <c r="F129" s="10">
        <v>29465</v>
      </c>
      <c r="G129" s="10">
        <v>45992</v>
      </c>
      <c r="H129" s="11">
        <v>182</v>
      </c>
      <c r="I129" s="11" t="s">
        <v>245</v>
      </c>
      <c r="J129" s="11" t="s">
        <v>247</v>
      </c>
      <c r="K129" s="11" t="s">
        <v>248</v>
      </c>
      <c r="L129" s="11">
        <v>3</v>
      </c>
    </row>
    <row r="130" spans="1:12" x14ac:dyDescent="0.2">
      <c r="A130" s="11" t="s">
        <v>112</v>
      </c>
      <c r="D130" s="11" t="s">
        <v>246</v>
      </c>
      <c r="E130" s="19" t="s">
        <v>367</v>
      </c>
      <c r="F130" s="10">
        <v>31747</v>
      </c>
      <c r="G130" s="10">
        <v>45992</v>
      </c>
      <c r="H130" s="11">
        <v>157</v>
      </c>
      <c r="I130" s="11" t="s">
        <v>245</v>
      </c>
      <c r="J130" s="11" t="s">
        <v>247</v>
      </c>
      <c r="K130" s="11" t="s">
        <v>248</v>
      </c>
      <c r="L130" s="11">
        <v>3</v>
      </c>
    </row>
    <row r="131" spans="1:12" x14ac:dyDescent="0.2">
      <c r="A131" s="11" t="s">
        <v>113</v>
      </c>
      <c r="D131" s="11" t="s">
        <v>246</v>
      </c>
      <c r="E131" s="19" t="s">
        <v>368</v>
      </c>
      <c r="F131" s="10">
        <v>35947</v>
      </c>
      <c r="G131" s="10">
        <v>45992</v>
      </c>
      <c r="H131" s="11">
        <v>111</v>
      </c>
      <c r="I131" s="11" t="s">
        <v>245</v>
      </c>
      <c r="J131" s="11" t="s">
        <v>247</v>
      </c>
      <c r="K131" s="11" t="s">
        <v>248</v>
      </c>
      <c r="L131" s="11">
        <v>3</v>
      </c>
    </row>
    <row r="132" spans="1:12" x14ac:dyDescent="0.2">
      <c r="A132" s="11" t="s">
        <v>114</v>
      </c>
      <c r="D132" s="11" t="s">
        <v>246</v>
      </c>
      <c r="E132" s="19" t="s">
        <v>369</v>
      </c>
      <c r="F132" s="10">
        <v>35947</v>
      </c>
      <c r="G132" s="10">
        <v>45992</v>
      </c>
      <c r="H132" s="11">
        <v>111</v>
      </c>
      <c r="I132" s="11" t="s">
        <v>245</v>
      </c>
      <c r="J132" s="11" t="s">
        <v>247</v>
      </c>
      <c r="K132" s="11" t="s">
        <v>248</v>
      </c>
      <c r="L132" s="11">
        <v>3</v>
      </c>
    </row>
    <row r="133" spans="1:12" x14ac:dyDescent="0.2">
      <c r="A133" s="11" t="s">
        <v>115</v>
      </c>
      <c r="D133" s="11" t="s">
        <v>246</v>
      </c>
      <c r="E133" s="19" t="s">
        <v>370</v>
      </c>
      <c r="F133" s="10">
        <v>30011</v>
      </c>
      <c r="G133" s="10">
        <v>45992</v>
      </c>
      <c r="H133" s="11">
        <v>176</v>
      </c>
      <c r="I133" s="11" t="s">
        <v>245</v>
      </c>
      <c r="J133" s="11" t="s">
        <v>247</v>
      </c>
      <c r="K133" s="11" t="s">
        <v>248</v>
      </c>
      <c r="L133" s="11">
        <v>3</v>
      </c>
    </row>
    <row r="134" spans="1:12" x14ac:dyDescent="0.2">
      <c r="A134" s="11" t="s">
        <v>115</v>
      </c>
      <c r="D134" s="11" t="s">
        <v>246</v>
      </c>
      <c r="E134" s="19" t="s">
        <v>371</v>
      </c>
      <c r="F134" s="10">
        <v>30011</v>
      </c>
      <c r="G134" s="10">
        <v>45992</v>
      </c>
      <c r="H134" s="11">
        <v>176</v>
      </c>
      <c r="I134" s="11" t="s">
        <v>245</v>
      </c>
      <c r="J134" s="11" t="s">
        <v>247</v>
      </c>
      <c r="K134" s="11" t="s">
        <v>248</v>
      </c>
      <c r="L134" s="11">
        <v>3</v>
      </c>
    </row>
    <row r="135" spans="1:12" x14ac:dyDescent="0.2">
      <c r="A135" s="11" t="s">
        <v>116</v>
      </c>
      <c r="D135" s="11" t="s">
        <v>246</v>
      </c>
      <c r="E135" s="19" t="s">
        <v>372</v>
      </c>
      <c r="F135" s="10">
        <v>36678</v>
      </c>
      <c r="G135" s="10">
        <v>45992</v>
      </c>
      <c r="H135" s="11">
        <v>103</v>
      </c>
      <c r="I135" s="11" t="s">
        <v>245</v>
      </c>
      <c r="J135" s="11" t="s">
        <v>247</v>
      </c>
      <c r="K135" s="11" t="s">
        <v>248</v>
      </c>
      <c r="L135" s="11">
        <v>3</v>
      </c>
    </row>
    <row r="136" spans="1:12" x14ac:dyDescent="0.2">
      <c r="A136" s="11" t="s">
        <v>117</v>
      </c>
      <c r="D136" s="11" t="s">
        <v>246</v>
      </c>
      <c r="E136" s="19" t="s">
        <v>373</v>
      </c>
      <c r="F136" s="10">
        <v>36678</v>
      </c>
      <c r="G136" s="10">
        <v>45992</v>
      </c>
      <c r="H136" s="11">
        <v>103</v>
      </c>
      <c r="I136" s="11" t="s">
        <v>245</v>
      </c>
      <c r="J136" s="11" t="s">
        <v>247</v>
      </c>
      <c r="K136" s="11" t="s">
        <v>248</v>
      </c>
      <c r="L136" s="11">
        <v>3</v>
      </c>
    </row>
    <row r="137" spans="1:12" x14ac:dyDescent="0.2">
      <c r="A137" s="11" t="s">
        <v>118</v>
      </c>
      <c r="D137" s="11" t="s">
        <v>246</v>
      </c>
      <c r="E137" s="19" t="s">
        <v>374</v>
      </c>
      <c r="F137" s="10">
        <v>36678</v>
      </c>
      <c r="G137" s="10">
        <v>45992</v>
      </c>
      <c r="H137" s="11">
        <v>103</v>
      </c>
      <c r="I137" s="11" t="s">
        <v>245</v>
      </c>
      <c r="J137" s="11" t="s">
        <v>247</v>
      </c>
      <c r="K137" s="11" t="s">
        <v>248</v>
      </c>
      <c r="L137" s="11">
        <v>3</v>
      </c>
    </row>
    <row r="138" spans="1:12" x14ac:dyDescent="0.2">
      <c r="A138" s="11" t="s">
        <v>119</v>
      </c>
      <c r="D138" s="11" t="s">
        <v>246</v>
      </c>
      <c r="E138" s="19" t="s">
        <v>375</v>
      </c>
      <c r="F138" s="10">
        <v>38504</v>
      </c>
      <c r="G138" s="10">
        <v>45992</v>
      </c>
      <c r="H138" s="11">
        <v>83</v>
      </c>
      <c r="I138" s="11" t="s">
        <v>245</v>
      </c>
      <c r="J138" s="11" t="s">
        <v>247</v>
      </c>
      <c r="K138" s="11" t="s">
        <v>248</v>
      </c>
      <c r="L138" s="11">
        <v>3</v>
      </c>
    </row>
    <row r="139" spans="1:12" x14ac:dyDescent="0.2">
      <c r="A139" s="11" t="s">
        <v>120</v>
      </c>
      <c r="D139" s="11" t="s">
        <v>246</v>
      </c>
      <c r="E139" s="19" t="s">
        <v>376</v>
      </c>
      <c r="F139" s="10">
        <v>32752</v>
      </c>
      <c r="G139" s="10">
        <v>45992</v>
      </c>
      <c r="H139" s="11">
        <v>146</v>
      </c>
      <c r="I139" s="11" t="s">
        <v>245</v>
      </c>
      <c r="J139" s="11" t="s">
        <v>247</v>
      </c>
      <c r="K139" s="11" t="s">
        <v>248</v>
      </c>
      <c r="L139" s="11">
        <v>3</v>
      </c>
    </row>
    <row r="140" spans="1:12" x14ac:dyDescent="0.2">
      <c r="A140" s="11" t="s">
        <v>120</v>
      </c>
      <c r="D140" s="11" t="s">
        <v>246</v>
      </c>
      <c r="E140" s="19" t="s">
        <v>377</v>
      </c>
      <c r="F140" s="10">
        <v>32752</v>
      </c>
      <c r="G140" s="10">
        <v>45992</v>
      </c>
      <c r="H140" s="11">
        <v>146</v>
      </c>
      <c r="I140" s="11" t="s">
        <v>245</v>
      </c>
      <c r="J140" s="11" t="s">
        <v>247</v>
      </c>
      <c r="K140" s="11" t="s">
        <v>248</v>
      </c>
      <c r="L140" s="11">
        <v>3</v>
      </c>
    </row>
    <row r="141" spans="1:12" x14ac:dyDescent="0.2">
      <c r="A141" s="11" t="s">
        <v>121</v>
      </c>
      <c r="D141" s="11" t="s">
        <v>246</v>
      </c>
      <c r="E141" s="19" t="s">
        <v>378</v>
      </c>
      <c r="F141" s="10">
        <v>40695</v>
      </c>
      <c r="G141" s="10">
        <v>45992</v>
      </c>
      <c r="H141" s="11">
        <v>59</v>
      </c>
      <c r="I141" s="11" t="s">
        <v>245</v>
      </c>
      <c r="J141" s="11" t="s">
        <v>247</v>
      </c>
      <c r="K141" s="11" t="s">
        <v>248</v>
      </c>
      <c r="L141" s="11">
        <v>3</v>
      </c>
    </row>
    <row r="142" spans="1:12" x14ac:dyDescent="0.2">
      <c r="A142" s="11" t="s">
        <v>122</v>
      </c>
      <c r="D142" s="11" t="s">
        <v>246</v>
      </c>
      <c r="E142" s="19" t="s">
        <v>379</v>
      </c>
      <c r="F142" s="10">
        <v>40695</v>
      </c>
      <c r="G142" s="10">
        <v>45992</v>
      </c>
      <c r="H142" s="11">
        <v>59</v>
      </c>
      <c r="I142" s="11" t="s">
        <v>245</v>
      </c>
      <c r="J142" s="11" t="s">
        <v>247</v>
      </c>
      <c r="K142" s="11" t="s">
        <v>248</v>
      </c>
      <c r="L142" s="11">
        <v>3</v>
      </c>
    </row>
    <row r="143" spans="1:12" x14ac:dyDescent="0.2">
      <c r="A143" s="11" t="s">
        <v>123</v>
      </c>
      <c r="D143" s="11" t="s">
        <v>246</v>
      </c>
      <c r="E143" s="19" t="s">
        <v>380</v>
      </c>
      <c r="F143" s="10">
        <v>38504</v>
      </c>
      <c r="G143" s="10">
        <v>45992</v>
      </c>
      <c r="H143" s="11">
        <v>83</v>
      </c>
      <c r="I143" s="11" t="s">
        <v>245</v>
      </c>
      <c r="J143" s="11" t="s">
        <v>247</v>
      </c>
      <c r="K143" s="11" t="s">
        <v>248</v>
      </c>
      <c r="L143" s="11">
        <v>3</v>
      </c>
    </row>
    <row r="144" spans="1:12" x14ac:dyDescent="0.2">
      <c r="A144" s="11" t="s">
        <v>124</v>
      </c>
      <c r="D144" s="11" t="s">
        <v>246</v>
      </c>
      <c r="E144" s="19" t="s">
        <v>383</v>
      </c>
      <c r="F144" s="10">
        <v>17868</v>
      </c>
      <c r="G144" s="10">
        <v>45992</v>
      </c>
      <c r="H144" s="11">
        <v>309</v>
      </c>
      <c r="I144" s="11" t="s">
        <v>381</v>
      </c>
      <c r="J144" s="11" t="s">
        <v>382</v>
      </c>
      <c r="K144" s="11" t="s">
        <v>248</v>
      </c>
      <c r="L144" s="11">
        <v>3</v>
      </c>
    </row>
    <row r="145" spans="1:12" x14ac:dyDescent="0.2">
      <c r="A145" s="11" t="s">
        <v>125</v>
      </c>
      <c r="D145" s="11" t="s">
        <v>246</v>
      </c>
      <c r="E145" s="19" t="s">
        <v>384</v>
      </c>
      <c r="F145" s="10">
        <v>26634</v>
      </c>
      <c r="G145" s="10">
        <v>45992</v>
      </c>
      <c r="H145" s="11">
        <v>213</v>
      </c>
      <c r="I145" s="11" t="s">
        <v>381</v>
      </c>
      <c r="J145" s="11" t="s">
        <v>382</v>
      </c>
      <c r="K145" s="11" t="s">
        <v>248</v>
      </c>
      <c r="L145" s="11">
        <v>3</v>
      </c>
    </row>
    <row r="146" spans="1:12" x14ac:dyDescent="0.2">
      <c r="A146" s="11" t="s">
        <v>126</v>
      </c>
      <c r="D146" s="11" t="s">
        <v>246</v>
      </c>
      <c r="E146" s="19" t="s">
        <v>385</v>
      </c>
      <c r="F146" s="10">
        <v>26634</v>
      </c>
      <c r="G146" s="10">
        <v>45992</v>
      </c>
      <c r="H146" s="11">
        <v>213</v>
      </c>
      <c r="I146" s="11" t="s">
        <v>381</v>
      </c>
      <c r="J146" s="11" t="s">
        <v>382</v>
      </c>
      <c r="K146" s="11" t="s">
        <v>248</v>
      </c>
      <c r="L146" s="11">
        <v>3</v>
      </c>
    </row>
    <row r="147" spans="1:12" x14ac:dyDescent="0.2">
      <c r="A147" s="11" t="s">
        <v>127</v>
      </c>
      <c r="D147" s="11" t="s">
        <v>246</v>
      </c>
      <c r="E147" s="19" t="s">
        <v>386</v>
      </c>
      <c r="F147" s="10">
        <v>29556</v>
      </c>
      <c r="G147" s="10">
        <v>45992</v>
      </c>
      <c r="H147" s="11">
        <v>181</v>
      </c>
      <c r="I147" s="11" t="s">
        <v>381</v>
      </c>
      <c r="J147" s="11" t="s">
        <v>382</v>
      </c>
      <c r="K147" s="11" t="s">
        <v>248</v>
      </c>
      <c r="L147" s="11">
        <v>3</v>
      </c>
    </row>
    <row r="148" spans="1:12" x14ac:dyDescent="0.2">
      <c r="A148" s="11" t="s">
        <v>128</v>
      </c>
      <c r="D148" s="11" t="s">
        <v>246</v>
      </c>
      <c r="E148" s="19" t="s">
        <v>387</v>
      </c>
      <c r="F148" s="10">
        <v>29556</v>
      </c>
      <c r="G148" s="10">
        <v>45992</v>
      </c>
      <c r="H148" s="11">
        <v>181</v>
      </c>
      <c r="I148" s="11" t="s">
        <v>381</v>
      </c>
      <c r="J148" s="11" t="s">
        <v>382</v>
      </c>
      <c r="K148" s="11" t="s">
        <v>248</v>
      </c>
      <c r="L148" s="11">
        <v>3</v>
      </c>
    </row>
    <row r="149" spans="1:12" x14ac:dyDescent="0.2">
      <c r="A149" s="11" t="s">
        <v>129</v>
      </c>
      <c r="D149" s="11" t="s">
        <v>246</v>
      </c>
      <c r="E149" s="19" t="s">
        <v>388</v>
      </c>
      <c r="F149" s="10">
        <v>29556</v>
      </c>
      <c r="G149" s="10">
        <v>45992</v>
      </c>
      <c r="H149" s="11">
        <v>181</v>
      </c>
      <c r="I149" s="11" t="s">
        <v>381</v>
      </c>
      <c r="J149" s="11" t="s">
        <v>382</v>
      </c>
      <c r="K149" s="11" t="s">
        <v>248</v>
      </c>
      <c r="L149" s="11">
        <v>3</v>
      </c>
    </row>
    <row r="150" spans="1:12" x14ac:dyDescent="0.2">
      <c r="A150" s="11" t="s">
        <v>130</v>
      </c>
      <c r="D150" s="11" t="s">
        <v>246</v>
      </c>
      <c r="E150" s="19" t="s">
        <v>389</v>
      </c>
      <c r="F150" s="10">
        <v>29556</v>
      </c>
      <c r="G150" s="10">
        <v>45992</v>
      </c>
      <c r="H150" s="11">
        <v>181</v>
      </c>
      <c r="I150" s="11" t="s">
        <v>381</v>
      </c>
      <c r="J150" s="11" t="s">
        <v>382</v>
      </c>
      <c r="K150" s="11" t="s">
        <v>248</v>
      </c>
      <c r="L150" s="11">
        <v>3</v>
      </c>
    </row>
    <row r="151" spans="1:12" x14ac:dyDescent="0.2">
      <c r="A151" s="11" t="s">
        <v>131</v>
      </c>
      <c r="D151" s="11" t="s">
        <v>246</v>
      </c>
      <c r="E151" s="19" t="s">
        <v>390</v>
      </c>
      <c r="F151" s="10">
        <v>26634</v>
      </c>
      <c r="G151" s="10">
        <v>45992</v>
      </c>
      <c r="H151" s="11">
        <v>213</v>
      </c>
      <c r="I151" s="11" t="s">
        <v>381</v>
      </c>
      <c r="J151" s="11" t="s">
        <v>382</v>
      </c>
      <c r="K151" s="11" t="s">
        <v>248</v>
      </c>
      <c r="L151" s="11">
        <v>3</v>
      </c>
    </row>
    <row r="152" spans="1:12" x14ac:dyDescent="0.2">
      <c r="A152" s="11" t="s">
        <v>132</v>
      </c>
      <c r="D152" s="11" t="s">
        <v>246</v>
      </c>
      <c r="E152" s="19" t="s">
        <v>391</v>
      </c>
      <c r="F152" s="10">
        <v>26634</v>
      </c>
      <c r="G152" s="10">
        <v>45992</v>
      </c>
      <c r="H152" s="11">
        <v>213</v>
      </c>
      <c r="I152" s="11" t="s">
        <v>381</v>
      </c>
      <c r="J152" s="11" t="s">
        <v>382</v>
      </c>
      <c r="K152" s="11" t="s">
        <v>248</v>
      </c>
      <c r="L152" s="11">
        <v>3</v>
      </c>
    </row>
    <row r="153" spans="1:12" x14ac:dyDescent="0.2">
      <c r="A153" s="11" t="s">
        <v>133</v>
      </c>
      <c r="D153" s="11" t="s">
        <v>246</v>
      </c>
      <c r="E153" s="19" t="s">
        <v>392</v>
      </c>
      <c r="F153" s="10">
        <v>29556</v>
      </c>
      <c r="G153" s="10">
        <v>45992</v>
      </c>
      <c r="H153" s="11">
        <v>181</v>
      </c>
      <c r="I153" s="11" t="s">
        <v>381</v>
      </c>
      <c r="J153" s="11" t="s">
        <v>382</v>
      </c>
      <c r="K153" s="11" t="s">
        <v>248</v>
      </c>
      <c r="L153" s="11">
        <v>3</v>
      </c>
    </row>
    <row r="154" spans="1:12" x14ac:dyDescent="0.2">
      <c r="A154" s="11" t="s">
        <v>134</v>
      </c>
      <c r="D154" s="11" t="s">
        <v>246</v>
      </c>
      <c r="E154" s="19" t="s">
        <v>393</v>
      </c>
      <c r="F154" s="10">
        <v>26634</v>
      </c>
      <c r="G154" s="10">
        <v>45992</v>
      </c>
      <c r="H154" s="11">
        <v>213</v>
      </c>
      <c r="I154" s="11" t="s">
        <v>381</v>
      </c>
      <c r="J154" s="11" t="s">
        <v>382</v>
      </c>
      <c r="K154" s="11" t="s">
        <v>248</v>
      </c>
      <c r="L154" s="11">
        <v>3</v>
      </c>
    </row>
    <row r="155" spans="1:12" x14ac:dyDescent="0.2">
      <c r="A155" s="11" t="s">
        <v>135</v>
      </c>
      <c r="D155" s="11" t="s">
        <v>246</v>
      </c>
      <c r="E155" s="19" t="s">
        <v>394</v>
      </c>
      <c r="F155" s="10">
        <v>26634</v>
      </c>
      <c r="G155" s="10">
        <v>45992</v>
      </c>
      <c r="H155" s="11">
        <v>213</v>
      </c>
      <c r="I155" s="11" t="s">
        <v>381</v>
      </c>
      <c r="J155" s="11" t="s">
        <v>382</v>
      </c>
      <c r="K155" s="11" t="s">
        <v>248</v>
      </c>
      <c r="L155" s="11">
        <v>3</v>
      </c>
    </row>
    <row r="156" spans="1:12" x14ac:dyDescent="0.2">
      <c r="A156" s="11" t="s">
        <v>136</v>
      </c>
      <c r="D156" s="11" t="s">
        <v>246</v>
      </c>
      <c r="E156" s="19" t="s">
        <v>395</v>
      </c>
      <c r="F156" s="10">
        <v>29556</v>
      </c>
      <c r="G156" s="10">
        <v>45992</v>
      </c>
      <c r="H156" s="11">
        <v>181</v>
      </c>
      <c r="I156" s="11" t="s">
        <v>381</v>
      </c>
      <c r="J156" s="11" t="s">
        <v>382</v>
      </c>
      <c r="K156" s="11" t="s">
        <v>248</v>
      </c>
      <c r="L156" s="11">
        <v>3</v>
      </c>
    </row>
    <row r="157" spans="1:12" x14ac:dyDescent="0.2">
      <c r="A157" s="11" t="s">
        <v>137</v>
      </c>
      <c r="D157" s="11" t="s">
        <v>246</v>
      </c>
      <c r="E157" s="19" t="s">
        <v>396</v>
      </c>
      <c r="F157" s="10">
        <v>28095</v>
      </c>
      <c r="G157" s="10">
        <v>45992</v>
      </c>
      <c r="H157" s="11">
        <v>197</v>
      </c>
      <c r="I157" s="11" t="s">
        <v>381</v>
      </c>
      <c r="J157" s="11" t="s">
        <v>382</v>
      </c>
      <c r="K157" s="11" t="s">
        <v>248</v>
      </c>
      <c r="L157" s="11">
        <v>3</v>
      </c>
    </row>
    <row r="158" spans="1:12" x14ac:dyDescent="0.2">
      <c r="A158" s="11" t="s">
        <v>138</v>
      </c>
      <c r="D158" s="11" t="s">
        <v>246</v>
      </c>
      <c r="E158" s="19" t="s">
        <v>397</v>
      </c>
      <c r="F158" s="10">
        <v>26634</v>
      </c>
      <c r="G158" s="10">
        <v>45992</v>
      </c>
      <c r="H158" s="11">
        <v>213</v>
      </c>
      <c r="I158" s="11" t="s">
        <v>381</v>
      </c>
      <c r="J158" s="11" t="s">
        <v>382</v>
      </c>
      <c r="K158" s="11" t="s">
        <v>248</v>
      </c>
      <c r="L158" s="11">
        <v>3</v>
      </c>
    </row>
    <row r="159" spans="1:12" x14ac:dyDescent="0.2">
      <c r="A159" s="11" t="s">
        <v>139</v>
      </c>
      <c r="D159" s="11" t="s">
        <v>246</v>
      </c>
      <c r="E159" s="19" t="s">
        <v>398</v>
      </c>
      <c r="F159" s="10">
        <v>29556</v>
      </c>
      <c r="G159" s="10">
        <v>45992</v>
      </c>
      <c r="H159" s="11">
        <v>181</v>
      </c>
      <c r="I159" s="11" t="s">
        <v>381</v>
      </c>
      <c r="J159" s="11" t="s">
        <v>382</v>
      </c>
      <c r="K159" s="11" t="s">
        <v>248</v>
      </c>
      <c r="L159" s="11">
        <v>3</v>
      </c>
    </row>
    <row r="160" spans="1:12" x14ac:dyDescent="0.2">
      <c r="A160" s="11" t="s">
        <v>140</v>
      </c>
      <c r="D160" s="11" t="s">
        <v>246</v>
      </c>
      <c r="E160" s="19" t="s">
        <v>399</v>
      </c>
      <c r="F160" s="10">
        <v>29556</v>
      </c>
      <c r="G160" s="10">
        <v>45992</v>
      </c>
      <c r="H160" s="11">
        <v>181</v>
      </c>
      <c r="I160" s="11" t="s">
        <v>381</v>
      </c>
      <c r="J160" s="11" t="s">
        <v>382</v>
      </c>
      <c r="K160" s="11" t="s">
        <v>248</v>
      </c>
      <c r="L160" s="11">
        <v>3</v>
      </c>
    </row>
    <row r="161" spans="1:12" x14ac:dyDescent="0.2">
      <c r="A161" s="11" t="s">
        <v>141</v>
      </c>
      <c r="D161" s="11" t="s">
        <v>246</v>
      </c>
      <c r="E161" s="19" t="s">
        <v>400</v>
      </c>
      <c r="F161" s="10">
        <v>29556</v>
      </c>
      <c r="G161" s="10">
        <v>45992</v>
      </c>
      <c r="H161" s="11">
        <v>181</v>
      </c>
      <c r="I161" s="11" t="s">
        <v>381</v>
      </c>
      <c r="J161" s="11" t="s">
        <v>382</v>
      </c>
      <c r="K161" s="11" t="s">
        <v>248</v>
      </c>
      <c r="L161" s="11">
        <v>3</v>
      </c>
    </row>
    <row r="162" spans="1:12" x14ac:dyDescent="0.2">
      <c r="A162" s="11" t="s">
        <v>142</v>
      </c>
      <c r="D162" s="11" t="s">
        <v>246</v>
      </c>
      <c r="E162" s="19" t="s">
        <v>401</v>
      </c>
      <c r="F162" s="10">
        <v>32843</v>
      </c>
      <c r="G162" s="10">
        <v>45992</v>
      </c>
      <c r="H162" s="11">
        <v>145</v>
      </c>
      <c r="I162" s="11" t="s">
        <v>381</v>
      </c>
      <c r="J162" s="11" t="s">
        <v>382</v>
      </c>
      <c r="K162" s="11" t="s">
        <v>248</v>
      </c>
      <c r="L162" s="11">
        <v>3</v>
      </c>
    </row>
    <row r="163" spans="1:12" x14ac:dyDescent="0.2">
      <c r="A163" s="11" t="s">
        <v>143</v>
      </c>
      <c r="D163" s="11" t="s">
        <v>246</v>
      </c>
      <c r="E163" s="19" t="s">
        <v>402</v>
      </c>
      <c r="F163" s="10">
        <v>32843</v>
      </c>
      <c r="G163" s="10">
        <v>45992</v>
      </c>
      <c r="H163" s="11">
        <v>145</v>
      </c>
      <c r="I163" s="11" t="s">
        <v>381</v>
      </c>
      <c r="J163" s="11" t="s">
        <v>382</v>
      </c>
      <c r="K163" s="11" t="s">
        <v>248</v>
      </c>
      <c r="L163" s="11">
        <v>3</v>
      </c>
    </row>
    <row r="164" spans="1:12" x14ac:dyDescent="0.2">
      <c r="A164" s="11" t="s">
        <v>144</v>
      </c>
      <c r="D164" s="11" t="s">
        <v>246</v>
      </c>
      <c r="E164" s="19" t="s">
        <v>403</v>
      </c>
      <c r="F164" s="10">
        <v>32843</v>
      </c>
      <c r="G164" s="10">
        <v>45992</v>
      </c>
      <c r="H164" s="11">
        <v>145</v>
      </c>
      <c r="I164" s="11" t="s">
        <v>381</v>
      </c>
      <c r="J164" s="11" t="s">
        <v>382</v>
      </c>
      <c r="K164" s="11" t="s">
        <v>248</v>
      </c>
      <c r="L164" s="11">
        <v>3</v>
      </c>
    </row>
    <row r="165" spans="1:12" x14ac:dyDescent="0.2">
      <c r="A165" s="11" t="s">
        <v>145</v>
      </c>
      <c r="D165" s="11" t="s">
        <v>246</v>
      </c>
      <c r="E165" s="19" t="s">
        <v>404</v>
      </c>
      <c r="F165" s="10">
        <v>32843</v>
      </c>
      <c r="G165" s="10">
        <v>45992</v>
      </c>
      <c r="H165" s="11">
        <v>145</v>
      </c>
      <c r="I165" s="11" t="s">
        <v>381</v>
      </c>
      <c r="J165" s="11" t="s">
        <v>382</v>
      </c>
      <c r="K165" s="11" t="s">
        <v>248</v>
      </c>
      <c r="L165" s="11">
        <v>3</v>
      </c>
    </row>
    <row r="166" spans="1:12" x14ac:dyDescent="0.2">
      <c r="A166" s="11" t="s">
        <v>146</v>
      </c>
      <c r="D166" s="11" t="s">
        <v>246</v>
      </c>
      <c r="E166" s="19" t="s">
        <v>405</v>
      </c>
      <c r="F166" s="10">
        <v>29556</v>
      </c>
      <c r="G166" s="10">
        <v>45992</v>
      </c>
      <c r="H166" s="11">
        <v>181</v>
      </c>
      <c r="I166" s="11" t="s">
        <v>381</v>
      </c>
      <c r="J166" s="11" t="s">
        <v>382</v>
      </c>
      <c r="K166" s="11" t="s">
        <v>248</v>
      </c>
      <c r="L166" s="11">
        <v>3</v>
      </c>
    </row>
    <row r="167" spans="1:12" x14ac:dyDescent="0.2">
      <c r="A167" s="11" t="s">
        <v>147</v>
      </c>
      <c r="D167" s="11" t="s">
        <v>246</v>
      </c>
      <c r="E167" s="19" t="s">
        <v>406</v>
      </c>
      <c r="F167" s="10">
        <v>29556</v>
      </c>
      <c r="G167" s="10">
        <v>45992</v>
      </c>
      <c r="H167" s="11">
        <v>181</v>
      </c>
      <c r="I167" s="11" t="s">
        <v>381</v>
      </c>
      <c r="J167" s="11" t="s">
        <v>382</v>
      </c>
      <c r="K167" s="11" t="s">
        <v>248</v>
      </c>
      <c r="L167" s="11">
        <v>3</v>
      </c>
    </row>
    <row r="168" spans="1:12" x14ac:dyDescent="0.2">
      <c r="A168" s="11" t="s">
        <v>148</v>
      </c>
      <c r="D168" s="11" t="s">
        <v>246</v>
      </c>
      <c r="E168" s="19" t="s">
        <v>407</v>
      </c>
      <c r="F168" s="10">
        <v>32843</v>
      </c>
      <c r="G168" s="10">
        <v>45992</v>
      </c>
      <c r="H168" s="11">
        <v>145</v>
      </c>
      <c r="I168" s="11" t="s">
        <v>381</v>
      </c>
      <c r="J168" s="11" t="s">
        <v>382</v>
      </c>
      <c r="K168" s="11" t="s">
        <v>248</v>
      </c>
      <c r="L168" s="11">
        <v>3</v>
      </c>
    </row>
    <row r="169" spans="1:12" x14ac:dyDescent="0.2">
      <c r="A169" s="11" t="s">
        <v>149</v>
      </c>
      <c r="D169" s="11" t="s">
        <v>246</v>
      </c>
      <c r="E169" s="19" t="s">
        <v>408</v>
      </c>
      <c r="F169" s="10">
        <v>32843</v>
      </c>
      <c r="G169" s="10">
        <v>45992</v>
      </c>
      <c r="H169" s="11">
        <v>145</v>
      </c>
      <c r="I169" s="11" t="s">
        <v>381</v>
      </c>
      <c r="J169" s="11" t="s">
        <v>382</v>
      </c>
      <c r="K169" s="11" t="s">
        <v>248</v>
      </c>
      <c r="L169" s="11">
        <v>3</v>
      </c>
    </row>
    <row r="170" spans="1:12" x14ac:dyDescent="0.2">
      <c r="A170" s="11" t="s">
        <v>150</v>
      </c>
      <c r="D170" s="11" t="s">
        <v>246</v>
      </c>
      <c r="E170" s="19" t="s">
        <v>409</v>
      </c>
      <c r="F170" s="10">
        <v>32843</v>
      </c>
      <c r="G170" s="10">
        <v>45992</v>
      </c>
      <c r="H170" s="11">
        <v>145</v>
      </c>
      <c r="I170" s="11" t="s">
        <v>381</v>
      </c>
      <c r="J170" s="11" t="s">
        <v>382</v>
      </c>
      <c r="K170" s="11" t="s">
        <v>248</v>
      </c>
      <c r="L170" s="11">
        <v>3</v>
      </c>
    </row>
    <row r="171" spans="1:12" x14ac:dyDescent="0.2">
      <c r="A171" s="11" t="s">
        <v>151</v>
      </c>
      <c r="D171" s="11" t="s">
        <v>246</v>
      </c>
      <c r="E171" s="19" t="s">
        <v>410</v>
      </c>
      <c r="F171" s="10">
        <v>29556</v>
      </c>
      <c r="G171" s="10">
        <v>45992</v>
      </c>
      <c r="H171" s="11">
        <v>181</v>
      </c>
      <c r="I171" s="11" t="s">
        <v>381</v>
      </c>
      <c r="J171" s="11" t="s">
        <v>382</v>
      </c>
      <c r="K171" s="11" t="s">
        <v>248</v>
      </c>
      <c r="L171" s="11">
        <v>3</v>
      </c>
    </row>
    <row r="172" spans="1:12" x14ac:dyDescent="0.2">
      <c r="A172" s="11" t="s">
        <v>152</v>
      </c>
      <c r="D172" s="11" t="s">
        <v>246</v>
      </c>
      <c r="E172" s="19" t="s">
        <v>411</v>
      </c>
      <c r="F172" s="10">
        <v>32843</v>
      </c>
      <c r="G172" s="10">
        <v>45992</v>
      </c>
      <c r="H172" s="11">
        <v>145</v>
      </c>
      <c r="I172" s="11" t="s">
        <v>381</v>
      </c>
      <c r="J172" s="11" t="s">
        <v>382</v>
      </c>
      <c r="K172" s="11" t="s">
        <v>248</v>
      </c>
      <c r="L172" s="11">
        <v>3</v>
      </c>
    </row>
    <row r="173" spans="1:12" x14ac:dyDescent="0.2">
      <c r="A173" s="11" t="s">
        <v>153</v>
      </c>
      <c r="D173" s="11" t="s">
        <v>246</v>
      </c>
      <c r="E173" s="19" t="s">
        <v>412</v>
      </c>
      <c r="F173" s="10">
        <v>29556</v>
      </c>
      <c r="G173" s="10">
        <v>45992</v>
      </c>
      <c r="H173" s="11">
        <v>181</v>
      </c>
      <c r="I173" s="11" t="s">
        <v>381</v>
      </c>
      <c r="J173" s="11" t="s">
        <v>382</v>
      </c>
      <c r="K173" s="11" t="s">
        <v>248</v>
      </c>
      <c r="L173" s="11">
        <v>3</v>
      </c>
    </row>
    <row r="174" spans="1:12" x14ac:dyDescent="0.2">
      <c r="A174" s="11" t="s">
        <v>154</v>
      </c>
      <c r="D174" s="11" t="s">
        <v>246</v>
      </c>
      <c r="E174" s="19" t="s">
        <v>413</v>
      </c>
      <c r="F174" s="10">
        <v>32843</v>
      </c>
      <c r="G174" s="10">
        <v>45992</v>
      </c>
      <c r="H174" s="11">
        <v>145</v>
      </c>
      <c r="I174" s="11" t="s">
        <v>381</v>
      </c>
      <c r="J174" s="11" t="s">
        <v>382</v>
      </c>
      <c r="K174" s="11" t="s">
        <v>248</v>
      </c>
      <c r="L174" s="11">
        <v>3</v>
      </c>
    </row>
    <row r="175" spans="1:12" x14ac:dyDescent="0.2">
      <c r="A175" s="11" t="s">
        <v>155</v>
      </c>
      <c r="D175" s="11" t="s">
        <v>246</v>
      </c>
      <c r="E175" s="19" t="s">
        <v>414</v>
      </c>
      <c r="F175" s="10">
        <v>28095</v>
      </c>
      <c r="G175" s="10">
        <v>45992</v>
      </c>
      <c r="H175" s="11">
        <v>197</v>
      </c>
      <c r="I175" s="11" t="s">
        <v>381</v>
      </c>
      <c r="J175" s="11" t="s">
        <v>382</v>
      </c>
      <c r="K175" s="11" t="s">
        <v>248</v>
      </c>
      <c r="L175" s="11">
        <v>3</v>
      </c>
    </row>
    <row r="176" spans="1:12" x14ac:dyDescent="0.2">
      <c r="A176" s="11" t="s">
        <v>156</v>
      </c>
      <c r="D176" s="11" t="s">
        <v>246</v>
      </c>
      <c r="E176" s="19" t="s">
        <v>415</v>
      </c>
      <c r="F176" s="10">
        <v>29556</v>
      </c>
      <c r="G176" s="10">
        <v>45992</v>
      </c>
      <c r="H176" s="11">
        <v>181</v>
      </c>
      <c r="I176" s="11" t="s">
        <v>381</v>
      </c>
      <c r="J176" s="11" t="s">
        <v>382</v>
      </c>
      <c r="K176" s="11" t="s">
        <v>248</v>
      </c>
      <c r="L176" s="11">
        <v>3</v>
      </c>
    </row>
    <row r="177" spans="1:12" x14ac:dyDescent="0.2">
      <c r="A177" s="11" t="s">
        <v>157</v>
      </c>
      <c r="D177" s="11" t="s">
        <v>246</v>
      </c>
      <c r="E177" s="19" t="s">
        <v>416</v>
      </c>
      <c r="F177" s="10">
        <v>29556</v>
      </c>
      <c r="G177" s="10">
        <v>45992</v>
      </c>
      <c r="H177" s="11">
        <v>181</v>
      </c>
      <c r="I177" s="11" t="s">
        <v>381</v>
      </c>
      <c r="J177" s="11" t="s">
        <v>382</v>
      </c>
      <c r="K177" s="11" t="s">
        <v>248</v>
      </c>
      <c r="L177" s="11">
        <v>3</v>
      </c>
    </row>
    <row r="178" spans="1:12" x14ac:dyDescent="0.2">
      <c r="A178" s="11" t="s">
        <v>158</v>
      </c>
      <c r="D178" s="11" t="s">
        <v>246</v>
      </c>
      <c r="E178" s="19" t="s">
        <v>417</v>
      </c>
      <c r="F178" s="10">
        <v>26634</v>
      </c>
      <c r="G178" s="10">
        <v>45992</v>
      </c>
      <c r="H178" s="11">
        <v>213</v>
      </c>
      <c r="I178" s="11" t="s">
        <v>381</v>
      </c>
      <c r="J178" s="11" t="s">
        <v>382</v>
      </c>
      <c r="K178" s="11" t="s">
        <v>248</v>
      </c>
      <c r="L178" s="11">
        <v>3</v>
      </c>
    </row>
    <row r="179" spans="1:12" x14ac:dyDescent="0.2">
      <c r="A179" s="11" t="s">
        <v>159</v>
      </c>
      <c r="D179" s="11" t="s">
        <v>246</v>
      </c>
      <c r="E179" s="19" t="s">
        <v>418</v>
      </c>
      <c r="F179" s="10">
        <v>26634</v>
      </c>
      <c r="G179" s="10">
        <v>45992</v>
      </c>
      <c r="H179" s="11">
        <v>213</v>
      </c>
      <c r="I179" s="11" t="s">
        <v>381</v>
      </c>
      <c r="J179" s="11" t="s">
        <v>382</v>
      </c>
      <c r="K179" s="11" t="s">
        <v>248</v>
      </c>
      <c r="L179" s="11">
        <v>3</v>
      </c>
    </row>
    <row r="180" spans="1:12" x14ac:dyDescent="0.2">
      <c r="A180" s="11" t="s">
        <v>160</v>
      </c>
      <c r="D180" s="11" t="s">
        <v>246</v>
      </c>
      <c r="E180" s="19" t="s">
        <v>419</v>
      </c>
      <c r="F180" s="10">
        <v>29556</v>
      </c>
      <c r="G180" s="10">
        <v>45992</v>
      </c>
      <c r="H180" s="11">
        <v>181</v>
      </c>
      <c r="I180" s="11" t="s">
        <v>381</v>
      </c>
      <c r="J180" s="11" t="s">
        <v>382</v>
      </c>
      <c r="K180" s="11" t="s">
        <v>248</v>
      </c>
      <c r="L180" s="11">
        <v>3</v>
      </c>
    </row>
    <row r="181" spans="1:12" x14ac:dyDescent="0.2">
      <c r="A181" s="11" t="s">
        <v>161</v>
      </c>
      <c r="D181" s="11" t="s">
        <v>246</v>
      </c>
      <c r="E181" s="19" t="s">
        <v>420</v>
      </c>
      <c r="F181" s="10">
        <v>29556</v>
      </c>
      <c r="G181" s="10">
        <v>45992</v>
      </c>
      <c r="H181" s="11">
        <v>181</v>
      </c>
      <c r="I181" s="11" t="s">
        <v>381</v>
      </c>
      <c r="J181" s="11" t="s">
        <v>382</v>
      </c>
      <c r="K181" s="11" t="s">
        <v>248</v>
      </c>
      <c r="L181" s="11">
        <v>3</v>
      </c>
    </row>
    <row r="182" spans="1:12" x14ac:dyDescent="0.2">
      <c r="A182" s="11" t="s">
        <v>162</v>
      </c>
      <c r="D182" s="11" t="s">
        <v>246</v>
      </c>
      <c r="E182" s="19" t="s">
        <v>421</v>
      </c>
      <c r="F182" s="10">
        <v>26634</v>
      </c>
      <c r="G182" s="10">
        <v>45992</v>
      </c>
      <c r="H182" s="11">
        <v>213</v>
      </c>
      <c r="I182" s="11" t="s">
        <v>381</v>
      </c>
      <c r="J182" s="11" t="s">
        <v>382</v>
      </c>
      <c r="K182" s="11" t="s">
        <v>248</v>
      </c>
      <c r="L182" s="11">
        <v>3</v>
      </c>
    </row>
    <row r="183" spans="1:12" x14ac:dyDescent="0.2">
      <c r="A183" s="11" t="s">
        <v>163</v>
      </c>
      <c r="D183" s="11" t="s">
        <v>246</v>
      </c>
      <c r="E183" s="19" t="s">
        <v>422</v>
      </c>
      <c r="F183" s="10">
        <v>26634</v>
      </c>
      <c r="G183" s="10">
        <v>45992</v>
      </c>
      <c r="H183" s="11">
        <v>213</v>
      </c>
      <c r="I183" s="11" t="s">
        <v>381</v>
      </c>
      <c r="J183" s="11" t="s">
        <v>382</v>
      </c>
      <c r="K183" s="11" t="s">
        <v>248</v>
      </c>
      <c r="L183" s="11">
        <v>3</v>
      </c>
    </row>
    <row r="184" spans="1:12" x14ac:dyDescent="0.2">
      <c r="A184" s="11" t="s">
        <v>163</v>
      </c>
      <c r="D184" s="11" t="s">
        <v>246</v>
      </c>
      <c r="E184" s="19" t="s">
        <v>423</v>
      </c>
      <c r="F184" s="10">
        <v>26634</v>
      </c>
      <c r="G184" s="10">
        <v>45992</v>
      </c>
      <c r="H184" s="11">
        <v>213</v>
      </c>
      <c r="I184" s="11" t="s">
        <v>381</v>
      </c>
      <c r="J184" s="11" t="s">
        <v>382</v>
      </c>
      <c r="K184" s="11" t="s">
        <v>248</v>
      </c>
      <c r="L184" s="11">
        <v>3</v>
      </c>
    </row>
    <row r="185" spans="1:12" x14ac:dyDescent="0.2">
      <c r="A185" s="11" t="s">
        <v>164</v>
      </c>
      <c r="D185" s="11" t="s">
        <v>246</v>
      </c>
      <c r="E185" s="19" t="s">
        <v>424</v>
      </c>
      <c r="F185" s="10">
        <v>26634</v>
      </c>
      <c r="G185" s="10">
        <v>45992</v>
      </c>
      <c r="H185" s="11">
        <v>213</v>
      </c>
      <c r="I185" s="11" t="s">
        <v>381</v>
      </c>
      <c r="J185" s="11" t="s">
        <v>382</v>
      </c>
      <c r="K185" s="11" t="s">
        <v>248</v>
      </c>
      <c r="L185" s="11">
        <v>3</v>
      </c>
    </row>
    <row r="186" spans="1:12" x14ac:dyDescent="0.2">
      <c r="A186" s="11" t="s">
        <v>165</v>
      </c>
      <c r="D186" s="11" t="s">
        <v>246</v>
      </c>
      <c r="E186" s="19" t="s">
        <v>425</v>
      </c>
      <c r="F186" s="10">
        <v>32843</v>
      </c>
      <c r="G186" s="10">
        <v>45992</v>
      </c>
      <c r="H186" s="11">
        <v>145</v>
      </c>
      <c r="I186" s="11" t="s">
        <v>381</v>
      </c>
      <c r="J186" s="11" t="s">
        <v>382</v>
      </c>
      <c r="K186" s="11" t="s">
        <v>248</v>
      </c>
      <c r="L186" s="11">
        <v>3</v>
      </c>
    </row>
    <row r="187" spans="1:12" x14ac:dyDescent="0.2">
      <c r="A187" s="11" t="s">
        <v>166</v>
      </c>
      <c r="D187" s="11" t="s">
        <v>246</v>
      </c>
      <c r="E187" s="19" t="s">
        <v>426</v>
      </c>
      <c r="F187" s="10">
        <v>32843</v>
      </c>
      <c r="G187" s="10">
        <v>45992</v>
      </c>
      <c r="H187" s="11">
        <v>145</v>
      </c>
      <c r="I187" s="11" t="s">
        <v>381</v>
      </c>
      <c r="J187" s="11" t="s">
        <v>382</v>
      </c>
      <c r="K187" s="11" t="s">
        <v>248</v>
      </c>
      <c r="L187" s="11">
        <v>3</v>
      </c>
    </row>
    <row r="188" spans="1:12" x14ac:dyDescent="0.2">
      <c r="A188" s="11" t="s">
        <v>167</v>
      </c>
      <c r="D188" s="11" t="s">
        <v>246</v>
      </c>
      <c r="E188" s="19" t="s">
        <v>427</v>
      </c>
      <c r="F188" s="10">
        <v>32843</v>
      </c>
      <c r="G188" s="10">
        <v>45992</v>
      </c>
      <c r="H188" s="11">
        <v>145</v>
      </c>
      <c r="I188" s="11" t="s">
        <v>381</v>
      </c>
      <c r="J188" s="11" t="s">
        <v>382</v>
      </c>
      <c r="K188" s="11" t="s">
        <v>248</v>
      </c>
      <c r="L188" s="11">
        <v>3</v>
      </c>
    </row>
    <row r="189" spans="1:12" x14ac:dyDescent="0.2">
      <c r="A189" s="11" t="s">
        <v>168</v>
      </c>
      <c r="D189" s="11" t="s">
        <v>246</v>
      </c>
      <c r="E189" s="19" t="s">
        <v>428</v>
      </c>
      <c r="F189" s="10">
        <v>32843</v>
      </c>
      <c r="G189" s="10">
        <v>45992</v>
      </c>
      <c r="H189" s="11">
        <v>145</v>
      </c>
      <c r="I189" s="11" t="s">
        <v>381</v>
      </c>
      <c r="J189" s="11" t="s">
        <v>382</v>
      </c>
      <c r="K189" s="11" t="s">
        <v>248</v>
      </c>
      <c r="L189" s="11">
        <v>3</v>
      </c>
    </row>
    <row r="190" spans="1:12" x14ac:dyDescent="0.2">
      <c r="A190" s="11" t="s">
        <v>169</v>
      </c>
      <c r="D190" s="11" t="s">
        <v>246</v>
      </c>
      <c r="E190" s="19" t="s">
        <v>429</v>
      </c>
      <c r="F190" s="10">
        <v>26634</v>
      </c>
      <c r="G190" s="10">
        <v>45992</v>
      </c>
      <c r="H190" s="11">
        <v>213</v>
      </c>
      <c r="I190" s="11" t="s">
        <v>381</v>
      </c>
      <c r="J190" s="11" t="s">
        <v>382</v>
      </c>
      <c r="K190" s="11" t="s">
        <v>248</v>
      </c>
      <c r="L190" s="11">
        <v>3</v>
      </c>
    </row>
    <row r="191" spans="1:12" x14ac:dyDescent="0.2">
      <c r="A191" s="11" t="s">
        <v>170</v>
      </c>
      <c r="D191" s="11" t="s">
        <v>246</v>
      </c>
      <c r="E191" s="19" t="s">
        <v>430</v>
      </c>
      <c r="F191" s="10">
        <v>29556</v>
      </c>
      <c r="G191" s="10">
        <v>45992</v>
      </c>
      <c r="H191" s="11">
        <v>181</v>
      </c>
      <c r="I191" s="11" t="s">
        <v>381</v>
      </c>
      <c r="J191" s="11" t="s">
        <v>382</v>
      </c>
      <c r="K191" s="11" t="s">
        <v>248</v>
      </c>
      <c r="L191" s="11">
        <v>3</v>
      </c>
    </row>
    <row r="192" spans="1:12" x14ac:dyDescent="0.2">
      <c r="A192" s="11" t="s">
        <v>171</v>
      </c>
      <c r="D192" s="11" t="s">
        <v>246</v>
      </c>
      <c r="E192" s="19" t="s">
        <v>431</v>
      </c>
      <c r="F192" s="10">
        <v>29556</v>
      </c>
      <c r="G192" s="10">
        <v>45992</v>
      </c>
      <c r="H192" s="11">
        <v>181</v>
      </c>
      <c r="I192" s="11" t="s">
        <v>381</v>
      </c>
      <c r="J192" s="11" t="s">
        <v>382</v>
      </c>
      <c r="K192" s="11" t="s">
        <v>248</v>
      </c>
      <c r="L192" s="11">
        <v>3</v>
      </c>
    </row>
    <row r="193" spans="1:12" x14ac:dyDescent="0.2">
      <c r="A193" s="11" t="s">
        <v>172</v>
      </c>
      <c r="D193" s="11" t="s">
        <v>246</v>
      </c>
      <c r="E193" s="19" t="s">
        <v>432</v>
      </c>
      <c r="F193" s="10">
        <v>29556</v>
      </c>
      <c r="G193" s="10">
        <v>45992</v>
      </c>
      <c r="H193" s="11">
        <v>181</v>
      </c>
      <c r="I193" s="11" t="s">
        <v>381</v>
      </c>
      <c r="J193" s="11" t="s">
        <v>382</v>
      </c>
      <c r="K193" s="11" t="s">
        <v>248</v>
      </c>
      <c r="L193" s="11">
        <v>3</v>
      </c>
    </row>
    <row r="194" spans="1:12" x14ac:dyDescent="0.2">
      <c r="A194" s="11" t="s">
        <v>173</v>
      </c>
      <c r="D194" s="11" t="s">
        <v>246</v>
      </c>
      <c r="E194" s="19" t="s">
        <v>433</v>
      </c>
      <c r="F194" s="10">
        <v>36039</v>
      </c>
      <c r="G194" s="10">
        <v>45992</v>
      </c>
      <c r="H194" s="11">
        <v>110</v>
      </c>
      <c r="I194" s="11" t="s">
        <v>381</v>
      </c>
      <c r="J194" s="11" t="s">
        <v>382</v>
      </c>
      <c r="K194" s="11" t="s">
        <v>248</v>
      </c>
      <c r="L194" s="11">
        <v>3</v>
      </c>
    </row>
    <row r="195" spans="1:12" x14ac:dyDescent="0.2">
      <c r="A195" s="11" t="s">
        <v>174</v>
      </c>
      <c r="D195" s="11" t="s">
        <v>246</v>
      </c>
      <c r="E195" s="19" t="s">
        <v>434</v>
      </c>
      <c r="F195" s="10">
        <v>36039</v>
      </c>
      <c r="G195" s="10">
        <v>45992</v>
      </c>
      <c r="H195" s="11">
        <v>110</v>
      </c>
      <c r="I195" s="11" t="s">
        <v>381</v>
      </c>
      <c r="J195" s="11" t="s">
        <v>382</v>
      </c>
      <c r="K195" s="11" t="s">
        <v>248</v>
      </c>
      <c r="L195" s="11">
        <v>3</v>
      </c>
    </row>
    <row r="196" spans="1:12" x14ac:dyDescent="0.2">
      <c r="A196" s="11" t="s">
        <v>175</v>
      </c>
      <c r="D196" s="11" t="s">
        <v>246</v>
      </c>
      <c r="E196" s="19" t="s">
        <v>435</v>
      </c>
      <c r="F196" s="10">
        <v>26634</v>
      </c>
      <c r="G196" s="10">
        <v>45992</v>
      </c>
      <c r="H196" s="11">
        <v>213</v>
      </c>
      <c r="I196" s="11" t="s">
        <v>381</v>
      </c>
      <c r="J196" s="11" t="s">
        <v>382</v>
      </c>
      <c r="K196" s="11" t="s">
        <v>248</v>
      </c>
      <c r="L196" s="11">
        <v>3</v>
      </c>
    </row>
    <row r="197" spans="1:12" x14ac:dyDescent="0.2">
      <c r="A197" s="11" t="s">
        <v>176</v>
      </c>
      <c r="D197" s="11" t="s">
        <v>246</v>
      </c>
      <c r="E197" s="19" t="s">
        <v>436</v>
      </c>
      <c r="F197" s="10">
        <v>26634</v>
      </c>
      <c r="G197" s="10">
        <v>45992</v>
      </c>
      <c r="H197" s="11">
        <v>213</v>
      </c>
      <c r="I197" s="11" t="s">
        <v>381</v>
      </c>
      <c r="J197" s="11" t="s">
        <v>382</v>
      </c>
      <c r="K197" s="11" t="s">
        <v>248</v>
      </c>
      <c r="L197" s="11">
        <v>3</v>
      </c>
    </row>
    <row r="198" spans="1:12" x14ac:dyDescent="0.2">
      <c r="A198" s="11" t="s">
        <v>177</v>
      </c>
      <c r="D198" s="11" t="s">
        <v>246</v>
      </c>
      <c r="E198" s="19" t="s">
        <v>437</v>
      </c>
      <c r="F198" s="10">
        <v>26634</v>
      </c>
      <c r="G198" s="10">
        <v>45992</v>
      </c>
      <c r="H198" s="11">
        <v>213</v>
      </c>
      <c r="I198" s="11" t="s">
        <v>381</v>
      </c>
      <c r="J198" s="11" t="s">
        <v>382</v>
      </c>
      <c r="K198" s="11" t="s">
        <v>248</v>
      </c>
      <c r="L198" s="11">
        <v>3</v>
      </c>
    </row>
    <row r="199" spans="1:12" x14ac:dyDescent="0.2">
      <c r="A199" s="11" t="s">
        <v>177</v>
      </c>
      <c r="D199" s="11" t="s">
        <v>246</v>
      </c>
      <c r="E199" s="19" t="s">
        <v>438</v>
      </c>
      <c r="F199" s="10">
        <v>26634</v>
      </c>
      <c r="G199" s="10">
        <v>45992</v>
      </c>
      <c r="H199" s="11">
        <v>213</v>
      </c>
      <c r="I199" s="11" t="s">
        <v>381</v>
      </c>
      <c r="J199" s="11" t="s">
        <v>382</v>
      </c>
      <c r="K199" s="11" t="s">
        <v>248</v>
      </c>
      <c r="L199" s="11">
        <v>3</v>
      </c>
    </row>
    <row r="200" spans="1:12" x14ac:dyDescent="0.2">
      <c r="A200" s="11" t="s">
        <v>178</v>
      </c>
      <c r="D200" s="11" t="s">
        <v>246</v>
      </c>
      <c r="E200" s="19" t="s">
        <v>439</v>
      </c>
      <c r="F200" s="10">
        <v>36039</v>
      </c>
      <c r="G200" s="10">
        <v>45992</v>
      </c>
      <c r="H200" s="11">
        <v>110</v>
      </c>
      <c r="I200" s="11" t="s">
        <v>381</v>
      </c>
      <c r="J200" s="11" t="s">
        <v>382</v>
      </c>
      <c r="K200" s="11" t="s">
        <v>248</v>
      </c>
      <c r="L200" s="11">
        <v>3</v>
      </c>
    </row>
    <row r="201" spans="1:12" x14ac:dyDescent="0.2">
      <c r="A201" s="11" t="s">
        <v>178</v>
      </c>
      <c r="D201" s="11" t="s">
        <v>246</v>
      </c>
      <c r="E201" s="19" t="s">
        <v>440</v>
      </c>
      <c r="F201" s="10">
        <v>36039</v>
      </c>
      <c r="G201" s="10">
        <v>45992</v>
      </c>
      <c r="H201" s="11">
        <v>110</v>
      </c>
      <c r="I201" s="11" t="s">
        <v>381</v>
      </c>
      <c r="J201" s="11" t="s">
        <v>382</v>
      </c>
      <c r="K201" s="11" t="s">
        <v>248</v>
      </c>
      <c r="L201" s="11">
        <v>3</v>
      </c>
    </row>
    <row r="202" spans="1:12" x14ac:dyDescent="0.2">
      <c r="A202" s="11" t="s">
        <v>179</v>
      </c>
      <c r="D202" s="11" t="s">
        <v>246</v>
      </c>
      <c r="E202" s="19" t="s">
        <v>441</v>
      </c>
      <c r="F202" s="10">
        <v>36039</v>
      </c>
      <c r="G202" s="10">
        <v>45992</v>
      </c>
      <c r="H202" s="11">
        <v>110</v>
      </c>
      <c r="I202" s="11" t="s">
        <v>381</v>
      </c>
      <c r="J202" s="11" t="s">
        <v>382</v>
      </c>
      <c r="K202" s="11" t="s">
        <v>248</v>
      </c>
      <c r="L202" s="11">
        <v>3</v>
      </c>
    </row>
    <row r="203" spans="1:12" x14ac:dyDescent="0.2">
      <c r="A203" s="11" t="s">
        <v>180</v>
      </c>
      <c r="D203" s="11" t="s">
        <v>246</v>
      </c>
      <c r="E203" s="19" t="s">
        <v>442</v>
      </c>
      <c r="F203" s="10">
        <v>29556</v>
      </c>
      <c r="G203" s="10">
        <v>45992</v>
      </c>
      <c r="H203" s="11">
        <v>181</v>
      </c>
      <c r="I203" s="11" t="s">
        <v>381</v>
      </c>
      <c r="J203" s="11" t="s">
        <v>382</v>
      </c>
      <c r="K203" s="11" t="s">
        <v>248</v>
      </c>
      <c r="L203" s="11">
        <v>3</v>
      </c>
    </row>
    <row r="204" spans="1:12" x14ac:dyDescent="0.2">
      <c r="A204" s="11" t="s">
        <v>181</v>
      </c>
      <c r="D204" s="11" t="s">
        <v>246</v>
      </c>
      <c r="E204" s="19" t="s">
        <v>443</v>
      </c>
      <c r="F204" s="10">
        <v>36039</v>
      </c>
      <c r="G204" s="10">
        <v>45992</v>
      </c>
      <c r="H204" s="11">
        <v>110</v>
      </c>
      <c r="I204" s="11" t="s">
        <v>381</v>
      </c>
      <c r="J204" s="11" t="s">
        <v>382</v>
      </c>
      <c r="K204" s="11" t="s">
        <v>248</v>
      </c>
      <c r="L204" s="11">
        <v>3</v>
      </c>
    </row>
    <row r="205" spans="1:12" x14ac:dyDescent="0.2">
      <c r="A205" s="11" t="s">
        <v>182</v>
      </c>
      <c r="D205" s="11" t="s">
        <v>246</v>
      </c>
      <c r="E205" s="19" t="s">
        <v>444</v>
      </c>
      <c r="F205" s="10">
        <v>26634</v>
      </c>
      <c r="G205" s="10">
        <v>45992</v>
      </c>
      <c r="H205" s="11">
        <v>213</v>
      </c>
      <c r="I205" s="11" t="s">
        <v>381</v>
      </c>
      <c r="J205" s="11" t="s">
        <v>382</v>
      </c>
      <c r="K205" s="11" t="s">
        <v>248</v>
      </c>
      <c r="L205" s="11">
        <v>3</v>
      </c>
    </row>
    <row r="206" spans="1:12" x14ac:dyDescent="0.2">
      <c r="A206" s="11" t="s">
        <v>183</v>
      </c>
      <c r="D206" s="11" t="s">
        <v>246</v>
      </c>
      <c r="E206" s="19" t="s">
        <v>445</v>
      </c>
      <c r="F206" s="10">
        <v>36039</v>
      </c>
      <c r="G206" s="10">
        <v>45992</v>
      </c>
      <c r="H206" s="11">
        <v>110</v>
      </c>
      <c r="I206" s="11" t="s">
        <v>381</v>
      </c>
      <c r="J206" s="11" t="s">
        <v>382</v>
      </c>
      <c r="K206" s="11" t="s">
        <v>248</v>
      </c>
      <c r="L206" s="11">
        <v>3</v>
      </c>
    </row>
    <row r="207" spans="1:12" x14ac:dyDescent="0.2">
      <c r="A207" s="11" t="s">
        <v>184</v>
      </c>
      <c r="D207" s="11" t="s">
        <v>246</v>
      </c>
      <c r="E207" s="19" t="s">
        <v>446</v>
      </c>
      <c r="F207" s="10">
        <v>29556</v>
      </c>
      <c r="G207" s="10">
        <v>45992</v>
      </c>
      <c r="H207" s="11">
        <v>181</v>
      </c>
      <c r="I207" s="11" t="s">
        <v>381</v>
      </c>
      <c r="J207" s="11" t="s">
        <v>382</v>
      </c>
      <c r="K207" s="11" t="s">
        <v>248</v>
      </c>
      <c r="L207" s="11">
        <v>3</v>
      </c>
    </row>
    <row r="208" spans="1:12" x14ac:dyDescent="0.2">
      <c r="A208" s="11" t="s">
        <v>185</v>
      </c>
      <c r="D208" s="11" t="s">
        <v>246</v>
      </c>
      <c r="E208" s="19" t="s">
        <v>447</v>
      </c>
      <c r="F208" s="10">
        <v>32843</v>
      </c>
      <c r="G208" s="10">
        <v>45992</v>
      </c>
      <c r="H208" s="11">
        <v>145</v>
      </c>
      <c r="I208" s="11" t="s">
        <v>381</v>
      </c>
      <c r="J208" s="11" t="s">
        <v>382</v>
      </c>
      <c r="K208" s="11" t="s">
        <v>248</v>
      </c>
      <c r="L208" s="11">
        <v>3</v>
      </c>
    </row>
    <row r="209" spans="1:12" x14ac:dyDescent="0.2">
      <c r="A209" s="11" t="s">
        <v>186</v>
      </c>
      <c r="D209" s="11" t="s">
        <v>246</v>
      </c>
      <c r="E209" s="19" t="s">
        <v>448</v>
      </c>
      <c r="F209" s="10">
        <v>26634</v>
      </c>
      <c r="G209" s="10">
        <v>45992</v>
      </c>
      <c r="H209" s="11">
        <v>213</v>
      </c>
      <c r="I209" s="11" t="s">
        <v>381</v>
      </c>
      <c r="J209" s="11" t="s">
        <v>382</v>
      </c>
      <c r="K209" s="11" t="s">
        <v>248</v>
      </c>
      <c r="L209" s="11">
        <v>3</v>
      </c>
    </row>
    <row r="210" spans="1:12" x14ac:dyDescent="0.2">
      <c r="A210" s="11" t="s">
        <v>187</v>
      </c>
      <c r="D210" s="11" t="s">
        <v>246</v>
      </c>
      <c r="E210" s="19" t="s">
        <v>449</v>
      </c>
      <c r="F210" s="10">
        <v>26634</v>
      </c>
      <c r="G210" s="10">
        <v>45992</v>
      </c>
      <c r="H210" s="11">
        <v>213</v>
      </c>
      <c r="I210" s="11" t="s">
        <v>381</v>
      </c>
      <c r="J210" s="11" t="s">
        <v>382</v>
      </c>
      <c r="K210" s="11" t="s">
        <v>248</v>
      </c>
      <c r="L210" s="11">
        <v>3</v>
      </c>
    </row>
    <row r="211" spans="1:12" x14ac:dyDescent="0.2">
      <c r="A211" s="11" t="s">
        <v>188</v>
      </c>
      <c r="D211" s="11" t="s">
        <v>246</v>
      </c>
      <c r="E211" s="19" t="s">
        <v>450</v>
      </c>
      <c r="F211" s="10">
        <v>29556</v>
      </c>
      <c r="G211" s="10">
        <v>45992</v>
      </c>
      <c r="H211" s="11">
        <v>181</v>
      </c>
      <c r="I211" s="11" t="s">
        <v>381</v>
      </c>
      <c r="J211" s="11" t="s">
        <v>382</v>
      </c>
      <c r="K211" s="11" t="s">
        <v>248</v>
      </c>
      <c r="L211" s="11">
        <v>3</v>
      </c>
    </row>
    <row r="212" spans="1:12" x14ac:dyDescent="0.2">
      <c r="A212" s="11" t="s">
        <v>189</v>
      </c>
      <c r="D212" s="11" t="s">
        <v>246</v>
      </c>
      <c r="E212" s="19" t="s">
        <v>451</v>
      </c>
      <c r="F212" s="10">
        <v>29556</v>
      </c>
      <c r="G212" s="10">
        <v>45992</v>
      </c>
      <c r="H212" s="11">
        <v>181</v>
      </c>
      <c r="I212" s="11" t="s">
        <v>381</v>
      </c>
      <c r="J212" s="11" t="s">
        <v>382</v>
      </c>
      <c r="K212" s="11" t="s">
        <v>248</v>
      </c>
      <c r="L212" s="11">
        <v>3</v>
      </c>
    </row>
    <row r="213" spans="1:12" x14ac:dyDescent="0.2">
      <c r="A213" s="11" t="s">
        <v>190</v>
      </c>
      <c r="D213" s="11" t="s">
        <v>246</v>
      </c>
      <c r="E213" s="19" t="s">
        <v>452</v>
      </c>
      <c r="F213" s="10">
        <v>26634</v>
      </c>
      <c r="G213" s="10">
        <v>45992</v>
      </c>
      <c r="H213" s="11">
        <v>213</v>
      </c>
      <c r="I213" s="11" t="s">
        <v>381</v>
      </c>
      <c r="J213" s="11" t="s">
        <v>382</v>
      </c>
      <c r="K213" s="11" t="s">
        <v>248</v>
      </c>
      <c r="L213" s="11">
        <v>3</v>
      </c>
    </row>
    <row r="214" spans="1:12" x14ac:dyDescent="0.2">
      <c r="A214" s="11" t="s">
        <v>190</v>
      </c>
      <c r="D214" s="11" t="s">
        <v>246</v>
      </c>
      <c r="E214" s="19" t="s">
        <v>453</v>
      </c>
      <c r="F214" s="10">
        <v>26634</v>
      </c>
      <c r="G214" s="10">
        <v>45992</v>
      </c>
      <c r="H214" s="11">
        <v>213</v>
      </c>
      <c r="I214" s="11" t="s">
        <v>381</v>
      </c>
      <c r="J214" s="11" t="s">
        <v>382</v>
      </c>
      <c r="K214" s="11" t="s">
        <v>248</v>
      </c>
      <c r="L214" s="11">
        <v>3</v>
      </c>
    </row>
    <row r="215" spans="1:12" x14ac:dyDescent="0.2">
      <c r="A215" s="11" t="s">
        <v>191</v>
      </c>
      <c r="D215" s="11" t="s">
        <v>246</v>
      </c>
      <c r="E215" s="19" t="s">
        <v>454</v>
      </c>
      <c r="F215" s="10">
        <v>32843</v>
      </c>
      <c r="G215" s="10">
        <v>45992</v>
      </c>
      <c r="H215" s="11">
        <v>145</v>
      </c>
      <c r="I215" s="11" t="s">
        <v>381</v>
      </c>
      <c r="J215" s="11" t="s">
        <v>382</v>
      </c>
      <c r="K215" s="11" t="s">
        <v>248</v>
      </c>
      <c r="L215" s="11">
        <v>3</v>
      </c>
    </row>
    <row r="216" spans="1:12" x14ac:dyDescent="0.2">
      <c r="A216" s="11" t="s">
        <v>192</v>
      </c>
      <c r="D216" s="11" t="s">
        <v>246</v>
      </c>
      <c r="E216" s="19" t="s">
        <v>455</v>
      </c>
      <c r="F216" s="10">
        <v>26634</v>
      </c>
      <c r="G216" s="10">
        <v>45992</v>
      </c>
      <c r="H216" s="11">
        <v>213</v>
      </c>
      <c r="I216" s="11" t="s">
        <v>381</v>
      </c>
      <c r="J216" s="11" t="s">
        <v>382</v>
      </c>
      <c r="K216" s="11" t="s">
        <v>248</v>
      </c>
      <c r="L216" s="11">
        <v>3</v>
      </c>
    </row>
    <row r="217" spans="1:12" x14ac:dyDescent="0.2">
      <c r="A217" s="11" t="s">
        <v>193</v>
      </c>
      <c r="D217" s="11" t="s">
        <v>246</v>
      </c>
      <c r="E217" s="19" t="s">
        <v>456</v>
      </c>
      <c r="F217" s="10">
        <v>26634</v>
      </c>
      <c r="G217" s="10">
        <v>45992</v>
      </c>
      <c r="H217" s="11">
        <v>213</v>
      </c>
      <c r="I217" s="11" t="s">
        <v>381</v>
      </c>
      <c r="J217" s="11" t="s">
        <v>382</v>
      </c>
      <c r="K217" s="11" t="s">
        <v>248</v>
      </c>
      <c r="L217" s="11">
        <v>3</v>
      </c>
    </row>
    <row r="218" spans="1:12" x14ac:dyDescent="0.2">
      <c r="A218" s="11" t="s">
        <v>194</v>
      </c>
      <c r="D218" s="11" t="s">
        <v>246</v>
      </c>
      <c r="E218" s="19" t="s">
        <v>457</v>
      </c>
      <c r="F218" s="10">
        <v>32843</v>
      </c>
      <c r="G218" s="10">
        <v>45992</v>
      </c>
      <c r="H218" s="11">
        <v>145</v>
      </c>
      <c r="I218" s="11" t="s">
        <v>381</v>
      </c>
      <c r="J218" s="11" t="s">
        <v>382</v>
      </c>
      <c r="K218" s="11" t="s">
        <v>248</v>
      </c>
      <c r="L218" s="11">
        <v>3</v>
      </c>
    </row>
    <row r="219" spans="1:12" x14ac:dyDescent="0.2">
      <c r="A219" s="11" t="s">
        <v>195</v>
      </c>
      <c r="D219" s="11" t="s">
        <v>246</v>
      </c>
      <c r="E219" s="19" t="s">
        <v>458</v>
      </c>
      <c r="F219" s="10">
        <v>29556</v>
      </c>
      <c r="G219" s="10">
        <v>45992</v>
      </c>
      <c r="H219" s="11">
        <v>181</v>
      </c>
      <c r="I219" s="11" t="s">
        <v>381</v>
      </c>
      <c r="J219" s="11" t="s">
        <v>382</v>
      </c>
      <c r="K219" s="11" t="s">
        <v>248</v>
      </c>
      <c r="L219" s="11">
        <v>3</v>
      </c>
    </row>
    <row r="220" spans="1:12" x14ac:dyDescent="0.2">
      <c r="A220" s="11" t="s">
        <v>196</v>
      </c>
      <c r="D220" s="11" t="s">
        <v>246</v>
      </c>
      <c r="E220" s="19" t="s">
        <v>459</v>
      </c>
      <c r="F220" s="10">
        <v>32843</v>
      </c>
      <c r="G220" s="10">
        <v>45992</v>
      </c>
      <c r="H220" s="11">
        <v>145</v>
      </c>
      <c r="I220" s="11" t="s">
        <v>381</v>
      </c>
      <c r="J220" s="11" t="s">
        <v>382</v>
      </c>
      <c r="K220" s="11" t="s">
        <v>248</v>
      </c>
      <c r="L220" s="11">
        <v>3</v>
      </c>
    </row>
    <row r="221" spans="1:12" x14ac:dyDescent="0.2">
      <c r="A221" s="11" t="s">
        <v>197</v>
      </c>
      <c r="D221" s="11" t="s">
        <v>246</v>
      </c>
      <c r="E221" s="19" t="s">
        <v>460</v>
      </c>
      <c r="F221" s="10">
        <v>29556</v>
      </c>
      <c r="G221" s="10">
        <v>45992</v>
      </c>
      <c r="H221" s="11">
        <v>181</v>
      </c>
      <c r="I221" s="11" t="s">
        <v>381</v>
      </c>
      <c r="J221" s="11" t="s">
        <v>382</v>
      </c>
      <c r="K221" s="11" t="s">
        <v>248</v>
      </c>
      <c r="L221" s="11">
        <v>3</v>
      </c>
    </row>
    <row r="222" spans="1:12" x14ac:dyDescent="0.2">
      <c r="A222" s="11" t="s">
        <v>198</v>
      </c>
      <c r="D222" s="11" t="s">
        <v>246</v>
      </c>
      <c r="E222" s="19" t="s">
        <v>461</v>
      </c>
      <c r="F222" s="10">
        <v>29556</v>
      </c>
      <c r="G222" s="10">
        <v>45992</v>
      </c>
      <c r="H222" s="11">
        <v>181</v>
      </c>
      <c r="I222" s="11" t="s">
        <v>381</v>
      </c>
      <c r="J222" s="11" t="s">
        <v>382</v>
      </c>
      <c r="K222" s="11" t="s">
        <v>248</v>
      </c>
      <c r="L222" s="11">
        <v>3</v>
      </c>
    </row>
    <row r="223" spans="1:12" x14ac:dyDescent="0.2">
      <c r="A223" s="11" t="s">
        <v>199</v>
      </c>
      <c r="D223" s="11" t="s">
        <v>246</v>
      </c>
      <c r="E223" s="19" t="s">
        <v>462</v>
      </c>
      <c r="F223" s="10">
        <v>32843</v>
      </c>
      <c r="G223" s="10">
        <v>45992</v>
      </c>
      <c r="H223" s="11">
        <v>145</v>
      </c>
      <c r="I223" s="11" t="s">
        <v>381</v>
      </c>
      <c r="J223" s="11" t="s">
        <v>382</v>
      </c>
      <c r="K223" s="11" t="s">
        <v>248</v>
      </c>
      <c r="L223" s="11">
        <v>3</v>
      </c>
    </row>
    <row r="224" spans="1:12" x14ac:dyDescent="0.2">
      <c r="A224" s="11" t="s">
        <v>200</v>
      </c>
      <c r="D224" s="11" t="s">
        <v>246</v>
      </c>
      <c r="E224" s="19" t="s">
        <v>463</v>
      </c>
      <c r="F224" s="10">
        <v>32843</v>
      </c>
      <c r="G224" s="10">
        <v>45992</v>
      </c>
      <c r="H224" s="11">
        <v>145</v>
      </c>
      <c r="I224" s="11" t="s">
        <v>381</v>
      </c>
      <c r="J224" s="11" t="s">
        <v>382</v>
      </c>
      <c r="K224" s="11" t="s">
        <v>248</v>
      </c>
      <c r="L224" s="11">
        <v>3</v>
      </c>
    </row>
    <row r="225" spans="1:12" x14ac:dyDescent="0.2">
      <c r="A225" s="11" t="s">
        <v>201</v>
      </c>
      <c r="D225" s="11" t="s">
        <v>246</v>
      </c>
      <c r="E225" s="19" t="s">
        <v>464</v>
      </c>
      <c r="F225" s="10">
        <v>30103</v>
      </c>
      <c r="G225" s="10">
        <v>45992</v>
      </c>
      <c r="H225" s="11">
        <v>175</v>
      </c>
      <c r="I225" s="11" t="s">
        <v>381</v>
      </c>
      <c r="J225" s="11" t="s">
        <v>382</v>
      </c>
      <c r="K225" s="11" t="s">
        <v>248</v>
      </c>
      <c r="L225" s="11">
        <v>3</v>
      </c>
    </row>
    <row r="226" spans="1:12" x14ac:dyDescent="0.2">
      <c r="A226" s="11" t="s">
        <v>202</v>
      </c>
      <c r="D226" s="11" t="s">
        <v>246</v>
      </c>
      <c r="E226" s="19" t="s">
        <v>465</v>
      </c>
      <c r="F226" s="10">
        <v>26634</v>
      </c>
      <c r="G226" s="10">
        <v>45992</v>
      </c>
      <c r="H226" s="11">
        <v>213</v>
      </c>
      <c r="I226" s="11" t="s">
        <v>381</v>
      </c>
      <c r="J226" s="11" t="s">
        <v>382</v>
      </c>
      <c r="K226" s="11" t="s">
        <v>248</v>
      </c>
      <c r="L226" s="11">
        <v>3</v>
      </c>
    </row>
    <row r="227" spans="1:12" x14ac:dyDescent="0.2">
      <c r="A227" s="11" t="s">
        <v>203</v>
      </c>
      <c r="D227" s="11" t="s">
        <v>246</v>
      </c>
      <c r="E227" s="19" t="s">
        <v>466</v>
      </c>
      <c r="F227" s="10">
        <v>32843</v>
      </c>
      <c r="G227" s="10">
        <v>45992</v>
      </c>
      <c r="H227" s="11">
        <v>145</v>
      </c>
      <c r="I227" s="11" t="s">
        <v>381</v>
      </c>
      <c r="J227" s="11" t="s">
        <v>382</v>
      </c>
      <c r="K227" s="11" t="s">
        <v>248</v>
      </c>
      <c r="L227" s="11">
        <v>3</v>
      </c>
    </row>
    <row r="228" spans="1:12" x14ac:dyDescent="0.2">
      <c r="A228" s="11" t="s">
        <v>204</v>
      </c>
      <c r="D228" s="11" t="s">
        <v>246</v>
      </c>
      <c r="E228" s="19" t="s">
        <v>467</v>
      </c>
      <c r="F228" s="10">
        <v>32843</v>
      </c>
      <c r="G228" s="10">
        <v>45992</v>
      </c>
      <c r="H228" s="11">
        <v>145</v>
      </c>
      <c r="I228" s="11" t="s">
        <v>381</v>
      </c>
      <c r="J228" s="11" t="s">
        <v>382</v>
      </c>
      <c r="K228" s="11" t="s">
        <v>248</v>
      </c>
      <c r="L228" s="11">
        <v>3</v>
      </c>
    </row>
    <row r="229" spans="1:12" x14ac:dyDescent="0.2">
      <c r="A229" s="11" t="s">
        <v>205</v>
      </c>
      <c r="D229" s="11" t="s">
        <v>246</v>
      </c>
      <c r="E229" s="19" t="s">
        <v>468</v>
      </c>
      <c r="F229" s="10">
        <v>31837</v>
      </c>
      <c r="G229" s="10">
        <v>45992</v>
      </c>
      <c r="H229" s="11">
        <v>156</v>
      </c>
      <c r="I229" s="11" t="s">
        <v>381</v>
      </c>
      <c r="J229" s="11" t="s">
        <v>382</v>
      </c>
      <c r="K229" s="11" t="s">
        <v>248</v>
      </c>
      <c r="L229" s="11">
        <v>3</v>
      </c>
    </row>
    <row r="230" spans="1:12" x14ac:dyDescent="0.2">
      <c r="A230" s="11" t="s">
        <v>206</v>
      </c>
      <c r="D230" s="11" t="s">
        <v>246</v>
      </c>
      <c r="E230" s="19" t="s">
        <v>469</v>
      </c>
      <c r="F230" s="10">
        <v>29556</v>
      </c>
      <c r="G230" s="10">
        <v>45992</v>
      </c>
      <c r="H230" s="11">
        <v>181</v>
      </c>
      <c r="I230" s="11" t="s">
        <v>381</v>
      </c>
      <c r="J230" s="11" t="s">
        <v>382</v>
      </c>
      <c r="K230" s="11" t="s">
        <v>248</v>
      </c>
      <c r="L230" s="11">
        <v>3</v>
      </c>
    </row>
    <row r="231" spans="1:12" x14ac:dyDescent="0.2">
      <c r="A231" s="11" t="s">
        <v>207</v>
      </c>
      <c r="D231" s="11" t="s">
        <v>246</v>
      </c>
      <c r="E231" s="19" t="s">
        <v>470</v>
      </c>
      <c r="F231" s="10">
        <v>31837</v>
      </c>
      <c r="G231" s="10">
        <v>45992</v>
      </c>
      <c r="H231" s="11">
        <v>156</v>
      </c>
      <c r="I231" s="11" t="s">
        <v>381</v>
      </c>
      <c r="J231" s="11" t="s">
        <v>382</v>
      </c>
      <c r="K231" s="11" t="s">
        <v>248</v>
      </c>
      <c r="L231" s="11">
        <v>3</v>
      </c>
    </row>
    <row r="232" spans="1:12" x14ac:dyDescent="0.2">
      <c r="A232" s="11" t="s">
        <v>208</v>
      </c>
      <c r="D232" s="11" t="s">
        <v>246</v>
      </c>
      <c r="E232" s="19" t="s">
        <v>471</v>
      </c>
      <c r="F232" s="10">
        <v>29556</v>
      </c>
      <c r="G232" s="10">
        <v>45992</v>
      </c>
      <c r="H232" s="11">
        <v>181</v>
      </c>
      <c r="I232" s="11" t="s">
        <v>381</v>
      </c>
      <c r="J232" s="11" t="s">
        <v>382</v>
      </c>
      <c r="K232" s="11" t="s">
        <v>248</v>
      </c>
      <c r="L232" s="11">
        <v>3</v>
      </c>
    </row>
    <row r="233" spans="1:12" x14ac:dyDescent="0.2">
      <c r="A233" s="11" t="s">
        <v>209</v>
      </c>
      <c r="D233" s="11" t="s">
        <v>246</v>
      </c>
      <c r="E233" s="19" t="s">
        <v>472</v>
      </c>
      <c r="F233" s="10">
        <v>29556</v>
      </c>
      <c r="G233" s="10">
        <v>45992</v>
      </c>
      <c r="H233" s="11">
        <v>181</v>
      </c>
      <c r="I233" s="11" t="s">
        <v>381</v>
      </c>
      <c r="J233" s="11" t="s">
        <v>382</v>
      </c>
      <c r="K233" s="11" t="s">
        <v>248</v>
      </c>
      <c r="L233" s="11">
        <v>3</v>
      </c>
    </row>
    <row r="234" spans="1:12" x14ac:dyDescent="0.2">
      <c r="A234" s="11" t="s">
        <v>210</v>
      </c>
      <c r="D234" s="11" t="s">
        <v>246</v>
      </c>
      <c r="E234" s="19" t="s">
        <v>473</v>
      </c>
      <c r="F234" s="10">
        <v>29556</v>
      </c>
      <c r="G234" s="10">
        <v>45992</v>
      </c>
      <c r="H234" s="11">
        <v>181</v>
      </c>
      <c r="I234" s="11" t="s">
        <v>381</v>
      </c>
      <c r="J234" s="11" t="s">
        <v>382</v>
      </c>
      <c r="K234" s="11" t="s">
        <v>248</v>
      </c>
      <c r="L234" s="11">
        <v>3</v>
      </c>
    </row>
    <row r="235" spans="1:12" x14ac:dyDescent="0.2">
      <c r="A235" s="11" t="s">
        <v>211</v>
      </c>
      <c r="D235" s="11" t="s">
        <v>246</v>
      </c>
      <c r="E235" s="19" t="s">
        <v>474</v>
      </c>
      <c r="F235" s="10">
        <v>26634</v>
      </c>
      <c r="G235" s="10">
        <v>45992</v>
      </c>
      <c r="H235" s="11">
        <v>213</v>
      </c>
      <c r="I235" s="11" t="s">
        <v>381</v>
      </c>
      <c r="J235" s="11" t="s">
        <v>382</v>
      </c>
      <c r="K235" s="11" t="s">
        <v>248</v>
      </c>
      <c r="L235" s="11">
        <v>3</v>
      </c>
    </row>
    <row r="236" spans="1:12" x14ac:dyDescent="0.2">
      <c r="A236" s="11" t="s">
        <v>212</v>
      </c>
      <c r="D236" s="11" t="s">
        <v>246</v>
      </c>
      <c r="E236" s="19" t="s">
        <v>475</v>
      </c>
      <c r="F236" s="10">
        <v>26634</v>
      </c>
      <c r="G236" s="10">
        <v>45992</v>
      </c>
      <c r="H236" s="11">
        <v>213</v>
      </c>
      <c r="I236" s="11" t="s">
        <v>381</v>
      </c>
      <c r="J236" s="11" t="s">
        <v>382</v>
      </c>
      <c r="K236" s="11" t="s">
        <v>248</v>
      </c>
      <c r="L236" s="11">
        <v>3</v>
      </c>
    </row>
    <row r="237" spans="1:12" x14ac:dyDescent="0.2">
      <c r="A237" s="11" t="s">
        <v>213</v>
      </c>
      <c r="D237" s="11" t="s">
        <v>246</v>
      </c>
      <c r="E237" s="19" t="s">
        <v>476</v>
      </c>
      <c r="F237" s="10">
        <v>26634</v>
      </c>
      <c r="G237" s="10">
        <v>45992</v>
      </c>
      <c r="H237" s="11">
        <v>213</v>
      </c>
      <c r="I237" s="11" t="s">
        <v>381</v>
      </c>
      <c r="J237" s="11" t="s">
        <v>382</v>
      </c>
      <c r="K237" s="11" t="s">
        <v>248</v>
      </c>
      <c r="L237" s="11">
        <v>3</v>
      </c>
    </row>
    <row r="238" spans="1:12" x14ac:dyDescent="0.2">
      <c r="A238" s="11" t="s">
        <v>214</v>
      </c>
      <c r="D238" s="11" t="s">
        <v>246</v>
      </c>
      <c r="E238" s="19" t="s">
        <v>477</v>
      </c>
      <c r="F238" s="10">
        <v>29556</v>
      </c>
      <c r="G238" s="10">
        <v>45992</v>
      </c>
      <c r="H238" s="11">
        <v>181</v>
      </c>
      <c r="I238" s="11" t="s">
        <v>381</v>
      </c>
      <c r="J238" s="11" t="s">
        <v>382</v>
      </c>
      <c r="K238" s="11" t="s">
        <v>248</v>
      </c>
      <c r="L238" s="11">
        <v>3</v>
      </c>
    </row>
    <row r="239" spans="1:12" x14ac:dyDescent="0.2">
      <c r="A239" s="11" t="s">
        <v>215</v>
      </c>
      <c r="D239" s="11" t="s">
        <v>246</v>
      </c>
      <c r="E239" s="19" t="s">
        <v>478</v>
      </c>
      <c r="F239" s="10">
        <v>26634</v>
      </c>
      <c r="G239" s="10">
        <v>45992</v>
      </c>
      <c r="H239" s="11">
        <v>213</v>
      </c>
      <c r="I239" s="11" t="s">
        <v>381</v>
      </c>
      <c r="J239" s="11" t="s">
        <v>382</v>
      </c>
      <c r="K239" s="11" t="s">
        <v>248</v>
      </c>
      <c r="L239" s="11">
        <v>3</v>
      </c>
    </row>
    <row r="240" spans="1:12" x14ac:dyDescent="0.2">
      <c r="A240" s="11" t="s">
        <v>216</v>
      </c>
      <c r="D240" s="11" t="s">
        <v>246</v>
      </c>
      <c r="E240" s="19" t="s">
        <v>479</v>
      </c>
      <c r="F240" s="10">
        <v>29556</v>
      </c>
      <c r="G240" s="10">
        <v>45992</v>
      </c>
      <c r="H240" s="11">
        <v>181</v>
      </c>
      <c r="I240" s="11" t="s">
        <v>381</v>
      </c>
      <c r="J240" s="11" t="s">
        <v>382</v>
      </c>
      <c r="K240" s="11" t="s">
        <v>248</v>
      </c>
      <c r="L240" s="11">
        <v>3</v>
      </c>
    </row>
    <row r="241" spans="1:12" x14ac:dyDescent="0.2">
      <c r="A241" s="11" t="s">
        <v>217</v>
      </c>
      <c r="D241" s="11" t="s">
        <v>246</v>
      </c>
      <c r="E241" s="19" t="s">
        <v>480</v>
      </c>
      <c r="F241" s="10">
        <v>29556</v>
      </c>
      <c r="G241" s="10">
        <v>45992</v>
      </c>
      <c r="H241" s="11">
        <v>181</v>
      </c>
      <c r="I241" s="11" t="s">
        <v>381</v>
      </c>
      <c r="J241" s="11" t="s">
        <v>382</v>
      </c>
      <c r="K241" s="11" t="s">
        <v>248</v>
      </c>
      <c r="L241" s="11">
        <v>3</v>
      </c>
    </row>
    <row r="242" spans="1:12" x14ac:dyDescent="0.2">
      <c r="A242" s="11" t="s">
        <v>218</v>
      </c>
      <c r="D242" s="11" t="s">
        <v>246</v>
      </c>
      <c r="E242" s="19" t="s">
        <v>481</v>
      </c>
      <c r="F242" s="10">
        <v>26634</v>
      </c>
      <c r="G242" s="10">
        <v>45992</v>
      </c>
      <c r="H242" s="11">
        <v>213</v>
      </c>
      <c r="I242" s="11" t="s">
        <v>381</v>
      </c>
      <c r="J242" s="11" t="s">
        <v>382</v>
      </c>
      <c r="K242" s="11" t="s">
        <v>248</v>
      </c>
      <c r="L242" s="11">
        <v>3</v>
      </c>
    </row>
    <row r="243" spans="1:12" x14ac:dyDescent="0.2">
      <c r="A243" s="11" t="s">
        <v>218</v>
      </c>
      <c r="D243" s="11" t="s">
        <v>246</v>
      </c>
      <c r="E243" s="19" t="s">
        <v>482</v>
      </c>
      <c r="F243" s="10">
        <v>26634</v>
      </c>
      <c r="G243" s="10">
        <v>45992</v>
      </c>
      <c r="H243" s="11">
        <v>213</v>
      </c>
      <c r="I243" s="11" t="s">
        <v>381</v>
      </c>
      <c r="J243" s="11" t="s">
        <v>382</v>
      </c>
      <c r="K243" s="11" t="s">
        <v>248</v>
      </c>
      <c r="L243" s="11">
        <v>3</v>
      </c>
    </row>
    <row r="244" spans="1:12" x14ac:dyDescent="0.2">
      <c r="A244" s="11" t="s">
        <v>219</v>
      </c>
      <c r="D244" s="11" t="s">
        <v>246</v>
      </c>
      <c r="E244" s="19" t="s">
        <v>483</v>
      </c>
      <c r="F244" s="10">
        <v>26634</v>
      </c>
      <c r="G244" s="10">
        <v>45992</v>
      </c>
      <c r="H244" s="11">
        <v>213</v>
      </c>
      <c r="I244" s="11" t="s">
        <v>381</v>
      </c>
      <c r="J244" s="11" t="s">
        <v>382</v>
      </c>
      <c r="K244" s="11" t="s">
        <v>248</v>
      </c>
      <c r="L244" s="11">
        <v>3</v>
      </c>
    </row>
    <row r="245" spans="1:12" x14ac:dyDescent="0.2">
      <c r="A245" s="11" t="s">
        <v>219</v>
      </c>
      <c r="D245" s="11" t="s">
        <v>246</v>
      </c>
      <c r="E245" s="19" t="s">
        <v>484</v>
      </c>
      <c r="F245" s="10">
        <v>26634</v>
      </c>
      <c r="G245" s="10">
        <v>45992</v>
      </c>
      <c r="H245" s="11">
        <v>213</v>
      </c>
      <c r="I245" s="11" t="s">
        <v>381</v>
      </c>
      <c r="J245" s="11" t="s">
        <v>382</v>
      </c>
      <c r="K245" s="11" t="s">
        <v>248</v>
      </c>
      <c r="L245" s="11">
        <v>3</v>
      </c>
    </row>
    <row r="246" spans="1:12" x14ac:dyDescent="0.2">
      <c r="A246" s="11" t="s">
        <v>220</v>
      </c>
      <c r="D246" s="11" t="s">
        <v>246</v>
      </c>
      <c r="E246" s="19" t="s">
        <v>485</v>
      </c>
      <c r="F246" s="10">
        <v>29556</v>
      </c>
      <c r="G246" s="10">
        <v>45992</v>
      </c>
      <c r="H246" s="11">
        <v>181</v>
      </c>
      <c r="I246" s="11" t="s">
        <v>381</v>
      </c>
      <c r="J246" s="11" t="s">
        <v>382</v>
      </c>
      <c r="K246" s="11" t="s">
        <v>248</v>
      </c>
      <c r="L246" s="11">
        <v>3</v>
      </c>
    </row>
    <row r="247" spans="1:12" x14ac:dyDescent="0.2">
      <c r="A247" s="11" t="s">
        <v>221</v>
      </c>
      <c r="D247" s="11" t="s">
        <v>246</v>
      </c>
      <c r="E247" s="19" t="s">
        <v>486</v>
      </c>
      <c r="F247" s="10">
        <v>29556</v>
      </c>
      <c r="G247" s="10">
        <v>45992</v>
      </c>
      <c r="H247" s="11">
        <v>181</v>
      </c>
      <c r="I247" s="11" t="s">
        <v>381</v>
      </c>
      <c r="J247" s="11" t="s">
        <v>382</v>
      </c>
      <c r="K247" s="11" t="s">
        <v>248</v>
      </c>
      <c r="L247" s="11">
        <v>3</v>
      </c>
    </row>
    <row r="248" spans="1:12" x14ac:dyDescent="0.2">
      <c r="A248" s="11" t="s">
        <v>222</v>
      </c>
      <c r="D248" s="11" t="s">
        <v>246</v>
      </c>
      <c r="E248" s="19" t="s">
        <v>487</v>
      </c>
      <c r="F248" s="10">
        <v>32843</v>
      </c>
      <c r="G248" s="10">
        <v>45992</v>
      </c>
      <c r="H248" s="11">
        <v>145</v>
      </c>
      <c r="I248" s="11" t="s">
        <v>381</v>
      </c>
      <c r="J248" s="11" t="s">
        <v>382</v>
      </c>
      <c r="K248" s="11" t="s">
        <v>248</v>
      </c>
      <c r="L248" s="11">
        <v>3</v>
      </c>
    </row>
    <row r="249" spans="1:12" x14ac:dyDescent="0.2">
      <c r="A249" s="11" t="s">
        <v>223</v>
      </c>
      <c r="D249" s="11" t="s">
        <v>246</v>
      </c>
      <c r="E249" s="19" t="s">
        <v>488</v>
      </c>
      <c r="F249" s="10">
        <v>32843</v>
      </c>
      <c r="G249" s="10">
        <v>45992</v>
      </c>
      <c r="H249" s="11">
        <v>145</v>
      </c>
      <c r="I249" s="11" t="s">
        <v>381</v>
      </c>
      <c r="J249" s="11" t="s">
        <v>382</v>
      </c>
      <c r="K249" s="11" t="s">
        <v>248</v>
      </c>
      <c r="L249" s="11">
        <v>3</v>
      </c>
    </row>
    <row r="250" spans="1:12" x14ac:dyDescent="0.2">
      <c r="A250" s="11" t="s">
        <v>224</v>
      </c>
      <c r="D250" s="11" t="s">
        <v>246</v>
      </c>
      <c r="E250" s="19" t="s">
        <v>489</v>
      </c>
      <c r="F250" s="10">
        <v>29556</v>
      </c>
      <c r="G250" s="10">
        <v>45992</v>
      </c>
      <c r="H250" s="11">
        <v>181</v>
      </c>
      <c r="I250" s="11" t="s">
        <v>381</v>
      </c>
      <c r="J250" s="11" t="s">
        <v>382</v>
      </c>
      <c r="K250" s="11" t="s">
        <v>248</v>
      </c>
      <c r="L250" s="11">
        <v>3</v>
      </c>
    </row>
    <row r="251" spans="1:12" x14ac:dyDescent="0.2">
      <c r="A251" s="11" t="s">
        <v>225</v>
      </c>
      <c r="D251" s="11" t="s">
        <v>246</v>
      </c>
      <c r="E251" s="19" t="s">
        <v>490</v>
      </c>
      <c r="F251" s="10">
        <v>32843</v>
      </c>
      <c r="G251" s="10">
        <v>45992</v>
      </c>
      <c r="H251" s="11">
        <v>145</v>
      </c>
      <c r="I251" s="11" t="s">
        <v>381</v>
      </c>
      <c r="J251" s="11" t="s">
        <v>382</v>
      </c>
      <c r="K251" s="11" t="s">
        <v>248</v>
      </c>
      <c r="L251" s="11">
        <v>3</v>
      </c>
    </row>
    <row r="252" spans="1:12" x14ac:dyDescent="0.2">
      <c r="A252" s="11" t="s">
        <v>226</v>
      </c>
      <c r="D252" s="11" t="s">
        <v>246</v>
      </c>
      <c r="E252" s="19" t="s">
        <v>491</v>
      </c>
      <c r="F252" s="10">
        <v>32843</v>
      </c>
      <c r="G252" s="10">
        <v>45992</v>
      </c>
      <c r="H252" s="11">
        <v>145</v>
      </c>
      <c r="I252" s="11" t="s">
        <v>381</v>
      </c>
      <c r="J252" s="11" t="s">
        <v>382</v>
      </c>
      <c r="K252" s="11" t="s">
        <v>248</v>
      </c>
      <c r="L252" s="11">
        <v>3</v>
      </c>
    </row>
    <row r="253" spans="1:12" x14ac:dyDescent="0.2">
      <c r="A253" s="11" t="s">
        <v>227</v>
      </c>
      <c r="D253" s="11" t="s">
        <v>246</v>
      </c>
      <c r="E253" s="19" t="s">
        <v>492</v>
      </c>
      <c r="F253" s="10">
        <v>36039</v>
      </c>
      <c r="G253" s="10">
        <v>45992</v>
      </c>
      <c r="H253" s="11">
        <v>110</v>
      </c>
      <c r="I253" s="11" t="s">
        <v>381</v>
      </c>
      <c r="J253" s="11" t="s">
        <v>382</v>
      </c>
      <c r="K253" s="11" t="s">
        <v>248</v>
      </c>
      <c r="L253" s="11">
        <v>3</v>
      </c>
    </row>
    <row r="254" spans="1:12" x14ac:dyDescent="0.2">
      <c r="A254" s="11" t="s">
        <v>228</v>
      </c>
      <c r="D254" s="11" t="s">
        <v>246</v>
      </c>
      <c r="E254" s="19" t="s">
        <v>493</v>
      </c>
      <c r="F254" s="10">
        <v>36039</v>
      </c>
      <c r="G254" s="10">
        <v>45992</v>
      </c>
      <c r="H254" s="11">
        <v>110</v>
      </c>
      <c r="I254" s="11" t="s">
        <v>381</v>
      </c>
      <c r="J254" s="11" t="s">
        <v>382</v>
      </c>
      <c r="K254" s="11" t="s">
        <v>248</v>
      </c>
      <c r="L254" s="11">
        <v>3</v>
      </c>
    </row>
    <row r="255" spans="1:12" x14ac:dyDescent="0.2">
      <c r="A255" s="11" t="s">
        <v>229</v>
      </c>
      <c r="D255" s="11" t="s">
        <v>246</v>
      </c>
      <c r="E255" s="19" t="s">
        <v>494</v>
      </c>
      <c r="F255" s="10">
        <v>30103</v>
      </c>
      <c r="G255" s="10">
        <v>45992</v>
      </c>
      <c r="H255" s="11">
        <v>175</v>
      </c>
      <c r="I255" s="11" t="s">
        <v>381</v>
      </c>
      <c r="J255" s="11" t="s">
        <v>382</v>
      </c>
      <c r="K255" s="11" t="s">
        <v>248</v>
      </c>
      <c r="L255" s="11">
        <v>3</v>
      </c>
    </row>
    <row r="256" spans="1:12" x14ac:dyDescent="0.2">
      <c r="A256" s="11" t="s">
        <v>230</v>
      </c>
      <c r="D256" s="11" t="s">
        <v>246</v>
      </c>
      <c r="E256" s="19" t="s">
        <v>495</v>
      </c>
      <c r="F256" s="10">
        <v>30103</v>
      </c>
      <c r="G256" s="10">
        <v>45992</v>
      </c>
      <c r="H256" s="11">
        <v>175</v>
      </c>
      <c r="I256" s="11" t="s">
        <v>381</v>
      </c>
      <c r="J256" s="11" t="s">
        <v>382</v>
      </c>
      <c r="K256" s="11" t="s">
        <v>248</v>
      </c>
      <c r="L256" s="11">
        <v>3</v>
      </c>
    </row>
    <row r="257" spans="1:12" x14ac:dyDescent="0.2">
      <c r="A257" s="11" t="s">
        <v>231</v>
      </c>
      <c r="D257" s="11" t="s">
        <v>246</v>
      </c>
      <c r="E257" s="19" t="s">
        <v>496</v>
      </c>
      <c r="F257" s="10">
        <v>30103</v>
      </c>
      <c r="G257" s="10">
        <v>45992</v>
      </c>
      <c r="H257" s="11">
        <v>175</v>
      </c>
      <c r="I257" s="11" t="s">
        <v>381</v>
      </c>
      <c r="J257" s="11" t="s">
        <v>382</v>
      </c>
      <c r="K257" s="11" t="s">
        <v>248</v>
      </c>
      <c r="L257" s="11">
        <v>3</v>
      </c>
    </row>
    <row r="258" spans="1:12" x14ac:dyDescent="0.2">
      <c r="A258" s="11" t="s">
        <v>232</v>
      </c>
      <c r="D258" s="11" t="s">
        <v>246</v>
      </c>
      <c r="E258" s="19" t="s">
        <v>497</v>
      </c>
      <c r="F258" s="10">
        <v>32843</v>
      </c>
      <c r="G258" s="10">
        <v>45992</v>
      </c>
      <c r="H258" s="11">
        <v>145</v>
      </c>
      <c r="I258" s="11" t="s">
        <v>381</v>
      </c>
      <c r="J258" s="11" t="s">
        <v>382</v>
      </c>
      <c r="K258" s="11" t="s">
        <v>248</v>
      </c>
      <c r="L258" s="11">
        <v>3</v>
      </c>
    </row>
    <row r="259" spans="1:12" x14ac:dyDescent="0.2">
      <c r="A259" s="11" t="s">
        <v>233</v>
      </c>
      <c r="D259" s="11" t="s">
        <v>246</v>
      </c>
      <c r="E259" s="19" t="s">
        <v>498</v>
      </c>
      <c r="F259" s="10">
        <v>36039</v>
      </c>
      <c r="G259" s="10">
        <v>45992</v>
      </c>
      <c r="H259" s="11">
        <v>110</v>
      </c>
      <c r="I259" s="11" t="s">
        <v>381</v>
      </c>
      <c r="J259" s="11" t="s">
        <v>382</v>
      </c>
      <c r="K259" s="11" t="s">
        <v>248</v>
      </c>
      <c r="L259" s="11">
        <v>3</v>
      </c>
    </row>
    <row r="260" spans="1:12" x14ac:dyDescent="0.2">
      <c r="A260" s="11" t="s">
        <v>234</v>
      </c>
      <c r="D260" s="11" t="s">
        <v>246</v>
      </c>
      <c r="E260" s="19" t="s">
        <v>499</v>
      </c>
      <c r="F260" s="10">
        <v>36039</v>
      </c>
      <c r="G260" s="10">
        <v>45992</v>
      </c>
      <c r="H260" s="11">
        <v>110</v>
      </c>
      <c r="I260" s="11" t="s">
        <v>381</v>
      </c>
      <c r="J260" s="11" t="s">
        <v>382</v>
      </c>
      <c r="K260" s="11" t="s">
        <v>248</v>
      </c>
      <c r="L260" s="11">
        <v>3</v>
      </c>
    </row>
    <row r="261" spans="1:12" x14ac:dyDescent="0.2">
      <c r="A261" s="11" t="s">
        <v>235</v>
      </c>
      <c r="D261" s="11" t="s">
        <v>246</v>
      </c>
      <c r="E261" s="19" t="s">
        <v>500</v>
      </c>
      <c r="F261" s="10">
        <v>29556</v>
      </c>
      <c r="G261" s="10">
        <v>45992</v>
      </c>
      <c r="H261" s="11">
        <v>181</v>
      </c>
      <c r="I261" s="11" t="s">
        <v>381</v>
      </c>
      <c r="J261" s="11" t="s">
        <v>382</v>
      </c>
      <c r="K261" s="11" t="s">
        <v>248</v>
      </c>
      <c r="L261" s="11">
        <v>3</v>
      </c>
    </row>
    <row r="262" spans="1:12" x14ac:dyDescent="0.2">
      <c r="A262" s="11" t="s">
        <v>501</v>
      </c>
      <c r="D262" s="11" t="s">
        <v>246</v>
      </c>
      <c r="E262" s="19" t="s">
        <v>637</v>
      </c>
      <c r="F262" s="10">
        <v>31837</v>
      </c>
      <c r="G262" s="10">
        <v>45992</v>
      </c>
      <c r="H262" s="11">
        <v>156</v>
      </c>
      <c r="I262" s="11" t="s">
        <v>381</v>
      </c>
      <c r="J262" s="11" t="s">
        <v>382</v>
      </c>
      <c r="K262" s="11" t="s">
        <v>248</v>
      </c>
      <c r="L262" s="11">
        <v>3</v>
      </c>
    </row>
    <row r="263" spans="1:12" x14ac:dyDescent="0.2">
      <c r="A263" s="11" t="s">
        <v>502</v>
      </c>
      <c r="D263" s="11" t="s">
        <v>246</v>
      </c>
      <c r="E263" s="19" t="s">
        <v>638</v>
      </c>
      <c r="F263" s="10">
        <v>36039</v>
      </c>
      <c r="G263" s="10">
        <v>45992</v>
      </c>
      <c r="H263" s="11">
        <v>110</v>
      </c>
      <c r="I263" s="11" t="s">
        <v>381</v>
      </c>
      <c r="J263" s="11" t="s">
        <v>382</v>
      </c>
      <c r="K263" s="11" t="s">
        <v>248</v>
      </c>
      <c r="L263" s="11">
        <v>3</v>
      </c>
    </row>
    <row r="264" spans="1:12" x14ac:dyDescent="0.2">
      <c r="A264" s="11" t="s">
        <v>503</v>
      </c>
      <c r="D264" s="11" t="s">
        <v>246</v>
      </c>
      <c r="E264" s="19" t="s">
        <v>639</v>
      </c>
      <c r="F264" s="10">
        <v>36039</v>
      </c>
      <c r="G264" s="10">
        <v>45992</v>
      </c>
      <c r="H264" s="11">
        <v>110</v>
      </c>
      <c r="I264" s="11" t="s">
        <v>381</v>
      </c>
      <c r="J264" s="11" t="s">
        <v>382</v>
      </c>
      <c r="K264" s="11" t="s">
        <v>248</v>
      </c>
      <c r="L264" s="11">
        <v>3</v>
      </c>
    </row>
    <row r="265" spans="1:12" x14ac:dyDescent="0.2">
      <c r="A265" s="11" t="s">
        <v>504</v>
      </c>
      <c r="D265" s="11" t="s">
        <v>246</v>
      </c>
      <c r="E265" s="19" t="s">
        <v>640</v>
      </c>
      <c r="F265" s="10">
        <v>30103</v>
      </c>
      <c r="G265" s="10">
        <v>45992</v>
      </c>
      <c r="H265" s="11">
        <v>175</v>
      </c>
      <c r="I265" s="11" t="s">
        <v>381</v>
      </c>
      <c r="J265" s="11" t="s">
        <v>382</v>
      </c>
      <c r="K265" s="11" t="s">
        <v>248</v>
      </c>
      <c r="L265" s="11">
        <v>3</v>
      </c>
    </row>
    <row r="266" spans="1:12" x14ac:dyDescent="0.2">
      <c r="A266" s="11" t="s">
        <v>504</v>
      </c>
      <c r="D266" s="11" t="s">
        <v>246</v>
      </c>
      <c r="E266" s="19" t="s">
        <v>641</v>
      </c>
      <c r="F266" s="10">
        <v>30103</v>
      </c>
      <c r="G266" s="10">
        <v>45992</v>
      </c>
      <c r="H266" s="11">
        <v>175</v>
      </c>
      <c r="I266" s="11" t="s">
        <v>381</v>
      </c>
      <c r="J266" s="11" t="s">
        <v>382</v>
      </c>
      <c r="K266" s="11" t="s">
        <v>248</v>
      </c>
      <c r="L266" s="11">
        <v>3</v>
      </c>
    </row>
    <row r="267" spans="1:12" x14ac:dyDescent="0.2">
      <c r="A267" s="11" t="s">
        <v>505</v>
      </c>
      <c r="D267" s="11" t="s">
        <v>246</v>
      </c>
      <c r="E267" s="19" t="s">
        <v>642</v>
      </c>
      <c r="F267" s="10">
        <v>36770</v>
      </c>
      <c r="G267" s="10">
        <v>45992</v>
      </c>
      <c r="H267" s="11">
        <v>102</v>
      </c>
      <c r="I267" s="11" t="s">
        <v>381</v>
      </c>
      <c r="J267" s="11" t="s">
        <v>382</v>
      </c>
      <c r="K267" s="11" t="s">
        <v>248</v>
      </c>
      <c r="L267" s="11">
        <v>3</v>
      </c>
    </row>
    <row r="268" spans="1:12" x14ac:dyDescent="0.2">
      <c r="A268" s="11" t="s">
        <v>506</v>
      </c>
      <c r="D268" s="11" t="s">
        <v>246</v>
      </c>
      <c r="E268" s="19" t="s">
        <v>643</v>
      </c>
      <c r="F268" s="10">
        <v>36770</v>
      </c>
      <c r="G268" s="10">
        <v>45992</v>
      </c>
      <c r="H268" s="11">
        <v>102</v>
      </c>
      <c r="I268" s="11" t="s">
        <v>381</v>
      </c>
      <c r="J268" s="11" t="s">
        <v>382</v>
      </c>
      <c r="K268" s="11" t="s">
        <v>248</v>
      </c>
      <c r="L268" s="11">
        <v>3</v>
      </c>
    </row>
    <row r="269" spans="1:12" x14ac:dyDescent="0.2">
      <c r="A269" s="11" t="s">
        <v>507</v>
      </c>
      <c r="D269" s="11" t="s">
        <v>246</v>
      </c>
      <c r="E269" s="19" t="s">
        <v>644</v>
      </c>
      <c r="F269" s="10">
        <v>36770</v>
      </c>
      <c r="G269" s="10">
        <v>45992</v>
      </c>
      <c r="H269" s="11">
        <v>102</v>
      </c>
      <c r="I269" s="11" t="s">
        <v>381</v>
      </c>
      <c r="J269" s="11" t="s">
        <v>382</v>
      </c>
      <c r="K269" s="11" t="s">
        <v>248</v>
      </c>
      <c r="L269" s="11">
        <v>3</v>
      </c>
    </row>
    <row r="270" spans="1:12" x14ac:dyDescent="0.2">
      <c r="A270" s="11" t="s">
        <v>508</v>
      </c>
      <c r="D270" s="11" t="s">
        <v>246</v>
      </c>
      <c r="E270" s="19" t="s">
        <v>645</v>
      </c>
      <c r="F270" s="10">
        <v>38596</v>
      </c>
      <c r="G270" s="10">
        <v>45992</v>
      </c>
      <c r="H270" s="11">
        <v>82</v>
      </c>
      <c r="I270" s="11" t="s">
        <v>381</v>
      </c>
      <c r="J270" s="11" t="s">
        <v>382</v>
      </c>
      <c r="K270" s="11" t="s">
        <v>248</v>
      </c>
      <c r="L270" s="11">
        <v>3</v>
      </c>
    </row>
    <row r="271" spans="1:12" x14ac:dyDescent="0.2">
      <c r="A271" s="11" t="s">
        <v>509</v>
      </c>
      <c r="D271" s="11" t="s">
        <v>246</v>
      </c>
      <c r="E271" s="19" t="s">
        <v>646</v>
      </c>
      <c r="F271" s="10">
        <v>32843</v>
      </c>
      <c r="G271" s="10">
        <v>45992</v>
      </c>
      <c r="H271" s="11">
        <v>145</v>
      </c>
      <c r="I271" s="11" t="s">
        <v>381</v>
      </c>
      <c r="J271" s="11" t="s">
        <v>382</v>
      </c>
      <c r="K271" s="11" t="s">
        <v>248</v>
      </c>
      <c r="L271" s="11">
        <v>3</v>
      </c>
    </row>
    <row r="272" spans="1:12" x14ac:dyDescent="0.2">
      <c r="A272" s="11" t="s">
        <v>509</v>
      </c>
      <c r="D272" s="11" t="s">
        <v>246</v>
      </c>
      <c r="E272" s="19" t="s">
        <v>647</v>
      </c>
      <c r="F272" s="10">
        <v>32843</v>
      </c>
      <c r="G272" s="10">
        <v>45992</v>
      </c>
      <c r="H272" s="11">
        <v>145</v>
      </c>
      <c r="I272" s="11" t="s">
        <v>381</v>
      </c>
      <c r="J272" s="11" t="s">
        <v>382</v>
      </c>
      <c r="K272" s="11" t="s">
        <v>248</v>
      </c>
      <c r="L272" s="11">
        <v>3</v>
      </c>
    </row>
    <row r="273" spans="1:12" x14ac:dyDescent="0.2">
      <c r="A273" s="11" t="s">
        <v>510</v>
      </c>
      <c r="D273" s="11" t="s">
        <v>246</v>
      </c>
      <c r="E273" s="19" t="s">
        <v>648</v>
      </c>
      <c r="F273" s="10">
        <v>40787</v>
      </c>
      <c r="G273" s="10">
        <v>45992</v>
      </c>
      <c r="H273" s="11">
        <v>58</v>
      </c>
      <c r="I273" s="11" t="s">
        <v>381</v>
      </c>
      <c r="J273" s="11" t="s">
        <v>382</v>
      </c>
      <c r="K273" s="11" t="s">
        <v>248</v>
      </c>
      <c r="L273" s="11">
        <v>3</v>
      </c>
    </row>
    <row r="274" spans="1:12" x14ac:dyDescent="0.2">
      <c r="A274" s="11" t="s">
        <v>511</v>
      </c>
      <c r="D274" s="11" t="s">
        <v>246</v>
      </c>
      <c r="E274" s="19" t="s">
        <v>649</v>
      </c>
      <c r="F274" s="10">
        <v>40787</v>
      </c>
      <c r="G274" s="10">
        <v>45992</v>
      </c>
      <c r="H274" s="11">
        <v>58</v>
      </c>
      <c r="I274" s="11" t="s">
        <v>381</v>
      </c>
      <c r="J274" s="11" t="s">
        <v>382</v>
      </c>
      <c r="K274" s="11" t="s">
        <v>248</v>
      </c>
      <c r="L274" s="11">
        <v>3</v>
      </c>
    </row>
    <row r="275" spans="1:12" x14ac:dyDescent="0.2">
      <c r="A275" s="11" t="s">
        <v>512</v>
      </c>
      <c r="D275" s="11" t="s">
        <v>246</v>
      </c>
      <c r="E275" s="19" t="s">
        <v>650</v>
      </c>
      <c r="F275" s="10">
        <v>38596</v>
      </c>
      <c r="G275" s="10">
        <v>45992</v>
      </c>
      <c r="H275" s="11">
        <v>82</v>
      </c>
      <c r="I275" s="11" t="s">
        <v>381</v>
      </c>
      <c r="J275" s="11" t="s">
        <v>382</v>
      </c>
      <c r="K275" s="11" t="s">
        <v>248</v>
      </c>
      <c r="L275" s="11">
        <v>3</v>
      </c>
    </row>
    <row r="276" spans="1:12" x14ac:dyDescent="0.2">
      <c r="A276" s="11" t="s">
        <v>513</v>
      </c>
      <c r="D276" s="11" t="s">
        <v>246</v>
      </c>
      <c r="E276" s="19" t="s">
        <v>652</v>
      </c>
      <c r="F276" s="10">
        <v>45992</v>
      </c>
      <c r="G276" s="10">
        <v>45992</v>
      </c>
      <c r="H276" s="11">
        <v>1</v>
      </c>
      <c r="I276" s="11" t="s">
        <v>651</v>
      </c>
      <c r="J276" s="11" t="s">
        <v>247</v>
      </c>
      <c r="K276" s="11" t="s">
        <v>248</v>
      </c>
      <c r="L276" s="11">
        <v>3</v>
      </c>
    </row>
    <row r="277" spans="1:12" x14ac:dyDescent="0.2">
      <c r="A277" s="11" t="s">
        <v>514</v>
      </c>
      <c r="D277" s="11" t="s">
        <v>246</v>
      </c>
      <c r="E277" s="19" t="s">
        <v>653</v>
      </c>
      <c r="F277" s="10">
        <v>45992</v>
      </c>
      <c r="G277" s="10">
        <v>45992</v>
      </c>
      <c r="H277" s="11">
        <v>1</v>
      </c>
      <c r="I277" s="11" t="s">
        <v>651</v>
      </c>
      <c r="J277" s="11" t="s">
        <v>247</v>
      </c>
      <c r="K277" s="11" t="s">
        <v>248</v>
      </c>
      <c r="L277" s="11">
        <v>3</v>
      </c>
    </row>
    <row r="278" spans="1:12" x14ac:dyDescent="0.2">
      <c r="A278" s="11" t="s">
        <v>515</v>
      </c>
      <c r="D278" s="11" t="s">
        <v>246</v>
      </c>
      <c r="E278" s="19" t="s">
        <v>654</v>
      </c>
      <c r="F278" s="10">
        <v>45992</v>
      </c>
      <c r="G278" s="10">
        <v>45992</v>
      </c>
      <c r="H278" s="11">
        <v>1</v>
      </c>
      <c r="I278" s="11" t="s">
        <v>651</v>
      </c>
      <c r="J278" s="11" t="s">
        <v>247</v>
      </c>
      <c r="K278" s="11" t="s">
        <v>248</v>
      </c>
      <c r="L278" s="11">
        <v>3</v>
      </c>
    </row>
    <row r="279" spans="1:12" x14ac:dyDescent="0.2">
      <c r="A279" s="11" t="s">
        <v>516</v>
      </c>
      <c r="D279" s="11" t="s">
        <v>246</v>
      </c>
      <c r="E279" s="19" t="s">
        <v>655</v>
      </c>
      <c r="F279" s="10">
        <v>45992</v>
      </c>
      <c r="G279" s="10">
        <v>45992</v>
      </c>
      <c r="H279" s="11">
        <v>1</v>
      </c>
      <c r="I279" s="11" t="s">
        <v>651</v>
      </c>
      <c r="J279" s="11" t="s">
        <v>247</v>
      </c>
      <c r="K279" s="11" t="s">
        <v>248</v>
      </c>
      <c r="L279" s="11">
        <v>3</v>
      </c>
    </row>
    <row r="280" spans="1:12" x14ac:dyDescent="0.2">
      <c r="A280" s="11" t="s">
        <v>517</v>
      </c>
      <c r="D280" s="11" t="s">
        <v>246</v>
      </c>
      <c r="E280" s="19" t="s">
        <v>656</v>
      </c>
      <c r="F280" s="10">
        <v>45992</v>
      </c>
      <c r="G280" s="10">
        <v>45992</v>
      </c>
      <c r="H280" s="11">
        <v>1</v>
      </c>
      <c r="I280" s="11" t="s">
        <v>651</v>
      </c>
      <c r="J280" s="11" t="s">
        <v>247</v>
      </c>
      <c r="K280" s="11" t="s">
        <v>248</v>
      </c>
      <c r="L280" s="11">
        <v>3</v>
      </c>
    </row>
    <row r="281" spans="1:12" x14ac:dyDescent="0.2">
      <c r="A281" s="11" t="s">
        <v>518</v>
      </c>
      <c r="D281" s="11" t="s">
        <v>246</v>
      </c>
      <c r="E281" s="19" t="s">
        <v>657</v>
      </c>
      <c r="F281" s="10">
        <v>45992</v>
      </c>
      <c r="G281" s="10">
        <v>45992</v>
      </c>
      <c r="H281" s="11">
        <v>1</v>
      </c>
      <c r="I281" s="11" t="s">
        <v>651</v>
      </c>
      <c r="J281" s="11" t="s">
        <v>247</v>
      </c>
      <c r="K281" s="11" t="s">
        <v>248</v>
      </c>
      <c r="L281" s="11">
        <v>3</v>
      </c>
    </row>
    <row r="282" spans="1:12" x14ac:dyDescent="0.2">
      <c r="A282" s="11" t="s">
        <v>519</v>
      </c>
      <c r="D282" s="11" t="s">
        <v>246</v>
      </c>
      <c r="E282" s="19" t="s">
        <v>658</v>
      </c>
      <c r="F282" s="10">
        <v>45992</v>
      </c>
      <c r="G282" s="10">
        <v>45992</v>
      </c>
      <c r="H282" s="11">
        <v>1</v>
      </c>
      <c r="I282" s="11" t="s">
        <v>651</v>
      </c>
      <c r="J282" s="11" t="s">
        <v>247</v>
      </c>
      <c r="K282" s="11" t="s">
        <v>248</v>
      </c>
      <c r="L282" s="11">
        <v>3</v>
      </c>
    </row>
    <row r="283" spans="1:12" x14ac:dyDescent="0.2">
      <c r="A283" s="11" t="s">
        <v>520</v>
      </c>
      <c r="D283" s="11" t="s">
        <v>246</v>
      </c>
      <c r="E283" s="19" t="s">
        <v>659</v>
      </c>
      <c r="F283" s="10">
        <v>45992</v>
      </c>
      <c r="G283" s="10">
        <v>45992</v>
      </c>
      <c r="H283" s="11">
        <v>1</v>
      </c>
      <c r="I283" s="11" t="s">
        <v>651</v>
      </c>
      <c r="J283" s="11" t="s">
        <v>247</v>
      </c>
      <c r="K283" s="11" t="s">
        <v>248</v>
      </c>
      <c r="L283" s="11">
        <v>3</v>
      </c>
    </row>
    <row r="284" spans="1:12" x14ac:dyDescent="0.2">
      <c r="A284" s="11" t="s">
        <v>521</v>
      </c>
      <c r="D284" s="11" t="s">
        <v>246</v>
      </c>
      <c r="E284" s="19" t="s">
        <v>660</v>
      </c>
      <c r="F284" s="10">
        <v>45992</v>
      </c>
      <c r="G284" s="10">
        <v>45992</v>
      </c>
      <c r="H284" s="11">
        <v>1</v>
      </c>
      <c r="I284" s="11" t="s">
        <v>651</v>
      </c>
      <c r="J284" s="11" t="s">
        <v>247</v>
      </c>
      <c r="K284" s="11" t="s">
        <v>248</v>
      </c>
      <c r="L284" s="11">
        <v>3</v>
      </c>
    </row>
    <row r="285" spans="1:12" x14ac:dyDescent="0.2">
      <c r="A285" s="11" t="s">
        <v>522</v>
      </c>
      <c r="D285" s="11" t="s">
        <v>246</v>
      </c>
      <c r="E285" s="19" t="s">
        <v>661</v>
      </c>
      <c r="F285" s="10">
        <v>45992</v>
      </c>
      <c r="G285" s="10">
        <v>45992</v>
      </c>
      <c r="H285" s="11">
        <v>1</v>
      </c>
      <c r="I285" s="11" t="s">
        <v>651</v>
      </c>
      <c r="J285" s="11" t="s">
        <v>247</v>
      </c>
      <c r="K285" s="11" t="s">
        <v>248</v>
      </c>
      <c r="L285" s="11">
        <v>3</v>
      </c>
    </row>
    <row r="286" spans="1:12" x14ac:dyDescent="0.2">
      <c r="A286" s="11" t="s">
        <v>523</v>
      </c>
      <c r="D286" s="11" t="s">
        <v>246</v>
      </c>
      <c r="E286" s="19" t="s">
        <v>662</v>
      </c>
      <c r="F286" s="10">
        <v>45992</v>
      </c>
      <c r="G286" s="10">
        <v>45992</v>
      </c>
      <c r="H286" s="11">
        <v>1</v>
      </c>
      <c r="I286" s="11" t="s">
        <v>651</v>
      </c>
      <c r="J286" s="11" t="s">
        <v>247</v>
      </c>
      <c r="K286" s="11" t="s">
        <v>248</v>
      </c>
      <c r="L286" s="11">
        <v>3</v>
      </c>
    </row>
    <row r="287" spans="1:12" x14ac:dyDescent="0.2">
      <c r="A287" s="11" t="s">
        <v>524</v>
      </c>
      <c r="D287" s="11" t="s">
        <v>246</v>
      </c>
      <c r="E287" s="19" t="s">
        <v>663</v>
      </c>
      <c r="F287" s="10">
        <v>45992</v>
      </c>
      <c r="G287" s="10">
        <v>45992</v>
      </c>
      <c r="H287" s="11">
        <v>1</v>
      </c>
      <c r="I287" s="11" t="s">
        <v>651</v>
      </c>
      <c r="J287" s="11" t="s">
        <v>247</v>
      </c>
      <c r="K287" s="11" t="s">
        <v>248</v>
      </c>
      <c r="L287" s="11">
        <v>3</v>
      </c>
    </row>
    <row r="288" spans="1:12" x14ac:dyDescent="0.2">
      <c r="A288" s="11" t="s">
        <v>525</v>
      </c>
      <c r="D288" s="11" t="s">
        <v>246</v>
      </c>
      <c r="E288" s="19" t="s">
        <v>664</v>
      </c>
      <c r="F288" s="10">
        <v>45992</v>
      </c>
      <c r="G288" s="10">
        <v>45992</v>
      </c>
      <c r="H288" s="11">
        <v>1</v>
      </c>
      <c r="I288" s="11" t="s">
        <v>651</v>
      </c>
      <c r="J288" s="11" t="s">
        <v>247</v>
      </c>
      <c r="K288" s="11" t="s">
        <v>248</v>
      </c>
      <c r="L288" s="11">
        <v>3</v>
      </c>
    </row>
    <row r="289" spans="1:12" x14ac:dyDescent="0.2">
      <c r="A289" s="11" t="s">
        <v>526</v>
      </c>
      <c r="D289" s="11" t="s">
        <v>246</v>
      </c>
      <c r="E289" s="19" t="s">
        <v>665</v>
      </c>
      <c r="F289" s="10">
        <v>45992</v>
      </c>
      <c r="G289" s="10">
        <v>45992</v>
      </c>
      <c r="H289" s="11">
        <v>1</v>
      </c>
      <c r="I289" s="11" t="s">
        <v>651</v>
      </c>
      <c r="J289" s="11" t="s">
        <v>247</v>
      </c>
      <c r="K289" s="11" t="s">
        <v>248</v>
      </c>
      <c r="L289" s="11">
        <v>3</v>
      </c>
    </row>
    <row r="290" spans="1:12" x14ac:dyDescent="0.2">
      <c r="A290" s="11" t="s">
        <v>527</v>
      </c>
      <c r="D290" s="11" t="s">
        <v>246</v>
      </c>
      <c r="E290" s="19" t="s">
        <v>666</v>
      </c>
      <c r="F290" s="10">
        <v>45992</v>
      </c>
      <c r="G290" s="10">
        <v>45992</v>
      </c>
      <c r="H290" s="11">
        <v>1</v>
      </c>
      <c r="I290" s="11" t="s">
        <v>651</v>
      </c>
      <c r="J290" s="11" t="s">
        <v>247</v>
      </c>
      <c r="K290" s="11" t="s">
        <v>248</v>
      </c>
      <c r="L290" s="11">
        <v>3</v>
      </c>
    </row>
    <row r="291" spans="1:12" x14ac:dyDescent="0.2">
      <c r="A291" s="11" t="s">
        <v>528</v>
      </c>
      <c r="D291" s="11" t="s">
        <v>246</v>
      </c>
      <c r="E291" s="19" t="s">
        <v>667</v>
      </c>
      <c r="F291" s="10">
        <v>45992</v>
      </c>
      <c r="G291" s="10">
        <v>45992</v>
      </c>
      <c r="H291" s="11">
        <v>1</v>
      </c>
      <c r="I291" s="11" t="s">
        <v>651</v>
      </c>
      <c r="J291" s="11" t="s">
        <v>247</v>
      </c>
      <c r="K291" s="11" t="s">
        <v>248</v>
      </c>
      <c r="L291" s="11">
        <v>3</v>
      </c>
    </row>
    <row r="292" spans="1:12" x14ac:dyDescent="0.2">
      <c r="A292" s="11" t="s">
        <v>529</v>
      </c>
      <c r="D292" s="11" t="s">
        <v>246</v>
      </c>
      <c r="E292" s="19" t="s">
        <v>668</v>
      </c>
      <c r="F292" s="10">
        <v>45992</v>
      </c>
      <c r="G292" s="10">
        <v>45992</v>
      </c>
      <c r="H292" s="11">
        <v>1</v>
      </c>
      <c r="I292" s="11" t="s">
        <v>651</v>
      </c>
      <c r="J292" s="11" t="s">
        <v>247</v>
      </c>
      <c r="K292" s="11" t="s">
        <v>248</v>
      </c>
      <c r="L292" s="11">
        <v>3</v>
      </c>
    </row>
    <row r="293" spans="1:12" x14ac:dyDescent="0.2">
      <c r="A293" s="11" t="s">
        <v>530</v>
      </c>
      <c r="D293" s="11" t="s">
        <v>246</v>
      </c>
      <c r="E293" s="19" t="s">
        <v>669</v>
      </c>
      <c r="F293" s="10">
        <v>45992</v>
      </c>
      <c r="G293" s="10">
        <v>45992</v>
      </c>
      <c r="H293" s="11">
        <v>1</v>
      </c>
      <c r="I293" s="11" t="s">
        <v>651</v>
      </c>
      <c r="J293" s="11" t="s">
        <v>247</v>
      </c>
      <c r="K293" s="11" t="s">
        <v>248</v>
      </c>
      <c r="L293" s="11">
        <v>3</v>
      </c>
    </row>
    <row r="294" spans="1:12" x14ac:dyDescent="0.2">
      <c r="A294" s="11" t="s">
        <v>531</v>
      </c>
      <c r="D294" s="11" t="s">
        <v>246</v>
      </c>
      <c r="E294" s="19" t="s">
        <v>670</v>
      </c>
      <c r="F294" s="10">
        <v>45992</v>
      </c>
      <c r="G294" s="10">
        <v>45992</v>
      </c>
      <c r="H294" s="11">
        <v>1</v>
      </c>
      <c r="I294" s="11" t="s">
        <v>651</v>
      </c>
      <c r="J294" s="11" t="s">
        <v>247</v>
      </c>
      <c r="K294" s="11" t="s">
        <v>248</v>
      </c>
      <c r="L294" s="11">
        <v>3</v>
      </c>
    </row>
    <row r="295" spans="1:12" x14ac:dyDescent="0.2">
      <c r="A295" s="11" t="s">
        <v>532</v>
      </c>
      <c r="D295" s="11" t="s">
        <v>246</v>
      </c>
      <c r="E295" s="19" t="s">
        <v>671</v>
      </c>
      <c r="F295" s="10">
        <v>45992</v>
      </c>
      <c r="G295" s="10">
        <v>45992</v>
      </c>
      <c r="H295" s="11">
        <v>1</v>
      </c>
      <c r="I295" s="11" t="s">
        <v>651</v>
      </c>
      <c r="J295" s="11" t="s">
        <v>247</v>
      </c>
      <c r="K295" s="11" t="s">
        <v>248</v>
      </c>
      <c r="L295" s="11">
        <v>3</v>
      </c>
    </row>
    <row r="296" spans="1:12" x14ac:dyDescent="0.2">
      <c r="A296" s="11" t="s">
        <v>533</v>
      </c>
      <c r="D296" s="11" t="s">
        <v>246</v>
      </c>
      <c r="E296" s="19" t="s">
        <v>672</v>
      </c>
      <c r="F296" s="10">
        <v>45992</v>
      </c>
      <c r="G296" s="10">
        <v>45992</v>
      </c>
      <c r="H296" s="11">
        <v>1</v>
      </c>
      <c r="I296" s="11" t="s">
        <v>651</v>
      </c>
      <c r="J296" s="11" t="s">
        <v>247</v>
      </c>
      <c r="K296" s="11" t="s">
        <v>248</v>
      </c>
      <c r="L296" s="11">
        <v>3</v>
      </c>
    </row>
    <row r="297" spans="1:12" x14ac:dyDescent="0.2">
      <c r="A297" s="11" t="s">
        <v>534</v>
      </c>
      <c r="D297" s="11" t="s">
        <v>246</v>
      </c>
      <c r="E297" s="19" t="s">
        <v>673</v>
      </c>
      <c r="F297" s="10">
        <v>45992</v>
      </c>
      <c r="G297" s="10">
        <v>45992</v>
      </c>
      <c r="H297" s="11">
        <v>1</v>
      </c>
      <c r="I297" s="11" t="s">
        <v>651</v>
      </c>
      <c r="J297" s="11" t="s">
        <v>247</v>
      </c>
      <c r="K297" s="11" t="s">
        <v>248</v>
      </c>
      <c r="L297" s="11">
        <v>3</v>
      </c>
    </row>
    <row r="298" spans="1:12" x14ac:dyDescent="0.2">
      <c r="A298" s="11" t="s">
        <v>535</v>
      </c>
      <c r="D298" s="11" t="s">
        <v>246</v>
      </c>
      <c r="E298" s="19" t="s">
        <v>674</v>
      </c>
      <c r="F298" s="10">
        <v>45992</v>
      </c>
      <c r="G298" s="10">
        <v>45992</v>
      </c>
      <c r="H298" s="11">
        <v>1</v>
      </c>
      <c r="I298" s="11" t="s">
        <v>651</v>
      </c>
      <c r="J298" s="11" t="s">
        <v>247</v>
      </c>
      <c r="K298" s="11" t="s">
        <v>248</v>
      </c>
      <c r="L298" s="11">
        <v>3</v>
      </c>
    </row>
    <row r="299" spans="1:12" x14ac:dyDescent="0.2">
      <c r="A299" s="11" t="s">
        <v>536</v>
      </c>
      <c r="D299" s="11" t="s">
        <v>246</v>
      </c>
      <c r="E299" s="19" t="s">
        <v>675</v>
      </c>
      <c r="F299" s="10">
        <v>45992</v>
      </c>
      <c r="G299" s="10">
        <v>45992</v>
      </c>
      <c r="H299" s="11">
        <v>1</v>
      </c>
      <c r="I299" s="11" t="s">
        <v>651</v>
      </c>
      <c r="J299" s="11" t="s">
        <v>247</v>
      </c>
      <c r="K299" s="11" t="s">
        <v>248</v>
      </c>
      <c r="L299" s="11">
        <v>3</v>
      </c>
    </row>
    <row r="300" spans="1:12" x14ac:dyDescent="0.2">
      <c r="A300" s="11" t="s">
        <v>537</v>
      </c>
      <c r="D300" s="11" t="s">
        <v>246</v>
      </c>
      <c r="E300" s="19" t="s">
        <v>676</v>
      </c>
      <c r="F300" s="10">
        <v>45992</v>
      </c>
      <c r="G300" s="10">
        <v>45992</v>
      </c>
      <c r="H300" s="11">
        <v>1</v>
      </c>
      <c r="I300" s="11" t="s">
        <v>651</v>
      </c>
      <c r="J300" s="11" t="s">
        <v>247</v>
      </c>
      <c r="K300" s="11" t="s">
        <v>248</v>
      </c>
      <c r="L300" s="11">
        <v>3</v>
      </c>
    </row>
    <row r="301" spans="1:12" x14ac:dyDescent="0.2">
      <c r="A301" s="11" t="s">
        <v>538</v>
      </c>
      <c r="D301" s="11" t="s">
        <v>246</v>
      </c>
      <c r="E301" s="19" t="s">
        <v>677</v>
      </c>
      <c r="F301" s="10">
        <v>45992</v>
      </c>
      <c r="G301" s="10">
        <v>45992</v>
      </c>
      <c r="H301" s="11">
        <v>1</v>
      </c>
      <c r="I301" s="11" t="s">
        <v>651</v>
      </c>
      <c r="J301" s="11" t="s">
        <v>247</v>
      </c>
      <c r="K301" s="11" t="s">
        <v>248</v>
      </c>
      <c r="L301" s="11">
        <v>3</v>
      </c>
    </row>
    <row r="302" spans="1:12" x14ac:dyDescent="0.2">
      <c r="A302" s="11" t="s">
        <v>539</v>
      </c>
      <c r="D302" s="11" t="s">
        <v>246</v>
      </c>
      <c r="E302" s="19" t="s">
        <v>678</v>
      </c>
      <c r="F302" s="10">
        <v>45992</v>
      </c>
      <c r="G302" s="10">
        <v>45992</v>
      </c>
      <c r="H302" s="11">
        <v>1</v>
      </c>
      <c r="I302" s="11" t="s">
        <v>651</v>
      </c>
      <c r="J302" s="11" t="s">
        <v>247</v>
      </c>
      <c r="K302" s="11" t="s">
        <v>248</v>
      </c>
      <c r="L302" s="11">
        <v>3</v>
      </c>
    </row>
    <row r="303" spans="1:12" x14ac:dyDescent="0.2">
      <c r="A303" s="11" t="s">
        <v>540</v>
      </c>
      <c r="D303" s="11" t="s">
        <v>246</v>
      </c>
      <c r="E303" s="19" t="s">
        <v>679</v>
      </c>
      <c r="F303" s="10">
        <v>45992</v>
      </c>
      <c r="G303" s="10">
        <v>45992</v>
      </c>
      <c r="H303" s="11">
        <v>1</v>
      </c>
      <c r="I303" s="11" t="s">
        <v>651</v>
      </c>
      <c r="J303" s="11" t="s">
        <v>247</v>
      </c>
      <c r="K303" s="11" t="s">
        <v>248</v>
      </c>
      <c r="L303" s="11">
        <v>3</v>
      </c>
    </row>
    <row r="304" spans="1:12" x14ac:dyDescent="0.2">
      <c r="A304" s="11" t="s">
        <v>541</v>
      </c>
      <c r="D304" s="11" t="s">
        <v>246</v>
      </c>
      <c r="E304" s="19" t="s">
        <v>680</v>
      </c>
      <c r="F304" s="10">
        <v>45992</v>
      </c>
      <c r="G304" s="10">
        <v>45992</v>
      </c>
      <c r="H304" s="11">
        <v>1</v>
      </c>
      <c r="I304" s="11" t="s">
        <v>651</v>
      </c>
      <c r="J304" s="11" t="s">
        <v>247</v>
      </c>
      <c r="K304" s="11" t="s">
        <v>248</v>
      </c>
      <c r="L304" s="11">
        <v>3</v>
      </c>
    </row>
    <row r="305" spans="1:12" x14ac:dyDescent="0.2">
      <c r="A305" s="11" t="s">
        <v>542</v>
      </c>
      <c r="D305" s="11" t="s">
        <v>246</v>
      </c>
      <c r="E305" s="19" t="s">
        <v>681</v>
      </c>
      <c r="F305" s="10">
        <v>45992</v>
      </c>
      <c r="G305" s="10">
        <v>45992</v>
      </c>
      <c r="H305" s="11">
        <v>1</v>
      </c>
      <c r="I305" s="11" t="s">
        <v>651</v>
      </c>
      <c r="J305" s="11" t="s">
        <v>247</v>
      </c>
      <c r="K305" s="11" t="s">
        <v>248</v>
      </c>
      <c r="L305" s="11">
        <v>3</v>
      </c>
    </row>
    <row r="306" spans="1:12" x14ac:dyDescent="0.2">
      <c r="A306" s="11" t="s">
        <v>543</v>
      </c>
      <c r="D306" s="11" t="s">
        <v>246</v>
      </c>
      <c r="E306" s="19" t="s">
        <v>682</v>
      </c>
      <c r="F306" s="10">
        <v>45992</v>
      </c>
      <c r="G306" s="10">
        <v>45992</v>
      </c>
      <c r="H306" s="11">
        <v>1</v>
      </c>
      <c r="I306" s="11" t="s">
        <v>651</v>
      </c>
      <c r="J306" s="11" t="s">
        <v>247</v>
      </c>
      <c r="K306" s="11" t="s">
        <v>248</v>
      </c>
      <c r="L306" s="11">
        <v>3</v>
      </c>
    </row>
    <row r="307" spans="1:12" x14ac:dyDescent="0.2">
      <c r="A307" s="11" t="s">
        <v>544</v>
      </c>
      <c r="D307" s="11" t="s">
        <v>246</v>
      </c>
      <c r="E307" s="19" t="s">
        <v>683</v>
      </c>
      <c r="F307" s="10">
        <v>45992</v>
      </c>
      <c r="G307" s="10">
        <v>45992</v>
      </c>
      <c r="H307" s="11">
        <v>1</v>
      </c>
      <c r="I307" s="11" t="s">
        <v>651</v>
      </c>
      <c r="J307" s="11" t="s">
        <v>247</v>
      </c>
      <c r="K307" s="11" t="s">
        <v>248</v>
      </c>
      <c r="L307" s="11">
        <v>3</v>
      </c>
    </row>
    <row r="308" spans="1:12" x14ac:dyDescent="0.2">
      <c r="A308" s="11" t="s">
        <v>545</v>
      </c>
      <c r="D308" s="11" t="s">
        <v>246</v>
      </c>
      <c r="E308" s="19" t="s">
        <v>684</v>
      </c>
      <c r="F308" s="10">
        <v>45992</v>
      </c>
      <c r="G308" s="10">
        <v>45992</v>
      </c>
      <c r="H308" s="11">
        <v>1</v>
      </c>
      <c r="I308" s="11" t="s">
        <v>651</v>
      </c>
      <c r="J308" s="11" t="s">
        <v>247</v>
      </c>
      <c r="K308" s="11" t="s">
        <v>248</v>
      </c>
      <c r="L308" s="11">
        <v>3</v>
      </c>
    </row>
    <row r="309" spans="1:12" x14ac:dyDescent="0.2">
      <c r="A309" s="11" t="s">
        <v>546</v>
      </c>
      <c r="D309" s="11" t="s">
        <v>246</v>
      </c>
      <c r="E309" s="19" t="s">
        <v>685</v>
      </c>
      <c r="F309" s="10">
        <v>45992</v>
      </c>
      <c r="G309" s="10">
        <v>45992</v>
      </c>
      <c r="H309" s="11">
        <v>1</v>
      </c>
      <c r="I309" s="11" t="s">
        <v>651</v>
      </c>
      <c r="J309" s="11" t="s">
        <v>247</v>
      </c>
      <c r="K309" s="11" t="s">
        <v>248</v>
      </c>
      <c r="L309" s="11">
        <v>3</v>
      </c>
    </row>
    <row r="310" spans="1:12" x14ac:dyDescent="0.2">
      <c r="A310" s="11" t="s">
        <v>547</v>
      </c>
      <c r="D310" s="11" t="s">
        <v>246</v>
      </c>
      <c r="E310" s="19" t="s">
        <v>686</v>
      </c>
      <c r="F310" s="10">
        <v>45992</v>
      </c>
      <c r="G310" s="10">
        <v>45992</v>
      </c>
      <c r="H310" s="11">
        <v>1</v>
      </c>
      <c r="I310" s="11" t="s">
        <v>651</v>
      </c>
      <c r="J310" s="11" t="s">
        <v>247</v>
      </c>
      <c r="K310" s="11" t="s">
        <v>248</v>
      </c>
      <c r="L310" s="11">
        <v>3</v>
      </c>
    </row>
    <row r="311" spans="1:12" x14ac:dyDescent="0.2">
      <c r="A311" s="11" t="s">
        <v>548</v>
      </c>
      <c r="D311" s="11" t="s">
        <v>246</v>
      </c>
      <c r="E311" s="19" t="s">
        <v>687</v>
      </c>
      <c r="F311" s="10">
        <v>45992</v>
      </c>
      <c r="G311" s="10">
        <v>45992</v>
      </c>
      <c r="H311" s="11">
        <v>1</v>
      </c>
      <c r="I311" s="11" t="s">
        <v>651</v>
      </c>
      <c r="J311" s="11" t="s">
        <v>247</v>
      </c>
      <c r="K311" s="11" t="s">
        <v>248</v>
      </c>
      <c r="L311" s="11">
        <v>3</v>
      </c>
    </row>
    <row r="312" spans="1:12" x14ac:dyDescent="0.2">
      <c r="A312" s="11" t="s">
        <v>549</v>
      </c>
      <c r="D312" s="11" t="s">
        <v>246</v>
      </c>
      <c r="E312" s="19" t="s">
        <v>688</v>
      </c>
      <c r="F312" s="10">
        <v>45992</v>
      </c>
      <c r="G312" s="10">
        <v>45992</v>
      </c>
      <c r="H312" s="11">
        <v>1</v>
      </c>
      <c r="I312" s="11" t="s">
        <v>651</v>
      </c>
      <c r="J312" s="11" t="s">
        <v>247</v>
      </c>
      <c r="K312" s="11" t="s">
        <v>248</v>
      </c>
      <c r="L312" s="11">
        <v>3</v>
      </c>
    </row>
    <row r="313" spans="1:12" x14ac:dyDescent="0.2">
      <c r="A313" s="11" t="s">
        <v>550</v>
      </c>
      <c r="D313" s="11" t="s">
        <v>246</v>
      </c>
      <c r="E313" s="19" t="s">
        <v>689</v>
      </c>
      <c r="F313" s="10">
        <v>45992</v>
      </c>
      <c r="G313" s="10">
        <v>45992</v>
      </c>
      <c r="H313" s="11">
        <v>1</v>
      </c>
      <c r="I313" s="11" t="s">
        <v>651</v>
      </c>
      <c r="J313" s="11" t="s">
        <v>247</v>
      </c>
      <c r="K313" s="11" t="s">
        <v>248</v>
      </c>
      <c r="L313" s="11">
        <v>3</v>
      </c>
    </row>
    <row r="314" spans="1:12" x14ac:dyDescent="0.2">
      <c r="A314" s="11" t="s">
        <v>551</v>
      </c>
      <c r="D314" s="11" t="s">
        <v>246</v>
      </c>
      <c r="E314" s="19" t="s">
        <v>690</v>
      </c>
      <c r="F314" s="10">
        <v>45992</v>
      </c>
      <c r="G314" s="10">
        <v>45992</v>
      </c>
      <c r="H314" s="11">
        <v>1</v>
      </c>
      <c r="I314" s="11" t="s">
        <v>651</v>
      </c>
      <c r="J314" s="11" t="s">
        <v>247</v>
      </c>
      <c r="K314" s="11" t="s">
        <v>248</v>
      </c>
      <c r="L314" s="11">
        <v>3</v>
      </c>
    </row>
    <row r="315" spans="1:12" x14ac:dyDescent="0.2">
      <c r="A315" s="11" t="s">
        <v>552</v>
      </c>
      <c r="D315" s="11" t="s">
        <v>246</v>
      </c>
      <c r="E315" s="19" t="s">
        <v>691</v>
      </c>
      <c r="F315" s="10">
        <v>45992</v>
      </c>
      <c r="G315" s="10">
        <v>45992</v>
      </c>
      <c r="H315" s="11">
        <v>1</v>
      </c>
      <c r="I315" s="11" t="s">
        <v>651</v>
      </c>
      <c r="J315" s="11" t="s">
        <v>247</v>
      </c>
      <c r="K315" s="11" t="s">
        <v>248</v>
      </c>
      <c r="L315" s="11">
        <v>3</v>
      </c>
    </row>
    <row r="316" spans="1:12" x14ac:dyDescent="0.2">
      <c r="A316" s="11" t="s">
        <v>552</v>
      </c>
      <c r="D316" s="11" t="s">
        <v>246</v>
      </c>
      <c r="E316" s="19" t="s">
        <v>692</v>
      </c>
      <c r="F316" s="10">
        <v>45992</v>
      </c>
      <c r="G316" s="10">
        <v>45992</v>
      </c>
      <c r="H316" s="11">
        <v>1</v>
      </c>
      <c r="I316" s="11" t="s">
        <v>651</v>
      </c>
      <c r="J316" s="11" t="s">
        <v>247</v>
      </c>
      <c r="K316" s="11" t="s">
        <v>248</v>
      </c>
      <c r="L316" s="11">
        <v>3</v>
      </c>
    </row>
    <row r="317" spans="1:12" x14ac:dyDescent="0.2">
      <c r="A317" s="11" t="s">
        <v>553</v>
      </c>
      <c r="D317" s="11" t="s">
        <v>246</v>
      </c>
      <c r="E317" s="19" t="s">
        <v>693</v>
      </c>
      <c r="F317" s="10">
        <v>45992</v>
      </c>
      <c r="G317" s="10">
        <v>45992</v>
      </c>
      <c r="H317" s="11">
        <v>1</v>
      </c>
      <c r="I317" s="11" t="s">
        <v>651</v>
      </c>
      <c r="J317" s="11" t="s">
        <v>247</v>
      </c>
      <c r="K317" s="11" t="s">
        <v>248</v>
      </c>
      <c r="L317" s="11">
        <v>3</v>
      </c>
    </row>
    <row r="318" spans="1:12" x14ac:dyDescent="0.2">
      <c r="A318" s="11" t="s">
        <v>554</v>
      </c>
      <c r="D318" s="11" t="s">
        <v>246</v>
      </c>
      <c r="E318" s="19" t="s">
        <v>694</v>
      </c>
      <c r="F318" s="10">
        <v>45992</v>
      </c>
      <c r="G318" s="10">
        <v>45992</v>
      </c>
      <c r="H318" s="11">
        <v>1</v>
      </c>
      <c r="I318" s="11" t="s">
        <v>651</v>
      </c>
      <c r="J318" s="11" t="s">
        <v>247</v>
      </c>
      <c r="K318" s="11" t="s">
        <v>248</v>
      </c>
      <c r="L318" s="11">
        <v>3</v>
      </c>
    </row>
    <row r="319" spans="1:12" x14ac:dyDescent="0.2">
      <c r="A319" s="11" t="s">
        <v>555</v>
      </c>
      <c r="D319" s="11" t="s">
        <v>246</v>
      </c>
      <c r="E319" s="19" t="s">
        <v>695</v>
      </c>
      <c r="F319" s="10">
        <v>45992</v>
      </c>
      <c r="G319" s="10">
        <v>45992</v>
      </c>
      <c r="H319" s="11">
        <v>1</v>
      </c>
      <c r="I319" s="11" t="s">
        <v>651</v>
      </c>
      <c r="J319" s="11" t="s">
        <v>247</v>
      </c>
      <c r="K319" s="11" t="s">
        <v>248</v>
      </c>
      <c r="L319" s="11">
        <v>3</v>
      </c>
    </row>
    <row r="320" spans="1:12" x14ac:dyDescent="0.2">
      <c r="A320" s="11" t="s">
        <v>556</v>
      </c>
      <c r="D320" s="11" t="s">
        <v>246</v>
      </c>
      <c r="E320" s="19" t="s">
        <v>696</v>
      </c>
      <c r="F320" s="10">
        <v>45992</v>
      </c>
      <c r="G320" s="10">
        <v>45992</v>
      </c>
      <c r="H320" s="11">
        <v>1</v>
      </c>
      <c r="I320" s="11" t="s">
        <v>651</v>
      </c>
      <c r="J320" s="11" t="s">
        <v>247</v>
      </c>
      <c r="K320" s="11" t="s">
        <v>248</v>
      </c>
      <c r="L320" s="11">
        <v>3</v>
      </c>
    </row>
    <row r="321" spans="1:12" x14ac:dyDescent="0.2">
      <c r="A321" s="11" t="s">
        <v>557</v>
      </c>
      <c r="D321" s="11" t="s">
        <v>246</v>
      </c>
      <c r="E321" s="19" t="s">
        <v>697</v>
      </c>
      <c r="F321" s="10">
        <v>45992</v>
      </c>
      <c r="G321" s="10">
        <v>45992</v>
      </c>
      <c r="H321" s="11">
        <v>1</v>
      </c>
      <c r="I321" s="11" t="s">
        <v>651</v>
      </c>
      <c r="J321" s="11" t="s">
        <v>247</v>
      </c>
      <c r="K321" s="11" t="s">
        <v>248</v>
      </c>
      <c r="L321" s="11">
        <v>3</v>
      </c>
    </row>
    <row r="322" spans="1:12" x14ac:dyDescent="0.2">
      <c r="A322" s="11" t="s">
        <v>558</v>
      </c>
      <c r="D322" s="11" t="s">
        <v>246</v>
      </c>
      <c r="E322" s="19" t="s">
        <v>698</v>
      </c>
      <c r="F322" s="10">
        <v>45992</v>
      </c>
      <c r="G322" s="10">
        <v>45992</v>
      </c>
      <c r="H322" s="11">
        <v>1</v>
      </c>
      <c r="I322" s="11" t="s">
        <v>651</v>
      </c>
      <c r="J322" s="11" t="s">
        <v>247</v>
      </c>
      <c r="K322" s="11" t="s">
        <v>248</v>
      </c>
      <c r="L322" s="11">
        <v>3</v>
      </c>
    </row>
    <row r="323" spans="1:12" x14ac:dyDescent="0.2">
      <c r="A323" s="11" t="s">
        <v>559</v>
      </c>
      <c r="D323" s="11" t="s">
        <v>246</v>
      </c>
      <c r="E323" s="19" t="s">
        <v>699</v>
      </c>
      <c r="F323" s="10">
        <v>45992</v>
      </c>
      <c r="G323" s="10">
        <v>45992</v>
      </c>
      <c r="H323" s="11">
        <v>1</v>
      </c>
      <c r="I323" s="11" t="s">
        <v>651</v>
      </c>
      <c r="J323" s="11" t="s">
        <v>247</v>
      </c>
      <c r="K323" s="11" t="s">
        <v>248</v>
      </c>
      <c r="L323" s="11">
        <v>3</v>
      </c>
    </row>
    <row r="324" spans="1:12" x14ac:dyDescent="0.2">
      <c r="A324" s="11" t="s">
        <v>560</v>
      </c>
      <c r="D324" s="11" t="s">
        <v>246</v>
      </c>
      <c r="E324" s="19" t="s">
        <v>700</v>
      </c>
      <c r="F324" s="10">
        <v>45992</v>
      </c>
      <c r="G324" s="10">
        <v>45992</v>
      </c>
      <c r="H324" s="11">
        <v>1</v>
      </c>
      <c r="I324" s="11" t="s">
        <v>651</v>
      </c>
      <c r="J324" s="11" t="s">
        <v>247</v>
      </c>
      <c r="K324" s="11" t="s">
        <v>248</v>
      </c>
      <c r="L324" s="11">
        <v>3</v>
      </c>
    </row>
    <row r="325" spans="1:12" x14ac:dyDescent="0.2">
      <c r="A325" s="11" t="s">
        <v>561</v>
      </c>
      <c r="D325" s="11" t="s">
        <v>246</v>
      </c>
      <c r="E325" s="19" t="s">
        <v>701</v>
      </c>
      <c r="F325" s="10">
        <v>45992</v>
      </c>
      <c r="G325" s="10">
        <v>45992</v>
      </c>
      <c r="H325" s="11">
        <v>1</v>
      </c>
      <c r="I325" s="11" t="s">
        <v>651</v>
      </c>
      <c r="J325" s="11" t="s">
        <v>247</v>
      </c>
      <c r="K325" s="11" t="s">
        <v>248</v>
      </c>
      <c r="L325" s="11">
        <v>3</v>
      </c>
    </row>
    <row r="326" spans="1:12" x14ac:dyDescent="0.2">
      <c r="A326" s="11" t="s">
        <v>562</v>
      </c>
      <c r="D326" s="11" t="s">
        <v>246</v>
      </c>
      <c r="E326" s="19" t="s">
        <v>702</v>
      </c>
      <c r="F326" s="10">
        <v>45992</v>
      </c>
      <c r="G326" s="10">
        <v>45992</v>
      </c>
      <c r="H326" s="11">
        <v>1</v>
      </c>
      <c r="I326" s="11" t="s">
        <v>651</v>
      </c>
      <c r="J326" s="11" t="s">
        <v>247</v>
      </c>
      <c r="K326" s="11" t="s">
        <v>248</v>
      </c>
      <c r="L326" s="11">
        <v>3</v>
      </c>
    </row>
    <row r="327" spans="1:12" x14ac:dyDescent="0.2">
      <c r="A327" s="11" t="s">
        <v>563</v>
      </c>
      <c r="D327" s="11" t="s">
        <v>246</v>
      </c>
      <c r="E327" s="19" t="s">
        <v>703</v>
      </c>
      <c r="F327" s="10">
        <v>45992</v>
      </c>
      <c r="G327" s="10">
        <v>45992</v>
      </c>
      <c r="H327" s="11">
        <v>1</v>
      </c>
      <c r="I327" s="11" t="s">
        <v>651</v>
      </c>
      <c r="J327" s="11" t="s">
        <v>247</v>
      </c>
      <c r="K327" s="11" t="s">
        <v>248</v>
      </c>
      <c r="L327" s="11">
        <v>3</v>
      </c>
    </row>
    <row r="328" spans="1:12" x14ac:dyDescent="0.2">
      <c r="A328" s="11" t="s">
        <v>564</v>
      </c>
      <c r="D328" s="11" t="s">
        <v>246</v>
      </c>
      <c r="E328" s="19" t="s">
        <v>704</v>
      </c>
      <c r="F328" s="10">
        <v>45992</v>
      </c>
      <c r="G328" s="10">
        <v>45992</v>
      </c>
      <c r="H328" s="11">
        <v>1</v>
      </c>
      <c r="I328" s="11" t="s">
        <v>651</v>
      </c>
      <c r="J328" s="11" t="s">
        <v>247</v>
      </c>
      <c r="K328" s="11" t="s">
        <v>248</v>
      </c>
      <c r="L328" s="11">
        <v>3</v>
      </c>
    </row>
    <row r="329" spans="1:12" x14ac:dyDescent="0.2">
      <c r="A329" s="11" t="s">
        <v>565</v>
      </c>
      <c r="D329" s="11" t="s">
        <v>246</v>
      </c>
      <c r="E329" s="19" t="s">
        <v>705</v>
      </c>
      <c r="F329" s="10">
        <v>45992</v>
      </c>
      <c r="G329" s="10">
        <v>45992</v>
      </c>
      <c r="H329" s="11">
        <v>1</v>
      </c>
      <c r="I329" s="11" t="s">
        <v>651</v>
      </c>
      <c r="J329" s="11" t="s">
        <v>247</v>
      </c>
      <c r="K329" s="11" t="s">
        <v>248</v>
      </c>
      <c r="L329" s="11">
        <v>3</v>
      </c>
    </row>
    <row r="330" spans="1:12" x14ac:dyDescent="0.2">
      <c r="A330" s="11" t="s">
        <v>566</v>
      </c>
      <c r="D330" s="11" t="s">
        <v>246</v>
      </c>
      <c r="E330" s="19" t="s">
        <v>706</v>
      </c>
      <c r="F330" s="10">
        <v>45992</v>
      </c>
      <c r="G330" s="10">
        <v>45992</v>
      </c>
      <c r="H330" s="11">
        <v>1</v>
      </c>
      <c r="I330" s="11" t="s">
        <v>651</v>
      </c>
      <c r="J330" s="11" t="s">
        <v>247</v>
      </c>
      <c r="K330" s="11" t="s">
        <v>248</v>
      </c>
      <c r="L330" s="11">
        <v>3</v>
      </c>
    </row>
    <row r="331" spans="1:12" x14ac:dyDescent="0.2">
      <c r="A331" s="11" t="s">
        <v>566</v>
      </c>
      <c r="D331" s="11" t="s">
        <v>246</v>
      </c>
      <c r="E331" s="19" t="s">
        <v>707</v>
      </c>
      <c r="F331" s="10">
        <v>45992</v>
      </c>
      <c r="G331" s="10">
        <v>45992</v>
      </c>
      <c r="H331" s="11">
        <v>1</v>
      </c>
      <c r="I331" s="11" t="s">
        <v>651</v>
      </c>
      <c r="J331" s="11" t="s">
        <v>247</v>
      </c>
      <c r="K331" s="11" t="s">
        <v>248</v>
      </c>
      <c r="L331" s="11">
        <v>3</v>
      </c>
    </row>
    <row r="332" spans="1:12" x14ac:dyDescent="0.2">
      <c r="A332" s="11" t="s">
        <v>567</v>
      </c>
      <c r="D332" s="11" t="s">
        <v>246</v>
      </c>
      <c r="E332" s="19" t="s">
        <v>708</v>
      </c>
      <c r="F332" s="10">
        <v>45992</v>
      </c>
      <c r="G332" s="10">
        <v>45992</v>
      </c>
      <c r="H332" s="11">
        <v>1</v>
      </c>
      <c r="I332" s="11" t="s">
        <v>651</v>
      </c>
      <c r="J332" s="11" t="s">
        <v>247</v>
      </c>
      <c r="K332" s="11" t="s">
        <v>248</v>
      </c>
      <c r="L332" s="11">
        <v>3</v>
      </c>
    </row>
    <row r="333" spans="1:12" x14ac:dyDescent="0.2">
      <c r="A333" s="11" t="s">
        <v>567</v>
      </c>
      <c r="D333" s="11" t="s">
        <v>246</v>
      </c>
      <c r="E333" s="19" t="s">
        <v>709</v>
      </c>
      <c r="F333" s="10">
        <v>45992</v>
      </c>
      <c r="G333" s="10">
        <v>45992</v>
      </c>
      <c r="H333" s="11">
        <v>1</v>
      </c>
      <c r="I333" s="11" t="s">
        <v>651</v>
      </c>
      <c r="J333" s="11" t="s">
        <v>247</v>
      </c>
      <c r="K333" s="11" t="s">
        <v>248</v>
      </c>
      <c r="L333" s="11">
        <v>3</v>
      </c>
    </row>
    <row r="334" spans="1:12" x14ac:dyDescent="0.2">
      <c r="A334" s="11" t="s">
        <v>568</v>
      </c>
      <c r="D334" s="11" t="s">
        <v>246</v>
      </c>
      <c r="E334" s="19" t="s">
        <v>710</v>
      </c>
      <c r="F334" s="10">
        <v>45992</v>
      </c>
      <c r="G334" s="10">
        <v>45992</v>
      </c>
      <c r="H334" s="11">
        <v>1</v>
      </c>
      <c r="I334" s="11" t="s">
        <v>651</v>
      </c>
      <c r="J334" s="11" t="s">
        <v>247</v>
      </c>
      <c r="K334" s="11" t="s">
        <v>248</v>
      </c>
      <c r="L334" s="11">
        <v>3</v>
      </c>
    </row>
    <row r="335" spans="1:12" x14ac:dyDescent="0.2">
      <c r="A335" s="11" t="s">
        <v>569</v>
      </c>
      <c r="D335" s="11" t="s">
        <v>246</v>
      </c>
      <c r="E335" s="19" t="s">
        <v>711</v>
      </c>
      <c r="F335" s="10">
        <v>45992</v>
      </c>
      <c r="G335" s="10">
        <v>45992</v>
      </c>
      <c r="H335" s="11">
        <v>1</v>
      </c>
      <c r="I335" s="11" t="s">
        <v>651</v>
      </c>
      <c r="J335" s="11" t="s">
        <v>247</v>
      </c>
      <c r="K335" s="11" t="s">
        <v>248</v>
      </c>
      <c r="L335" s="11">
        <v>3</v>
      </c>
    </row>
    <row r="336" spans="1:12" x14ac:dyDescent="0.2">
      <c r="A336" s="11" t="s">
        <v>570</v>
      </c>
      <c r="D336" s="11" t="s">
        <v>246</v>
      </c>
      <c r="E336" s="19" t="s">
        <v>712</v>
      </c>
      <c r="F336" s="10">
        <v>45992</v>
      </c>
      <c r="G336" s="10">
        <v>45992</v>
      </c>
      <c r="H336" s="11">
        <v>1</v>
      </c>
      <c r="I336" s="11" t="s">
        <v>651</v>
      </c>
      <c r="J336" s="11" t="s">
        <v>247</v>
      </c>
      <c r="K336" s="11" t="s">
        <v>248</v>
      </c>
      <c r="L336" s="11">
        <v>3</v>
      </c>
    </row>
    <row r="337" spans="1:12" x14ac:dyDescent="0.2">
      <c r="A337" s="11" t="s">
        <v>571</v>
      </c>
      <c r="D337" s="11" t="s">
        <v>246</v>
      </c>
      <c r="E337" s="19" t="s">
        <v>713</v>
      </c>
      <c r="F337" s="10">
        <v>45992</v>
      </c>
      <c r="G337" s="10">
        <v>45992</v>
      </c>
      <c r="H337" s="11">
        <v>1</v>
      </c>
      <c r="I337" s="11" t="s">
        <v>651</v>
      </c>
      <c r="J337" s="11" t="s">
        <v>247</v>
      </c>
      <c r="K337" s="11" t="s">
        <v>248</v>
      </c>
      <c r="L337" s="11">
        <v>3</v>
      </c>
    </row>
    <row r="338" spans="1:12" x14ac:dyDescent="0.2">
      <c r="A338" s="11" t="s">
        <v>572</v>
      </c>
      <c r="D338" s="11" t="s">
        <v>246</v>
      </c>
      <c r="E338" s="19" t="s">
        <v>714</v>
      </c>
      <c r="F338" s="10">
        <v>45992</v>
      </c>
      <c r="G338" s="10">
        <v>45992</v>
      </c>
      <c r="H338" s="11">
        <v>1</v>
      </c>
      <c r="I338" s="11" t="s">
        <v>651</v>
      </c>
      <c r="J338" s="11" t="s">
        <v>247</v>
      </c>
      <c r="K338" s="11" t="s">
        <v>248</v>
      </c>
      <c r="L338" s="11">
        <v>3</v>
      </c>
    </row>
    <row r="339" spans="1:12" x14ac:dyDescent="0.2">
      <c r="A339" s="11" t="s">
        <v>573</v>
      </c>
      <c r="D339" s="11" t="s">
        <v>246</v>
      </c>
      <c r="E339" s="19" t="s">
        <v>715</v>
      </c>
      <c r="F339" s="10">
        <v>45992</v>
      </c>
      <c r="G339" s="10">
        <v>45992</v>
      </c>
      <c r="H339" s="11">
        <v>1</v>
      </c>
      <c r="I339" s="11" t="s">
        <v>651</v>
      </c>
      <c r="J339" s="11" t="s">
        <v>247</v>
      </c>
      <c r="K339" s="11" t="s">
        <v>248</v>
      </c>
      <c r="L339" s="11">
        <v>3</v>
      </c>
    </row>
    <row r="340" spans="1:12" x14ac:dyDescent="0.2">
      <c r="A340" s="11" t="s">
        <v>574</v>
      </c>
      <c r="D340" s="11" t="s">
        <v>246</v>
      </c>
      <c r="E340" s="19" t="s">
        <v>716</v>
      </c>
      <c r="F340" s="10">
        <v>45992</v>
      </c>
      <c r="G340" s="10">
        <v>45992</v>
      </c>
      <c r="H340" s="11">
        <v>1</v>
      </c>
      <c r="I340" s="11" t="s">
        <v>651</v>
      </c>
      <c r="J340" s="11" t="s">
        <v>247</v>
      </c>
      <c r="K340" s="11" t="s">
        <v>248</v>
      </c>
      <c r="L340" s="11">
        <v>3</v>
      </c>
    </row>
    <row r="341" spans="1:12" x14ac:dyDescent="0.2">
      <c r="A341" s="11" t="s">
        <v>575</v>
      </c>
      <c r="D341" s="11" t="s">
        <v>246</v>
      </c>
      <c r="E341" s="19" t="s">
        <v>717</v>
      </c>
      <c r="F341" s="10">
        <v>45992</v>
      </c>
      <c r="G341" s="10">
        <v>45992</v>
      </c>
      <c r="H341" s="11">
        <v>1</v>
      </c>
      <c r="I341" s="11" t="s">
        <v>651</v>
      </c>
      <c r="J341" s="11" t="s">
        <v>247</v>
      </c>
      <c r="K341" s="11" t="s">
        <v>248</v>
      </c>
      <c r="L341" s="11">
        <v>3</v>
      </c>
    </row>
    <row r="342" spans="1:12" x14ac:dyDescent="0.2">
      <c r="A342" s="11" t="s">
        <v>576</v>
      </c>
      <c r="D342" s="11" t="s">
        <v>246</v>
      </c>
      <c r="E342" s="19" t="s">
        <v>718</v>
      </c>
      <c r="F342" s="10">
        <v>45992</v>
      </c>
      <c r="G342" s="10">
        <v>45992</v>
      </c>
      <c r="H342" s="11">
        <v>1</v>
      </c>
      <c r="I342" s="11" t="s">
        <v>651</v>
      </c>
      <c r="J342" s="11" t="s">
        <v>247</v>
      </c>
      <c r="K342" s="11" t="s">
        <v>248</v>
      </c>
      <c r="L342" s="11">
        <v>3</v>
      </c>
    </row>
    <row r="343" spans="1:12" x14ac:dyDescent="0.2">
      <c r="A343" s="11" t="s">
        <v>577</v>
      </c>
      <c r="D343" s="11" t="s">
        <v>246</v>
      </c>
      <c r="E343" s="19" t="s">
        <v>719</v>
      </c>
      <c r="F343" s="10">
        <v>45992</v>
      </c>
      <c r="G343" s="10">
        <v>45992</v>
      </c>
      <c r="H343" s="11">
        <v>1</v>
      </c>
      <c r="I343" s="11" t="s">
        <v>651</v>
      </c>
      <c r="J343" s="11" t="s">
        <v>247</v>
      </c>
      <c r="K343" s="11" t="s">
        <v>248</v>
      </c>
      <c r="L343" s="11">
        <v>3</v>
      </c>
    </row>
    <row r="344" spans="1:12" x14ac:dyDescent="0.2">
      <c r="A344" s="11" t="s">
        <v>578</v>
      </c>
      <c r="D344" s="11" t="s">
        <v>246</v>
      </c>
      <c r="E344" s="19" t="s">
        <v>720</v>
      </c>
      <c r="F344" s="10">
        <v>45992</v>
      </c>
      <c r="G344" s="10">
        <v>45992</v>
      </c>
      <c r="H344" s="11">
        <v>1</v>
      </c>
      <c r="I344" s="11" t="s">
        <v>651</v>
      </c>
      <c r="J344" s="11" t="s">
        <v>247</v>
      </c>
      <c r="K344" s="11" t="s">
        <v>248</v>
      </c>
      <c r="L344" s="11">
        <v>3</v>
      </c>
    </row>
    <row r="345" spans="1:12" x14ac:dyDescent="0.2">
      <c r="A345" s="11" t="s">
        <v>579</v>
      </c>
      <c r="D345" s="11" t="s">
        <v>246</v>
      </c>
      <c r="E345" s="19" t="s">
        <v>721</v>
      </c>
      <c r="F345" s="10">
        <v>45992</v>
      </c>
      <c r="G345" s="10">
        <v>45992</v>
      </c>
      <c r="H345" s="11">
        <v>1</v>
      </c>
      <c r="I345" s="11" t="s">
        <v>651</v>
      </c>
      <c r="J345" s="11" t="s">
        <v>247</v>
      </c>
      <c r="K345" s="11" t="s">
        <v>248</v>
      </c>
      <c r="L345" s="11">
        <v>3</v>
      </c>
    </row>
    <row r="346" spans="1:12" x14ac:dyDescent="0.2">
      <c r="A346" s="11" t="s">
        <v>579</v>
      </c>
      <c r="D346" s="11" t="s">
        <v>246</v>
      </c>
      <c r="E346" s="19" t="s">
        <v>722</v>
      </c>
      <c r="F346" s="10">
        <v>45992</v>
      </c>
      <c r="G346" s="10">
        <v>45992</v>
      </c>
      <c r="H346" s="11">
        <v>1</v>
      </c>
      <c r="I346" s="11" t="s">
        <v>651</v>
      </c>
      <c r="J346" s="11" t="s">
        <v>247</v>
      </c>
      <c r="K346" s="11" t="s">
        <v>248</v>
      </c>
      <c r="L346" s="11">
        <v>3</v>
      </c>
    </row>
    <row r="347" spans="1:12" x14ac:dyDescent="0.2">
      <c r="A347" s="11" t="s">
        <v>580</v>
      </c>
      <c r="D347" s="11" t="s">
        <v>246</v>
      </c>
      <c r="E347" s="19" t="s">
        <v>723</v>
      </c>
      <c r="F347" s="10">
        <v>45992</v>
      </c>
      <c r="G347" s="10">
        <v>45992</v>
      </c>
      <c r="H347" s="11">
        <v>1</v>
      </c>
      <c r="I347" s="11" t="s">
        <v>651</v>
      </c>
      <c r="J347" s="11" t="s">
        <v>247</v>
      </c>
      <c r="K347" s="11" t="s">
        <v>248</v>
      </c>
      <c r="L347" s="11">
        <v>3</v>
      </c>
    </row>
    <row r="348" spans="1:12" x14ac:dyDescent="0.2">
      <c r="A348" s="11" t="s">
        <v>581</v>
      </c>
      <c r="D348" s="11" t="s">
        <v>246</v>
      </c>
      <c r="E348" s="19" t="s">
        <v>724</v>
      </c>
      <c r="F348" s="10">
        <v>45992</v>
      </c>
      <c r="G348" s="10">
        <v>45992</v>
      </c>
      <c r="H348" s="11">
        <v>1</v>
      </c>
      <c r="I348" s="11" t="s">
        <v>651</v>
      </c>
      <c r="J348" s="11" t="s">
        <v>247</v>
      </c>
      <c r="K348" s="11" t="s">
        <v>248</v>
      </c>
      <c r="L348" s="11">
        <v>3</v>
      </c>
    </row>
    <row r="349" spans="1:12" x14ac:dyDescent="0.2">
      <c r="A349" s="11" t="s">
        <v>582</v>
      </c>
      <c r="D349" s="11" t="s">
        <v>246</v>
      </c>
      <c r="E349" s="19" t="s">
        <v>725</v>
      </c>
      <c r="F349" s="10">
        <v>45992</v>
      </c>
      <c r="G349" s="10">
        <v>45992</v>
      </c>
      <c r="H349" s="11">
        <v>1</v>
      </c>
      <c r="I349" s="11" t="s">
        <v>651</v>
      </c>
      <c r="J349" s="11" t="s">
        <v>247</v>
      </c>
      <c r="K349" s="11" t="s">
        <v>248</v>
      </c>
      <c r="L349" s="11">
        <v>3</v>
      </c>
    </row>
    <row r="350" spans="1:12" x14ac:dyDescent="0.2">
      <c r="A350" s="11" t="s">
        <v>583</v>
      </c>
      <c r="D350" s="11" t="s">
        <v>246</v>
      </c>
      <c r="E350" s="19" t="s">
        <v>726</v>
      </c>
      <c r="F350" s="10">
        <v>45992</v>
      </c>
      <c r="G350" s="10">
        <v>45992</v>
      </c>
      <c r="H350" s="11">
        <v>1</v>
      </c>
      <c r="I350" s="11" t="s">
        <v>651</v>
      </c>
      <c r="J350" s="11" t="s">
        <v>247</v>
      </c>
      <c r="K350" s="11" t="s">
        <v>248</v>
      </c>
      <c r="L350" s="11">
        <v>3</v>
      </c>
    </row>
    <row r="351" spans="1:12" x14ac:dyDescent="0.2">
      <c r="A351" s="11" t="s">
        <v>584</v>
      </c>
      <c r="D351" s="11" t="s">
        <v>246</v>
      </c>
      <c r="E351" s="19" t="s">
        <v>727</v>
      </c>
      <c r="F351" s="10">
        <v>45992</v>
      </c>
      <c r="G351" s="10">
        <v>45992</v>
      </c>
      <c r="H351" s="11">
        <v>1</v>
      </c>
      <c r="I351" s="11" t="s">
        <v>651</v>
      </c>
      <c r="J351" s="11" t="s">
        <v>247</v>
      </c>
      <c r="K351" s="11" t="s">
        <v>248</v>
      </c>
      <c r="L351" s="11">
        <v>3</v>
      </c>
    </row>
    <row r="352" spans="1:12" x14ac:dyDescent="0.2">
      <c r="A352" s="11" t="s">
        <v>585</v>
      </c>
      <c r="D352" s="11" t="s">
        <v>246</v>
      </c>
      <c r="E352" s="19" t="s">
        <v>728</v>
      </c>
      <c r="F352" s="10">
        <v>45992</v>
      </c>
      <c r="G352" s="10">
        <v>45992</v>
      </c>
      <c r="H352" s="11">
        <v>1</v>
      </c>
      <c r="I352" s="11" t="s">
        <v>651</v>
      </c>
      <c r="J352" s="11" t="s">
        <v>247</v>
      </c>
      <c r="K352" s="11" t="s">
        <v>248</v>
      </c>
      <c r="L352" s="11">
        <v>3</v>
      </c>
    </row>
    <row r="353" spans="1:12" x14ac:dyDescent="0.2">
      <c r="A353" s="11" t="s">
        <v>586</v>
      </c>
      <c r="D353" s="11" t="s">
        <v>246</v>
      </c>
      <c r="E353" s="19" t="s">
        <v>729</v>
      </c>
      <c r="F353" s="10">
        <v>45992</v>
      </c>
      <c r="G353" s="10">
        <v>45992</v>
      </c>
      <c r="H353" s="11">
        <v>1</v>
      </c>
      <c r="I353" s="11" t="s">
        <v>651</v>
      </c>
      <c r="J353" s="11" t="s">
        <v>247</v>
      </c>
      <c r="K353" s="11" t="s">
        <v>248</v>
      </c>
      <c r="L353" s="11">
        <v>3</v>
      </c>
    </row>
    <row r="354" spans="1:12" x14ac:dyDescent="0.2">
      <c r="A354" s="11" t="s">
        <v>587</v>
      </c>
      <c r="D354" s="11" t="s">
        <v>246</v>
      </c>
      <c r="E354" s="19" t="s">
        <v>730</v>
      </c>
      <c r="F354" s="10">
        <v>45992</v>
      </c>
      <c r="G354" s="10">
        <v>45992</v>
      </c>
      <c r="H354" s="11">
        <v>1</v>
      </c>
      <c r="I354" s="11" t="s">
        <v>651</v>
      </c>
      <c r="J354" s="11" t="s">
        <v>247</v>
      </c>
      <c r="K354" s="11" t="s">
        <v>248</v>
      </c>
      <c r="L354" s="11">
        <v>3</v>
      </c>
    </row>
    <row r="355" spans="1:12" x14ac:dyDescent="0.2">
      <c r="A355" s="11" t="s">
        <v>588</v>
      </c>
      <c r="D355" s="11" t="s">
        <v>246</v>
      </c>
      <c r="E355" s="19" t="s">
        <v>731</v>
      </c>
      <c r="F355" s="10">
        <v>45992</v>
      </c>
      <c r="G355" s="10">
        <v>45992</v>
      </c>
      <c r="H355" s="11">
        <v>1</v>
      </c>
      <c r="I355" s="11" t="s">
        <v>651</v>
      </c>
      <c r="J355" s="11" t="s">
        <v>247</v>
      </c>
      <c r="K355" s="11" t="s">
        <v>248</v>
      </c>
      <c r="L355" s="11">
        <v>3</v>
      </c>
    </row>
    <row r="356" spans="1:12" x14ac:dyDescent="0.2">
      <c r="A356" s="11" t="s">
        <v>589</v>
      </c>
      <c r="D356" s="11" t="s">
        <v>246</v>
      </c>
      <c r="E356" s="19" t="s">
        <v>732</v>
      </c>
      <c r="F356" s="10">
        <v>45992</v>
      </c>
      <c r="G356" s="10">
        <v>45992</v>
      </c>
      <c r="H356" s="11">
        <v>1</v>
      </c>
      <c r="I356" s="11" t="s">
        <v>651</v>
      </c>
      <c r="J356" s="11" t="s">
        <v>247</v>
      </c>
      <c r="K356" s="11" t="s">
        <v>248</v>
      </c>
      <c r="L356" s="11">
        <v>3</v>
      </c>
    </row>
    <row r="357" spans="1:12" x14ac:dyDescent="0.2">
      <c r="A357" s="11" t="s">
        <v>590</v>
      </c>
      <c r="D357" s="11" t="s">
        <v>246</v>
      </c>
      <c r="E357" s="19" t="s">
        <v>733</v>
      </c>
      <c r="F357" s="10">
        <v>45992</v>
      </c>
      <c r="G357" s="10">
        <v>45992</v>
      </c>
      <c r="H357" s="11">
        <v>1</v>
      </c>
      <c r="I357" s="11" t="s">
        <v>651</v>
      </c>
      <c r="J357" s="11" t="s">
        <v>247</v>
      </c>
      <c r="K357" s="11" t="s">
        <v>248</v>
      </c>
      <c r="L357" s="11">
        <v>3</v>
      </c>
    </row>
    <row r="358" spans="1:12" x14ac:dyDescent="0.2">
      <c r="A358" s="11" t="s">
        <v>591</v>
      </c>
      <c r="D358" s="11" t="s">
        <v>246</v>
      </c>
      <c r="E358" s="19" t="s">
        <v>734</v>
      </c>
      <c r="F358" s="10">
        <v>45992</v>
      </c>
      <c r="G358" s="10">
        <v>45992</v>
      </c>
      <c r="H358" s="11">
        <v>1</v>
      </c>
      <c r="I358" s="11" t="s">
        <v>651</v>
      </c>
      <c r="J358" s="11" t="s">
        <v>247</v>
      </c>
      <c r="K358" s="11" t="s">
        <v>248</v>
      </c>
      <c r="L358" s="11">
        <v>3</v>
      </c>
    </row>
    <row r="359" spans="1:12" x14ac:dyDescent="0.2">
      <c r="A359" s="11" t="s">
        <v>592</v>
      </c>
      <c r="D359" s="11" t="s">
        <v>246</v>
      </c>
      <c r="E359" s="19" t="s">
        <v>735</v>
      </c>
      <c r="F359" s="10">
        <v>45992</v>
      </c>
      <c r="G359" s="10">
        <v>45992</v>
      </c>
      <c r="H359" s="11">
        <v>1</v>
      </c>
      <c r="I359" s="11" t="s">
        <v>651</v>
      </c>
      <c r="J359" s="11" t="s">
        <v>247</v>
      </c>
      <c r="K359" s="11" t="s">
        <v>248</v>
      </c>
      <c r="L359" s="11">
        <v>3</v>
      </c>
    </row>
    <row r="360" spans="1:12" x14ac:dyDescent="0.2">
      <c r="A360" s="11" t="s">
        <v>593</v>
      </c>
      <c r="D360" s="11" t="s">
        <v>246</v>
      </c>
      <c r="E360" s="19" t="s">
        <v>736</v>
      </c>
      <c r="F360" s="10">
        <v>45992</v>
      </c>
      <c r="G360" s="10">
        <v>45992</v>
      </c>
      <c r="H360" s="11">
        <v>1</v>
      </c>
      <c r="I360" s="11" t="s">
        <v>651</v>
      </c>
      <c r="J360" s="11" t="s">
        <v>247</v>
      </c>
      <c r="K360" s="11" t="s">
        <v>248</v>
      </c>
      <c r="L360" s="11">
        <v>3</v>
      </c>
    </row>
    <row r="361" spans="1:12" x14ac:dyDescent="0.2">
      <c r="A361" s="11" t="s">
        <v>594</v>
      </c>
      <c r="D361" s="11" t="s">
        <v>246</v>
      </c>
      <c r="E361" s="19" t="s">
        <v>737</v>
      </c>
      <c r="F361" s="10">
        <v>45992</v>
      </c>
      <c r="G361" s="10">
        <v>45992</v>
      </c>
      <c r="H361" s="11">
        <v>1</v>
      </c>
      <c r="I361" s="11" t="s">
        <v>651</v>
      </c>
      <c r="J361" s="11" t="s">
        <v>247</v>
      </c>
      <c r="K361" s="11" t="s">
        <v>248</v>
      </c>
      <c r="L361" s="11">
        <v>3</v>
      </c>
    </row>
    <row r="362" spans="1:12" x14ac:dyDescent="0.2">
      <c r="A362" s="11" t="s">
        <v>595</v>
      </c>
      <c r="D362" s="11" t="s">
        <v>246</v>
      </c>
      <c r="E362" s="19" t="s">
        <v>738</v>
      </c>
      <c r="F362" s="10">
        <v>45992</v>
      </c>
      <c r="G362" s="10">
        <v>45992</v>
      </c>
      <c r="H362" s="11">
        <v>1</v>
      </c>
      <c r="I362" s="11" t="s">
        <v>651</v>
      </c>
      <c r="J362" s="11" t="s">
        <v>247</v>
      </c>
      <c r="K362" s="11" t="s">
        <v>248</v>
      </c>
      <c r="L362" s="11">
        <v>3</v>
      </c>
    </row>
    <row r="363" spans="1:12" x14ac:dyDescent="0.2">
      <c r="A363" s="11" t="s">
        <v>596</v>
      </c>
      <c r="D363" s="11" t="s">
        <v>246</v>
      </c>
      <c r="E363" s="19" t="s">
        <v>739</v>
      </c>
      <c r="F363" s="10">
        <v>45992</v>
      </c>
      <c r="G363" s="10">
        <v>45992</v>
      </c>
      <c r="H363" s="11">
        <v>1</v>
      </c>
      <c r="I363" s="11" t="s">
        <v>651</v>
      </c>
      <c r="J363" s="11" t="s">
        <v>247</v>
      </c>
      <c r="K363" s="11" t="s">
        <v>248</v>
      </c>
      <c r="L363" s="11">
        <v>3</v>
      </c>
    </row>
    <row r="364" spans="1:12" x14ac:dyDescent="0.2">
      <c r="A364" s="11" t="s">
        <v>597</v>
      </c>
      <c r="D364" s="11" t="s">
        <v>246</v>
      </c>
      <c r="E364" s="19" t="s">
        <v>740</v>
      </c>
      <c r="F364" s="10">
        <v>45992</v>
      </c>
      <c r="G364" s="10">
        <v>45992</v>
      </c>
      <c r="H364" s="11">
        <v>1</v>
      </c>
      <c r="I364" s="11" t="s">
        <v>651</v>
      </c>
      <c r="J364" s="11" t="s">
        <v>247</v>
      </c>
      <c r="K364" s="11" t="s">
        <v>248</v>
      </c>
      <c r="L364" s="11">
        <v>3</v>
      </c>
    </row>
    <row r="365" spans="1:12" x14ac:dyDescent="0.2">
      <c r="A365" s="11" t="s">
        <v>598</v>
      </c>
      <c r="D365" s="11" t="s">
        <v>246</v>
      </c>
      <c r="E365" s="19" t="s">
        <v>741</v>
      </c>
      <c r="F365" s="10">
        <v>45992</v>
      </c>
      <c r="G365" s="10">
        <v>45992</v>
      </c>
      <c r="H365" s="11">
        <v>1</v>
      </c>
      <c r="I365" s="11" t="s">
        <v>651</v>
      </c>
      <c r="J365" s="11" t="s">
        <v>247</v>
      </c>
      <c r="K365" s="11" t="s">
        <v>248</v>
      </c>
      <c r="L365" s="11">
        <v>3</v>
      </c>
    </row>
    <row r="366" spans="1:12" x14ac:dyDescent="0.2">
      <c r="A366" s="11" t="s">
        <v>599</v>
      </c>
      <c r="D366" s="11" t="s">
        <v>246</v>
      </c>
      <c r="E366" s="19" t="s">
        <v>742</v>
      </c>
      <c r="F366" s="10">
        <v>45992</v>
      </c>
      <c r="G366" s="10">
        <v>45992</v>
      </c>
      <c r="H366" s="11">
        <v>1</v>
      </c>
      <c r="I366" s="11" t="s">
        <v>651</v>
      </c>
      <c r="J366" s="11" t="s">
        <v>247</v>
      </c>
      <c r="K366" s="11" t="s">
        <v>248</v>
      </c>
      <c r="L366" s="11">
        <v>3</v>
      </c>
    </row>
    <row r="367" spans="1:12" x14ac:dyDescent="0.2">
      <c r="A367" s="11" t="s">
        <v>600</v>
      </c>
      <c r="D367" s="11" t="s">
        <v>246</v>
      </c>
      <c r="E367" s="19" t="s">
        <v>743</v>
      </c>
      <c r="F367" s="10">
        <v>45992</v>
      </c>
      <c r="G367" s="10">
        <v>45992</v>
      </c>
      <c r="H367" s="11">
        <v>1</v>
      </c>
      <c r="I367" s="11" t="s">
        <v>651</v>
      </c>
      <c r="J367" s="11" t="s">
        <v>247</v>
      </c>
      <c r="K367" s="11" t="s">
        <v>248</v>
      </c>
      <c r="L367" s="11">
        <v>3</v>
      </c>
    </row>
    <row r="368" spans="1:12" x14ac:dyDescent="0.2">
      <c r="A368" s="11" t="s">
        <v>601</v>
      </c>
      <c r="D368" s="11" t="s">
        <v>246</v>
      </c>
      <c r="E368" s="19" t="s">
        <v>744</v>
      </c>
      <c r="F368" s="10">
        <v>45992</v>
      </c>
      <c r="G368" s="10">
        <v>45992</v>
      </c>
      <c r="H368" s="11">
        <v>1</v>
      </c>
      <c r="I368" s="11" t="s">
        <v>651</v>
      </c>
      <c r="J368" s="11" t="s">
        <v>247</v>
      </c>
      <c r="K368" s="11" t="s">
        <v>248</v>
      </c>
      <c r="L368" s="11">
        <v>3</v>
      </c>
    </row>
    <row r="369" spans="1:12" x14ac:dyDescent="0.2">
      <c r="A369" s="11" t="s">
        <v>602</v>
      </c>
      <c r="D369" s="11" t="s">
        <v>246</v>
      </c>
      <c r="E369" s="19" t="s">
        <v>745</v>
      </c>
      <c r="F369" s="10">
        <v>45992</v>
      </c>
      <c r="G369" s="10">
        <v>45992</v>
      </c>
      <c r="H369" s="11">
        <v>1</v>
      </c>
      <c r="I369" s="11" t="s">
        <v>651</v>
      </c>
      <c r="J369" s="11" t="s">
        <v>247</v>
      </c>
      <c r="K369" s="11" t="s">
        <v>248</v>
      </c>
      <c r="L369" s="11">
        <v>3</v>
      </c>
    </row>
    <row r="370" spans="1:12" x14ac:dyDescent="0.2">
      <c r="A370" s="11" t="s">
        <v>603</v>
      </c>
      <c r="D370" s="11" t="s">
        <v>246</v>
      </c>
      <c r="E370" s="19" t="s">
        <v>746</v>
      </c>
      <c r="F370" s="10">
        <v>45992</v>
      </c>
      <c r="G370" s="10">
        <v>45992</v>
      </c>
      <c r="H370" s="11">
        <v>1</v>
      </c>
      <c r="I370" s="11" t="s">
        <v>651</v>
      </c>
      <c r="J370" s="11" t="s">
        <v>247</v>
      </c>
      <c r="K370" s="11" t="s">
        <v>248</v>
      </c>
      <c r="L370" s="11">
        <v>3</v>
      </c>
    </row>
    <row r="371" spans="1:12" x14ac:dyDescent="0.2">
      <c r="A371" s="11" t="s">
        <v>604</v>
      </c>
      <c r="D371" s="11" t="s">
        <v>246</v>
      </c>
      <c r="E371" s="19" t="s">
        <v>747</v>
      </c>
      <c r="F371" s="10">
        <v>45992</v>
      </c>
      <c r="G371" s="10">
        <v>45992</v>
      </c>
      <c r="H371" s="11">
        <v>1</v>
      </c>
      <c r="I371" s="11" t="s">
        <v>651</v>
      </c>
      <c r="J371" s="11" t="s">
        <v>247</v>
      </c>
      <c r="K371" s="11" t="s">
        <v>248</v>
      </c>
      <c r="L371" s="11">
        <v>3</v>
      </c>
    </row>
    <row r="372" spans="1:12" x14ac:dyDescent="0.2">
      <c r="A372" s="11" t="s">
        <v>605</v>
      </c>
      <c r="D372" s="11" t="s">
        <v>246</v>
      </c>
      <c r="E372" s="19" t="s">
        <v>748</v>
      </c>
      <c r="F372" s="10">
        <v>45992</v>
      </c>
      <c r="G372" s="10">
        <v>45992</v>
      </c>
      <c r="H372" s="11">
        <v>1</v>
      </c>
      <c r="I372" s="11" t="s">
        <v>651</v>
      </c>
      <c r="J372" s="11" t="s">
        <v>247</v>
      </c>
      <c r="K372" s="11" t="s">
        <v>248</v>
      </c>
      <c r="L372" s="11">
        <v>3</v>
      </c>
    </row>
    <row r="373" spans="1:12" x14ac:dyDescent="0.2">
      <c r="A373" s="11" t="s">
        <v>606</v>
      </c>
      <c r="D373" s="11" t="s">
        <v>246</v>
      </c>
      <c r="E373" s="19" t="s">
        <v>749</v>
      </c>
      <c r="F373" s="10">
        <v>45992</v>
      </c>
      <c r="G373" s="10">
        <v>45992</v>
      </c>
      <c r="H373" s="11">
        <v>1</v>
      </c>
      <c r="I373" s="11" t="s">
        <v>651</v>
      </c>
      <c r="J373" s="11" t="s">
        <v>247</v>
      </c>
      <c r="K373" s="11" t="s">
        <v>248</v>
      </c>
      <c r="L373" s="11">
        <v>3</v>
      </c>
    </row>
    <row r="374" spans="1:12" x14ac:dyDescent="0.2">
      <c r="A374" s="11" t="s">
        <v>607</v>
      </c>
      <c r="D374" s="11" t="s">
        <v>246</v>
      </c>
      <c r="E374" s="19" t="s">
        <v>750</v>
      </c>
      <c r="F374" s="10">
        <v>45992</v>
      </c>
      <c r="G374" s="10">
        <v>45992</v>
      </c>
      <c r="H374" s="11">
        <v>1</v>
      </c>
      <c r="I374" s="11" t="s">
        <v>651</v>
      </c>
      <c r="J374" s="11" t="s">
        <v>247</v>
      </c>
      <c r="K374" s="11" t="s">
        <v>248</v>
      </c>
      <c r="L374" s="11">
        <v>3</v>
      </c>
    </row>
    <row r="375" spans="1:12" x14ac:dyDescent="0.2">
      <c r="A375" s="11" t="s">
        <v>607</v>
      </c>
      <c r="D375" s="11" t="s">
        <v>246</v>
      </c>
      <c r="E375" s="19" t="s">
        <v>751</v>
      </c>
      <c r="F375" s="10">
        <v>45992</v>
      </c>
      <c r="G375" s="10">
        <v>45992</v>
      </c>
      <c r="H375" s="11">
        <v>1</v>
      </c>
      <c r="I375" s="11" t="s">
        <v>651</v>
      </c>
      <c r="J375" s="11" t="s">
        <v>247</v>
      </c>
      <c r="K375" s="11" t="s">
        <v>248</v>
      </c>
      <c r="L375" s="11">
        <v>3</v>
      </c>
    </row>
    <row r="376" spans="1:12" x14ac:dyDescent="0.2">
      <c r="A376" s="11" t="s">
        <v>608</v>
      </c>
      <c r="D376" s="11" t="s">
        <v>246</v>
      </c>
      <c r="E376" s="19" t="s">
        <v>752</v>
      </c>
      <c r="F376" s="10">
        <v>45992</v>
      </c>
      <c r="G376" s="10">
        <v>45992</v>
      </c>
      <c r="H376" s="11">
        <v>1</v>
      </c>
      <c r="I376" s="11" t="s">
        <v>651</v>
      </c>
      <c r="J376" s="11" t="s">
        <v>247</v>
      </c>
      <c r="K376" s="11" t="s">
        <v>248</v>
      </c>
      <c r="L376" s="11">
        <v>3</v>
      </c>
    </row>
    <row r="377" spans="1:12" x14ac:dyDescent="0.2">
      <c r="A377" s="11" t="s">
        <v>608</v>
      </c>
      <c r="D377" s="11" t="s">
        <v>246</v>
      </c>
      <c r="E377" s="19" t="s">
        <v>753</v>
      </c>
      <c r="F377" s="10">
        <v>45992</v>
      </c>
      <c r="G377" s="10">
        <v>45992</v>
      </c>
      <c r="H377" s="11">
        <v>1</v>
      </c>
      <c r="I377" s="11" t="s">
        <v>651</v>
      </c>
      <c r="J377" s="11" t="s">
        <v>247</v>
      </c>
      <c r="K377" s="11" t="s">
        <v>248</v>
      </c>
      <c r="L377" s="11">
        <v>3</v>
      </c>
    </row>
    <row r="378" spans="1:12" x14ac:dyDescent="0.2">
      <c r="A378" s="11" t="s">
        <v>609</v>
      </c>
      <c r="D378" s="11" t="s">
        <v>246</v>
      </c>
      <c r="E378" s="19" t="s">
        <v>754</v>
      </c>
      <c r="F378" s="10">
        <v>45992</v>
      </c>
      <c r="G378" s="10">
        <v>45992</v>
      </c>
      <c r="H378" s="11">
        <v>1</v>
      </c>
      <c r="I378" s="11" t="s">
        <v>651</v>
      </c>
      <c r="J378" s="11" t="s">
        <v>247</v>
      </c>
      <c r="K378" s="11" t="s">
        <v>248</v>
      </c>
      <c r="L378" s="11">
        <v>3</v>
      </c>
    </row>
    <row r="379" spans="1:12" x14ac:dyDescent="0.2">
      <c r="A379" s="11" t="s">
        <v>610</v>
      </c>
      <c r="D379" s="11" t="s">
        <v>246</v>
      </c>
      <c r="E379" s="19" t="s">
        <v>755</v>
      </c>
      <c r="F379" s="10">
        <v>45992</v>
      </c>
      <c r="G379" s="10">
        <v>45992</v>
      </c>
      <c r="H379" s="11">
        <v>1</v>
      </c>
      <c r="I379" s="11" t="s">
        <v>651</v>
      </c>
      <c r="J379" s="11" t="s">
        <v>247</v>
      </c>
      <c r="K379" s="11" t="s">
        <v>248</v>
      </c>
      <c r="L379" s="11">
        <v>3</v>
      </c>
    </row>
    <row r="380" spans="1:12" x14ac:dyDescent="0.2">
      <c r="A380" s="11" t="s">
        <v>611</v>
      </c>
      <c r="D380" s="11" t="s">
        <v>246</v>
      </c>
      <c r="E380" s="19" t="s">
        <v>756</v>
      </c>
      <c r="F380" s="10">
        <v>45992</v>
      </c>
      <c r="G380" s="10">
        <v>45992</v>
      </c>
      <c r="H380" s="11">
        <v>1</v>
      </c>
      <c r="I380" s="11" t="s">
        <v>651</v>
      </c>
      <c r="J380" s="11" t="s">
        <v>247</v>
      </c>
      <c r="K380" s="11" t="s">
        <v>248</v>
      </c>
      <c r="L380" s="11">
        <v>3</v>
      </c>
    </row>
    <row r="381" spans="1:12" x14ac:dyDescent="0.2">
      <c r="A381" s="11" t="s">
        <v>612</v>
      </c>
      <c r="D381" s="11" t="s">
        <v>246</v>
      </c>
      <c r="E381" s="19" t="s">
        <v>757</v>
      </c>
      <c r="F381" s="10">
        <v>45992</v>
      </c>
      <c r="G381" s="10">
        <v>45992</v>
      </c>
      <c r="H381" s="11">
        <v>1</v>
      </c>
      <c r="I381" s="11" t="s">
        <v>651</v>
      </c>
      <c r="J381" s="11" t="s">
        <v>247</v>
      </c>
      <c r="K381" s="11" t="s">
        <v>248</v>
      </c>
      <c r="L381" s="11">
        <v>3</v>
      </c>
    </row>
    <row r="382" spans="1:12" x14ac:dyDescent="0.2">
      <c r="A382" s="11" t="s">
        <v>613</v>
      </c>
      <c r="D382" s="11" t="s">
        <v>246</v>
      </c>
      <c r="E382" s="19" t="s">
        <v>758</v>
      </c>
      <c r="F382" s="10">
        <v>45992</v>
      </c>
      <c r="G382" s="10">
        <v>45992</v>
      </c>
      <c r="H382" s="11">
        <v>1</v>
      </c>
      <c r="I382" s="11" t="s">
        <v>651</v>
      </c>
      <c r="J382" s="11" t="s">
        <v>247</v>
      </c>
      <c r="K382" s="11" t="s">
        <v>248</v>
      </c>
      <c r="L382" s="11">
        <v>3</v>
      </c>
    </row>
    <row r="383" spans="1:12" x14ac:dyDescent="0.2">
      <c r="A383" s="11" t="s">
        <v>614</v>
      </c>
      <c r="D383" s="11" t="s">
        <v>246</v>
      </c>
      <c r="E383" s="19" t="s">
        <v>759</v>
      </c>
      <c r="F383" s="10">
        <v>45992</v>
      </c>
      <c r="G383" s="10">
        <v>45992</v>
      </c>
      <c r="H383" s="11">
        <v>1</v>
      </c>
      <c r="I383" s="11" t="s">
        <v>651</v>
      </c>
      <c r="J383" s="11" t="s">
        <v>247</v>
      </c>
      <c r="K383" s="11" t="s">
        <v>248</v>
      </c>
      <c r="L383" s="11">
        <v>3</v>
      </c>
    </row>
    <row r="384" spans="1:12" x14ac:dyDescent="0.2">
      <c r="A384" s="11" t="s">
        <v>615</v>
      </c>
      <c r="D384" s="11" t="s">
        <v>246</v>
      </c>
      <c r="E384" s="19" t="s">
        <v>760</v>
      </c>
      <c r="F384" s="10">
        <v>45992</v>
      </c>
      <c r="G384" s="10">
        <v>45992</v>
      </c>
      <c r="H384" s="11">
        <v>1</v>
      </c>
      <c r="I384" s="11" t="s">
        <v>651</v>
      </c>
      <c r="J384" s="11" t="s">
        <v>247</v>
      </c>
      <c r="K384" s="11" t="s">
        <v>248</v>
      </c>
      <c r="L384" s="11">
        <v>3</v>
      </c>
    </row>
    <row r="385" spans="1:12" x14ac:dyDescent="0.2">
      <c r="A385" s="11" t="s">
        <v>616</v>
      </c>
      <c r="D385" s="11" t="s">
        <v>246</v>
      </c>
      <c r="E385" s="19" t="s">
        <v>761</v>
      </c>
      <c r="F385" s="10">
        <v>45992</v>
      </c>
      <c r="G385" s="10">
        <v>45992</v>
      </c>
      <c r="H385" s="11">
        <v>1</v>
      </c>
      <c r="I385" s="11" t="s">
        <v>651</v>
      </c>
      <c r="J385" s="11" t="s">
        <v>247</v>
      </c>
      <c r="K385" s="11" t="s">
        <v>248</v>
      </c>
      <c r="L385" s="11">
        <v>3</v>
      </c>
    </row>
    <row r="386" spans="1:12" x14ac:dyDescent="0.2">
      <c r="A386" s="11" t="s">
        <v>617</v>
      </c>
      <c r="D386" s="11" t="s">
        <v>246</v>
      </c>
      <c r="E386" s="19" t="s">
        <v>762</v>
      </c>
      <c r="F386" s="10">
        <v>45992</v>
      </c>
      <c r="G386" s="10">
        <v>45992</v>
      </c>
      <c r="H386" s="11">
        <v>1</v>
      </c>
      <c r="I386" s="11" t="s">
        <v>651</v>
      </c>
      <c r="J386" s="11" t="s">
        <v>247</v>
      </c>
      <c r="K386" s="11" t="s">
        <v>248</v>
      </c>
      <c r="L386" s="11">
        <v>3</v>
      </c>
    </row>
    <row r="387" spans="1:12" x14ac:dyDescent="0.2">
      <c r="A387" s="11" t="s">
        <v>618</v>
      </c>
      <c r="D387" s="11" t="s">
        <v>246</v>
      </c>
      <c r="E387" s="19" t="s">
        <v>763</v>
      </c>
      <c r="F387" s="10">
        <v>45992</v>
      </c>
      <c r="G387" s="10">
        <v>45992</v>
      </c>
      <c r="H387" s="11">
        <v>1</v>
      </c>
      <c r="I387" s="11" t="s">
        <v>651</v>
      </c>
      <c r="J387" s="11" t="s">
        <v>247</v>
      </c>
      <c r="K387" s="11" t="s">
        <v>248</v>
      </c>
      <c r="L387" s="11">
        <v>3</v>
      </c>
    </row>
    <row r="388" spans="1:12" x14ac:dyDescent="0.2">
      <c r="A388" s="11" t="s">
        <v>619</v>
      </c>
      <c r="D388" s="11" t="s">
        <v>246</v>
      </c>
      <c r="E388" s="19" t="s">
        <v>764</v>
      </c>
      <c r="F388" s="10">
        <v>45992</v>
      </c>
      <c r="G388" s="10">
        <v>45992</v>
      </c>
      <c r="H388" s="11">
        <v>1</v>
      </c>
      <c r="I388" s="11" t="s">
        <v>651</v>
      </c>
      <c r="J388" s="11" t="s">
        <v>247</v>
      </c>
      <c r="K388" s="11" t="s">
        <v>248</v>
      </c>
      <c r="L388" s="11">
        <v>3</v>
      </c>
    </row>
    <row r="389" spans="1:12" x14ac:dyDescent="0.2">
      <c r="A389" s="11" t="s">
        <v>620</v>
      </c>
      <c r="D389" s="11" t="s">
        <v>246</v>
      </c>
      <c r="E389" s="19" t="s">
        <v>765</v>
      </c>
      <c r="F389" s="10">
        <v>45992</v>
      </c>
      <c r="G389" s="10">
        <v>45992</v>
      </c>
      <c r="H389" s="11">
        <v>1</v>
      </c>
      <c r="I389" s="11" t="s">
        <v>651</v>
      </c>
      <c r="J389" s="11" t="s">
        <v>247</v>
      </c>
      <c r="K389" s="11" t="s">
        <v>248</v>
      </c>
      <c r="L389" s="11">
        <v>3</v>
      </c>
    </row>
    <row r="390" spans="1:12" x14ac:dyDescent="0.2">
      <c r="A390" s="11" t="s">
        <v>621</v>
      </c>
      <c r="D390" s="11" t="s">
        <v>246</v>
      </c>
      <c r="E390" s="19" t="s">
        <v>766</v>
      </c>
      <c r="F390" s="10">
        <v>45992</v>
      </c>
      <c r="G390" s="10">
        <v>45992</v>
      </c>
      <c r="H390" s="11">
        <v>1</v>
      </c>
      <c r="I390" s="11" t="s">
        <v>651</v>
      </c>
      <c r="J390" s="11" t="s">
        <v>247</v>
      </c>
      <c r="K390" s="11" t="s">
        <v>248</v>
      </c>
      <c r="L390" s="11">
        <v>3</v>
      </c>
    </row>
    <row r="391" spans="1:12" x14ac:dyDescent="0.2">
      <c r="A391" s="11" t="s">
        <v>622</v>
      </c>
      <c r="D391" s="11" t="s">
        <v>246</v>
      </c>
      <c r="E391" s="19" t="s">
        <v>767</v>
      </c>
      <c r="F391" s="10">
        <v>45992</v>
      </c>
      <c r="G391" s="10">
        <v>45992</v>
      </c>
      <c r="H391" s="11">
        <v>1</v>
      </c>
      <c r="I391" s="11" t="s">
        <v>651</v>
      </c>
      <c r="J391" s="11" t="s">
        <v>247</v>
      </c>
      <c r="K391" s="11" t="s">
        <v>248</v>
      </c>
      <c r="L391" s="11">
        <v>3</v>
      </c>
    </row>
    <row r="392" spans="1:12" x14ac:dyDescent="0.2">
      <c r="A392" s="11" t="s">
        <v>623</v>
      </c>
      <c r="D392" s="11" t="s">
        <v>246</v>
      </c>
      <c r="E392" s="19" t="s">
        <v>768</v>
      </c>
      <c r="F392" s="10">
        <v>45992</v>
      </c>
      <c r="G392" s="10">
        <v>45992</v>
      </c>
      <c r="H392" s="11">
        <v>1</v>
      </c>
      <c r="I392" s="11" t="s">
        <v>651</v>
      </c>
      <c r="J392" s="11" t="s">
        <v>247</v>
      </c>
      <c r="K392" s="11" t="s">
        <v>248</v>
      </c>
      <c r="L392" s="11">
        <v>3</v>
      </c>
    </row>
    <row r="393" spans="1:12" x14ac:dyDescent="0.2">
      <c r="A393" s="11" t="s">
        <v>624</v>
      </c>
      <c r="D393" s="11" t="s">
        <v>246</v>
      </c>
      <c r="E393" s="19" t="s">
        <v>769</v>
      </c>
      <c r="F393" s="10">
        <v>45992</v>
      </c>
      <c r="G393" s="10">
        <v>45992</v>
      </c>
      <c r="H393" s="11">
        <v>1</v>
      </c>
      <c r="I393" s="11" t="s">
        <v>651</v>
      </c>
      <c r="J393" s="11" t="s">
        <v>247</v>
      </c>
      <c r="K393" s="11" t="s">
        <v>248</v>
      </c>
      <c r="L393" s="11">
        <v>3</v>
      </c>
    </row>
    <row r="394" spans="1:12" x14ac:dyDescent="0.2">
      <c r="A394" s="11" t="s">
        <v>625</v>
      </c>
      <c r="D394" s="11" t="s">
        <v>246</v>
      </c>
      <c r="E394" s="19" t="s">
        <v>770</v>
      </c>
      <c r="F394" s="10">
        <v>45992</v>
      </c>
      <c r="G394" s="10">
        <v>45992</v>
      </c>
      <c r="H394" s="11">
        <v>1</v>
      </c>
      <c r="I394" s="11" t="s">
        <v>651</v>
      </c>
      <c r="J394" s="11" t="s">
        <v>247</v>
      </c>
      <c r="K394" s="11" t="s">
        <v>248</v>
      </c>
      <c r="L394" s="11">
        <v>3</v>
      </c>
    </row>
    <row r="395" spans="1:12" x14ac:dyDescent="0.2">
      <c r="A395" s="11" t="s">
        <v>626</v>
      </c>
      <c r="D395" s="11" t="s">
        <v>246</v>
      </c>
      <c r="E395" s="19" t="s">
        <v>771</v>
      </c>
      <c r="F395" s="10">
        <v>45992</v>
      </c>
      <c r="G395" s="10">
        <v>45992</v>
      </c>
      <c r="H395" s="11">
        <v>1</v>
      </c>
      <c r="I395" s="11" t="s">
        <v>651</v>
      </c>
      <c r="J395" s="11" t="s">
        <v>247</v>
      </c>
      <c r="K395" s="11" t="s">
        <v>248</v>
      </c>
      <c r="L395" s="11">
        <v>3</v>
      </c>
    </row>
    <row r="396" spans="1:12" x14ac:dyDescent="0.2">
      <c r="A396" s="11" t="s">
        <v>627</v>
      </c>
      <c r="D396" s="11" t="s">
        <v>246</v>
      </c>
      <c r="E396" s="19" t="s">
        <v>772</v>
      </c>
      <c r="F396" s="10">
        <v>45992</v>
      </c>
      <c r="G396" s="10">
        <v>45992</v>
      </c>
      <c r="H396" s="11">
        <v>1</v>
      </c>
      <c r="I396" s="11" t="s">
        <v>651</v>
      </c>
      <c r="J396" s="11" t="s">
        <v>247</v>
      </c>
      <c r="K396" s="11" t="s">
        <v>248</v>
      </c>
      <c r="L396" s="11">
        <v>3</v>
      </c>
    </row>
    <row r="397" spans="1:12" x14ac:dyDescent="0.2">
      <c r="A397" s="11" t="s">
        <v>628</v>
      </c>
      <c r="D397" s="11" t="s">
        <v>246</v>
      </c>
      <c r="E397" s="19" t="s">
        <v>773</v>
      </c>
      <c r="F397" s="10">
        <v>45992</v>
      </c>
      <c r="G397" s="10">
        <v>45992</v>
      </c>
      <c r="H397" s="11">
        <v>1</v>
      </c>
      <c r="I397" s="11" t="s">
        <v>651</v>
      </c>
      <c r="J397" s="11" t="s">
        <v>247</v>
      </c>
      <c r="K397" s="11" t="s">
        <v>248</v>
      </c>
      <c r="L397" s="11">
        <v>3</v>
      </c>
    </row>
    <row r="398" spans="1:12" x14ac:dyDescent="0.2">
      <c r="A398" s="11" t="s">
        <v>628</v>
      </c>
      <c r="D398" s="11" t="s">
        <v>246</v>
      </c>
      <c r="E398" s="19" t="s">
        <v>774</v>
      </c>
      <c r="F398" s="10">
        <v>45992</v>
      </c>
      <c r="G398" s="10">
        <v>45992</v>
      </c>
      <c r="H398" s="11">
        <v>1</v>
      </c>
      <c r="I398" s="11" t="s">
        <v>651</v>
      </c>
      <c r="J398" s="11" t="s">
        <v>247</v>
      </c>
      <c r="K398" s="11" t="s">
        <v>248</v>
      </c>
      <c r="L398" s="11">
        <v>3</v>
      </c>
    </row>
    <row r="399" spans="1:12" x14ac:dyDescent="0.2">
      <c r="A399" s="11" t="s">
        <v>629</v>
      </c>
      <c r="D399" s="11" t="s">
        <v>246</v>
      </c>
      <c r="E399" s="19" t="s">
        <v>775</v>
      </c>
      <c r="F399" s="10">
        <v>45992</v>
      </c>
      <c r="G399" s="10">
        <v>45992</v>
      </c>
      <c r="H399" s="11">
        <v>1</v>
      </c>
      <c r="I399" s="11" t="s">
        <v>651</v>
      </c>
      <c r="J399" s="11" t="s">
        <v>247</v>
      </c>
      <c r="K399" s="11" t="s">
        <v>248</v>
      </c>
      <c r="L399" s="11">
        <v>3</v>
      </c>
    </row>
    <row r="400" spans="1:12" x14ac:dyDescent="0.2">
      <c r="A400" s="11" t="s">
        <v>630</v>
      </c>
      <c r="D400" s="11" t="s">
        <v>246</v>
      </c>
      <c r="E400" s="19" t="s">
        <v>776</v>
      </c>
      <c r="F400" s="10">
        <v>45992</v>
      </c>
      <c r="G400" s="10">
        <v>45992</v>
      </c>
      <c r="H400" s="11">
        <v>1</v>
      </c>
      <c r="I400" s="11" t="s">
        <v>651</v>
      </c>
      <c r="J400" s="11" t="s">
        <v>247</v>
      </c>
      <c r="K400" s="11" t="s">
        <v>248</v>
      </c>
      <c r="L400" s="11">
        <v>3</v>
      </c>
    </row>
    <row r="401" spans="1:12" x14ac:dyDescent="0.2">
      <c r="A401" s="11" t="s">
        <v>631</v>
      </c>
      <c r="D401" s="11" t="s">
        <v>246</v>
      </c>
      <c r="E401" s="19" t="s">
        <v>777</v>
      </c>
      <c r="F401" s="10">
        <v>45992</v>
      </c>
      <c r="G401" s="10">
        <v>45992</v>
      </c>
      <c r="H401" s="11">
        <v>1</v>
      </c>
      <c r="I401" s="11" t="s">
        <v>651</v>
      </c>
      <c r="J401" s="11" t="s">
        <v>247</v>
      </c>
      <c r="K401" s="11" t="s">
        <v>248</v>
      </c>
      <c r="L401" s="11">
        <v>3</v>
      </c>
    </row>
    <row r="402" spans="1:12" x14ac:dyDescent="0.2">
      <c r="A402" s="11" t="s">
        <v>632</v>
      </c>
      <c r="D402" s="11" t="s">
        <v>246</v>
      </c>
      <c r="E402" s="19" t="s">
        <v>778</v>
      </c>
      <c r="F402" s="10">
        <v>45992</v>
      </c>
      <c r="G402" s="10">
        <v>45992</v>
      </c>
      <c r="H402" s="11">
        <v>1</v>
      </c>
      <c r="I402" s="11" t="s">
        <v>651</v>
      </c>
      <c r="J402" s="11" t="s">
        <v>247</v>
      </c>
      <c r="K402" s="11" t="s">
        <v>248</v>
      </c>
      <c r="L402" s="11">
        <v>3</v>
      </c>
    </row>
    <row r="403" spans="1:12" x14ac:dyDescent="0.2">
      <c r="A403" s="11" t="s">
        <v>633</v>
      </c>
      <c r="D403" s="11" t="s">
        <v>246</v>
      </c>
      <c r="E403" s="19" t="s">
        <v>779</v>
      </c>
      <c r="F403" s="10">
        <v>45992</v>
      </c>
      <c r="G403" s="10">
        <v>45992</v>
      </c>
      <c r="H403" s="11">
        <v>1</v>
      </c>
      <c r="I403" s="11" t="s">
        <v>651</v>
      </c>
      <c r="J403" s="11" t="s">
        <v>247</v>
      </c>
      <c r="K403" s="11" t="s">
        <v>248</v>
      </c>
      <c r="L403" s="11">
        <v>3</v>
      </c>
    </row>
    <row r="404" spans="1:12" x14ac:dyDescent="0.2">
      <c r="A404" s="11" t="s">
        <v>633</v>
      </c>
      <c r="D404" s="11" t="s">
        <v>246</v>
      </c>
      <c r="E404" s="19" t="s">
        <v>780</v>
      </c>
      <c r="F404" s="10">
        <v>45992</v>
      </c>
      <c r="G404" s="10">
        <v>45992</v>
      </c>
      <c r="H404" s="11">
        <v>1</v>
      </c>
      <c r="I404" s="11" t="s">
        <v>651</v>
      </c>
      <c r="J404" s="11" t="s">
        <v>247</v>
      </c>
      <c r="K404" s="11" t="s">
        <v>248</v>
      </c>
      <c r="L404" s="11">
        <v>3</v>
      </c>
    </row>
    <row r="405" spans="1:12" x14ac:dyDescent="0.2">
      <c r="A405" s="11" t="s">
        <v>634</v>
      </c>
      <c r="D405" s="11" t="s">
        <v>246</v>
      </c>
      <c r="E405" s="19" t="s">
        <v>781</v>
      </c>
      <c r="F405" s="10">
        <v>45992</v>
      </c>
      <c r="G405" s="10">
        <v>45992</v>
      </c>
      <c r="H405" s="11">
        <v>1</v>
      </c>
      <c r="I405" s="11" t="s">
        <v>651</v>
      </c>
      <c r="J405" s="11" t="s">
        <v>247</v>
      </c>
      <c r="K405" s="11" t="s">
        <v>248</v>
      </c>
      <c r="L405" s="11">
        <v>3</v>
      </c>
    </row>
    <row r="406" spans="1:12" x14ac:dyDescent="0.2">
      <c r="A406" s="11" t="s">
        <v>635</v>
      </c>
      <c r="D406" s="11" t="s">
        <v>246</v>
      </c>
      <c r="E406" s="19" t="s">
        <v>782</v>
      </c>
      <c r="F406" s="10">
        <v>45992</v>
      </c>
      <c r="G406" s="10">
        <v>45992</v>
      </c>
      <c r="H406" s="11">
        <v>1</v>
      </c>
      <c r="I406" s="11" t="s">
        <v>651</v>
      </c>
      <c r="J406" s="11" t="s">
        <v>247</v>
      </c>
      <c r="K406" s="11" t="s">
        <v>248</v>
      </c>
      <c r="L406" s="11">
        <v>3</v>
      </c>
    </row>
    <row r="407" spans="1:12" x14ac:dyDescent="0.2">
      <c r="A407" s="11" t="s">
        <v>636</v>
      </c>
      <c r="D407" s="11" t="s">
        <v>246</v>
      </c>
      <c r="E407" s="19" t="s">
        <v>783</v>
      </c>
      <c r="F407" s="10">
        <v>45992</v>
      </c>
      <c r="G407" s="10">
        <v>45992</v>
      </c>
      <c r="H407" s="11">
        <v>1</v>
      </c>
      <c r="I407" s="11" t="s">
        <v>651</v>
      </c>
      <c r="J407" s="11" t="s">
        <v>247</v>
      </c>
      <c r="K407" s="11" t="s">
        <v>248</v>
      </c>
      <c r="L407" s="11">
        <v>3</v>
      </c>
    </row>
    <row r="409" spans="1:12" x14ac:dyDescent="0.2">
      <c r="A409" s="11" t="s">
        <v>793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325846C" display="A2325846C" xr:uid="{00000000-0004-0000-0000-000001000000}"/>
    <hyperlink ref="E13" location="A2325891R" display="A2325891R" xr:uid="{00000000-0004-0000-0000-000002000000}"/>
    <hyperlink ref="E14" location="A2326206X" display="A2326206X" xr:uid="{00000000-0004-0000-0000-000003000000}"/>
    <hyperlink ref="E15" location="A2327061R" display="A2327061R" xr:uid="{00000000-0004-0000-0000-000004000000}"/>
    <hyperlink ref="E16" location="A2327106J" display="A2327106J" xr:uid="{00000000-0004-0000-0000-000005000000}"/>
    <hyperlink ref="E17" location="A2327151V" display="A2327151V" xr:uid="{00000000-0004-0000-0000-000006000000}"/>
    <hyperlink ref="E18" location="A2327196X" display="A2327196X" xr:uid="{00000000-0004-0000-0000-000007000000}"/>
    <hyperlink ref="E19" location="A2326251K" display="A2326251K" xr:uid="{00000000-0004-0000-0000-000008000000}"/>
    <hyperlink ref="E20" location="A2327241X" display="A2327241X" xr:uid="{00000000-0004-0000-0000-000009000000}"/>
    <hyperlink ref="E21" location="A3604358R" display="A3604358R" xr:uid="{00000000-0004-0000-0000-00000A000000}"/>
    <hyperlink ref="E22" location="A2327286C" display="A2327286C" xr:uid="{00000000-0004-0000-0000-00000B000000}"/>
    <hyperlink ref="E23" location="A2327376J" display="A2327376J" xr:uid="{00000000-0004-0000-0000-00000C000000}"/>
    <hyperlink ref="E24" location="A2327466L" display="A2327466L" xr:uid="{00000000-0004-0000-0000-00000D000000}"/>
    <hyperlink ref="E25" location="A2327511L" display="A2327511L" xr:uid="{00000000-0004-0000-0000-00000E000000}"/>
    <hyperlink ref="E26" location="A2326161F" display="A2326161F" xr:uid="{00000000-0004-0000-0000-00000F000000}"/>
    <hyperlink ref="E27" location="A2326926W" display="A2326926W" xr:uid="{00000000-0004-0000-0000-000010000000}"/>
    <hyperlink ref="E28" location="A2326971J" display="A2326971J" xr:uid="{00000000-0004-0000-0000-000011000000}"/>
    <hyperlink ref="E29" location="A2327016C" display="A2327016C" xr:uid="{00000000-0004-0000-0000-000012000000}"/>
    <hyperlink ref="E30" location="A2330886T" display="A2330886T" xr:uid="{00000000-0004-0000-0000-000013000000}"/>
    <hyperlink ref="E31" location="A2330931T" display="A2330931T" xr:uid="{00000000-0004-0000-0000-000014000000}"/>
    <hyperlink ref="E32" location="A2330976W" display="A2330976W" xr:uid="{00000000-0004-0000-0000-000015000000}"/>
    <hyperlink ref="E33" location="A3604363J" display="A3604363J" xr:uid="{00000000-0004-0000-0000-000016000000}"/>
    <hyperlink ref="E34" location="A2327646W" display="A2327646W" xr:uid="{00000000-0004-0000-0000-000017000000}"/>
    <hyperlink ref="E35" location="A2327691J" display="A2327691J" xr:uid="{00000000-0004-0000-0000-000018000000}"/>
    <hyperlink ref="E36" location="A2329491A" display="A2329491A" xr:uid="{00000000-0004-0000-0000-000019000000}"/>
    <hyperlink ref="E37" location="A2329536V" display="A2329536V" xr:uid="{00000000-0004-0000-0000-00001A000000}"/>
    <hyperlink ref="E38" location="A2331741W" display="A2331741W" xr:uid="{00000000-0004-0000-0000-00001B000000}"/>
    <hyperlink ref="E39" location="A2327781L" display="A2327781L" xr:uid="{00000000-0004-0000-0000-00001C000000}"/>
    <hyperlink ref="E40" location="A3604418F" display="A3604418F" xr:uid="{00000000-0004-0000-0000-00001D000000}"/>
    <hyperlink ref="E41" location="A2327736A" display="A2327736A" xr:uid="{00000000-0004-0000-0000-00001E000000}"/>
    <hyperlink ref="E42" location="A2331786A" display="A2331786A" xr:uid="{00000000-0004-0000-0000-00001F000000}"/>
    <hyperlink ref="E43" location="A2326296R" display="A2326296R" xr:uid="{00000000-0004-0000-0000-000020000000}"/>
    <hyperlink ref="E44" location="A2327556T" display="A2327556T" xr:uid="{00000000-0004-0000-0000-000021000000}"/>
    <hyperlink ref="E45" location="A2327601T" display="A2327601T" xr:uid="{00000000-0004-0000-0000-000022000000}"/>
    <hyperlink ref="E46" location="A2326116V" display="A2326116V" xr:uid="{00000000-0004-0000-0000-000023000000}"/>
    <hyperlink ref="E47" location="A2326746L" display="A2326746L" xr:uid="{00000000-0004-0000-0000-000024000000}"/>
    <hyperlink ref="E48" location="A2328951K" display="A2328951K" xr:uid="{00000000-0004-0000-0000-000025000000}"/>
    <hyperlink ref="E49" location="A2328906X" display="A2328906X" xr:uid="{00000000-0004-0000-0000-000026000000}"/>
    <hyperlink ref="E50" location="A2328861F" display="A2328861F" xr:uid="{00000000-0004-0000-0000-000027000000}"/>
    <hyperlink ref="E51" location="A2326791X" display="A2326791X" xr:uid="{00000000-0004-0000-0000-000028000000}"/>
    <hyperlink ref="E52" location="A2328996R" display="A2328996R" xr:uid="{00000000-0004-0000-0000-000029000000}"/>
    <hyperlink ref="E53" location="A2325936J" display="A2325936J" xr:uid="{00000000-0004-0000-0000-00002A000000}"/>
    <hyperlink ref="E54" location="A3604368V" display="A3604368V" xr:uid="{00000000-0004-0000-0000-00002B000000}"/>
    <hyperlink ref="E55" location="A2329581F" display="A2329581F" xr:uid="{00000000-0004-0000-0000-00002C000000}"/>
    <hyperlink ref="E56" location="A2329716C" display="A2329716C" xr:uid="{00000000-0004-0000-0000-00002D000000}"/>
    <hyperlink ref="E57" location="A2329761R" display="A2329761R" xr:uid="{00000000-0004-0000-0000-00002E000000}"/>
    <hyperlink ref="E58" location="A2326386V" display="A2326386V" xr:uid="{00000000-0004-0000-0000-00002F000000}"/>
    <hyperlink ref="E59" location="A2327916K" display="A2327916K" xr:uid="{00000000-0004-0000-0000-000030000000}"/>
    <hyperlink ref="E60" location="A2327961W" display="A2327961W" xr:uid="{00000000-0004-0000-0000-000031000000}"/>
    <hyperlink ref="E61" location="A2328006T" display="A2328006T" xr:uid="{00000000-0004-0000-0000-000032000000}"/>
    <hyperlink ref="E62" location="A2329806J" display="A2329806J" xr:uid="{00000000-0004-0000-0000-000033000000}"/>
    <hyperlink ref="E63" location="A2329851V" display="A2329851V" xr:uid="{00000000-0004-0000-0000-000034000000}"/>
    <hyperlink ref="E64" location="A2328051C" display="A2328051C" xr:uid="{00000000-0004-0000-0000-000035000000}"/>
    <hyperlink ref="E65" location="A2325981V" display="A2325981V" xr:uid="{00000000-0004-0000-0000-000036000000}"/>
    <hyperlink ref="E66" location="A2331876F" display="A2331876F" xr:uid="{00000000-0004-0000-0000-000037000000}"/>
    <hyperlink ref="E67" location="A2326431V" display="A2326431V" xr:uid="{00000000-0004-0000-0000-000038000000}"/>
    <hyperlink ref="E68" location="A3604373L" display="A3604373L" xr:uid="{00000000-0004-0000-0000-000039000000}"/>
    <hyperlink ref="E69" location="A2329941X" display="A2329941X" xr:uid="{00000000-0004-0000-0000-00003A000000}"/>
    <hyperlink ref="E70" location="A3604413V" display="A3604413V" xr:uid="{00000000-0004-0000-0000-00003B000000}"/>
    <hyperlink ref="E71" location="A2328096J" display="A2328096J" xr:uid="{00000000-0004-0000-0000-00003C000000}"/>
    <hyperlink ref="E72" location="A2329986C" display="A2329986C" xr:uid="{00000000-0004-0000-0000-00003D000000}"/>
    <hyperlink ref="E73" location="A2326521X" display="A2326521X" xr:uid="{00000000-0004-0000-0000-00003E000000}"/>
    <hyperlink ref="E74" location="A2329896X" display="A2329896X" xr:uid="{00000000-0004-0000-0000-00003F000000}"/>
    <hyperlink ref="E75" location="A2328141J" display="A2328141J" xr:uid="{00000000-0004-0000-0000-000040000000}"/>
    <hyperlink ref="E76" location="A2331921F" display="A2331921F" xr:uid="{00000000-0004-0000-0000-000041000000}"/>
    <hyperlink ref="E77" location="A2326026R" display="A2326026R" xr:uid="{00000000-0004-0000-0000-000042000000}"/>
    <hyperlink ref="E78" location="A3604403R" display="A3604403R" xr:uid="{00000000-0004-0000-0000-000043000000}"/>
    <hyperlink ref="E79" location="A2328186L" display="A2328186L" xr:uid="{00000000-0004-0000-0000-000044000000}"/>
    <hyperlink ref="E80" location="A3604433C" display="A3604433C" xr:uid="{00000000-0004-0000-0000-000045000000}"/>
    <hyperlink ref="E81" location="A3604428K" display="A3604428K" xr:uid="{00000000-0004-0000-0000-000046000000}"/>
    <hyperlink ref="E82" location="A3604383T" display="A3604383T" xr:uid="{00000000-0004-0000-0000-000047000000}"/>
    <hyperlink ref="E83" location="A2330031K" display="A2330031K" xr:uid="{00000000-0004-0000-0000-000048000000}"/>
    <hyperlink ref="E84" location="A2328276T" display="A2328276T" xr:uid="{00000000-0004-0000-0000-000049000000}"/>
    <hyperlink ref="E85" location="A2331021X" display="A2331021X" xr:uid="{00000000-0004-0000-0000-00004A000000}"/>
    <hyperlink ref="E86" location="A2331066C" display="A2331066C" xr:uid="{00000000-0004-0000-0000-00004B000000}"/>
    <hyperlink ref="E87" location="A2328321T" display="A2328321T" xr:uid="{00000000-0004-0000-0000-00004C000000}"/>
    <hyperlink ref="E88" location="A2330076R" display="A2330076R" xr:uid="{00000000-0004-0000-0000-00004D000000}"/>
    <hyperlink ref="E89" location="A2328366W" display="A2328366W" xr:uid="{00000000-0004-0000-0000-00004E000000}"/>
    <hyperlink ref="E90" location="A2329221A" display="A2329221A" xr:uid="{00000000-0004-0000-0000-00004F000000}"/>
    <hyperlink ref="E91" location="A2330121R" display="A2330121R" xr:uid="{00000000-0004-0000-0000-000050000000}"/>
    <hyperlink ref="E92" location="A2330166V" display="A2330166V" xr:uid="{00000000-0004-0000-0000-000051000000}"/>
    <hyperlink ref="E93" location="A2331606F" display="A2331606F" xr:uid="{00000000-0004-0000-0000-000052000000}"/>
    <hyperlink ref="E94" location="A2329266F" display="A2329266F" xr:uid="{00000000-0004-0000-0000-000053000000}"/>
    <hyperlink ref="E95" location="A2331696W" display="A2331696W" xr:uid="{00000000-0004-0000-0000-000054000000}"/>
    <hyperlink ref="E96" location="A2331111C" display="A2331111C" xr:uid="{00000000-0004-0000-0000-000055000000}"/>
    <hyperlink ref="E97" location="A3604438R" display="A3604438R" xr:uid="{00000000-0004-0000-0000-000056000000}"/>
    <hyperlink ref="E98" location="A2329176A" display="A2329176A" xr:uid="{00000000-0004-0000-0000-000057000000}"/>
    <hyperlink ref="E99" location="A2329086W" display="A2329086W" xr:uid="{00000000-0004-0000-0000-000058000000}"/>
    <hyperlink ref="E100" location="A3604388C" display="A3604388C" xr:uid="{00000000-0004-0000-0000-000059000000}"/>
    <hyperlink ref="E101" location="A2329041T" display="A2329041T" xr:uid="{00000000-0004-0000-0000-00005A000000}"/>
    <hyperlink ref="E102" location="A2329131W" display="A2329131W" xr:uid="{00000000-0004-0000-0000-00005B000000}"/>
    <hyperlink ref="E103" location="A2326071A" display="A2326071A" xr:uid="{00000000-0004-0000-0000-00005C000000}"/>
    <hyperlink ref="E104" location="A2326656J" display="A2326656J" xr:uid="{00000000-0004-0000-0000-00005D000000}"/>
    <hyperlink ref="E105" location="A2328591T" display="A2328591T" xr:uid="{00000000-0004-0000-0000-00005E000000}"/>
    <hyperlink ref="E106" location="A2328726R" display="A2328726R" xr:uid="{00000000-0004-0000-0000-00005F000000}"/>
    <hyperlink ref="E107" location="A2328636K" display="A2328636K" xr:uid="{00000000-0004-0000-0000-000060000000}"/>
    <hyperlink ref="E108" location="A2328771A" display="A2328771A" xr:uid="{00000000-0004-0000-0000-000061000000}"/>
    <hyperlink ref="E109" location="A2328681W" display="A2328681W" xr:uid="{00000000-0004-0000-0000-000062000000}"/>
    <hyperlink ref="E110" location="A2326701J" display="A2326701J" xr:uid="{00000000-0004-0000-0000-000063000000}"/>
    <hyperlink ref="E111" location="A2328816V" display="A2328816V" xr:uid="{00000000-0004-0000-0000-000064000000}"/>
    <hyperlink ref="E112" location="A2331201J" display="A2331201J" xr:uid="{00000000-0004-0000-0000-000065000000}"/>
    <hyperlink ref="E113" location="A2326611C" display="A2326611C" xr:uid="{00000000-0004-0000-0000-000066000000}"/>
    <hyperlink ref="E114" location="A2328501A" display="A2328501A" xr:uid="{00000000-0004-0000-0000-000067000000}"/>
    <hyperlink ref="E115" location="A2328546F" display="A2328546F" xr:uid="{00000000-0004-0000-0000-000068000000}"/>
    <hyperlink ref="E116" location="A2331246L" display="A2331246L" xr:uid="{00000000-0004-0000-0000-000069000000}"/>
    <hyperlink ref="E117" location="A3604423X" display="A3604423X" xr:uid="{00000000-0004-0000-0000-00006A000000}"/>
    <hyperlink ref="E118" location="A2329311F" display="A2329311F" xr:uid="{00000000-0004-0000-0000-00006B000000}"/>
    <hyperlink ref="E119" location="A3604443J" display="A3604443J" xr:uid="{00000000-0004-0000-0000-00006C000000}"/>
    <hyperlink ref="E120" location="A3604408A" display="A3604408A" xr:uid="{00000000-0004-0000-0000-00006D000000}"/>
    <hyperlink ref="E121" location="A2330211V" display="A2330211V" xr:uid="{00000000-0004-0000-0000-00006E000000}"/>
    <hyperlink ref="E122" location="A3604393W" display="A3604393W" xr:uid="{00000000-0004-0000-0000-00006F000000}"/>
    <hyperlink ref="E123" location="A2326881C" display="A2326881C" xr:uid="{00000000-0004-0000-0000-000070000000}"/>
    <hyperlink ref="E124" location="A2329356K" display="A2329356K" xr:uid="{00000000-0004-0000-0000-000071000000}"/>
    <hyperlink ref="E125" location="A2329401K" display="A2329401K" xr:uid="{00000000-0004-0000-0000-000072000000}"/>
    <hyperlink ref="E126" location="A2331381C" display="A2331381C" xr:uid="{00000000-0004-0000-0000-000073000000}"/>
    <hyperlink ref="E127" location="A2330346C" display="A2330346C" xr:uid="{00000000-0004-0000-0000-000074000000}"/>
    <hyperlink ref="E128" location="A2330391R" display="A2330391R" xr:uid="{00000000-0004-0000-0000-000075000000}"/>
    <hyperlink ref="E129" location="A2328456A" display="A2328456A" xr:uid="{00000000-0004-0000-0000-000076000000}"/>
    <hyperlink ref="E130" location="A2328411W" display="A2328411W" xr:uid="{00000000-0004-0000-0000-000077000000}"/>
    <hyperlink ref="E131" location="A2330436J" display="A2330436J" xr:uid="{00000000-0004-0000-0000-000078000000}"/>
    <hyperlink ref="E132" location="A2330481V" display="A2330481V" xr:uid="{00000000-0004-0000-0000-000079000000}"/>
    <hyperlink ref="E133" location="A2331426W" display="A2331426W" xr:uid="{00000000-0004-0000-0000-00007A000000}"/>
    <hyperlink ref="E134" location="A2329446R" display="A2329446R" xr:uid="{00000000-0004-0000-0000-00007B000000}"/>
    <hyperlink ref="E135" location="A2331471J" display="A2331471J" xr:uid="{00000000-0004-0000-0000-00007C000000}"/>
    <hyperlink ref="E136" location="A2331516A" display="A2331516A" xr:uid="{00000000-0004-0000-0000-00007D000000}"/>
    <hyperlink ref="E137" location="A2331561L" display="A2331561L" xr:uid="{00000000-0004-0000-0000-00007E000000}"/>
    <hyperlink ref="E138" location="A2332596F" display="A2332596F" xr:uid="{00000000-0004-0000-0000-00007F000000}"/>
    <hyperlink ref="E139" location="A3602833C" display="A3602833C" xr:uid="{00000000-0004-0000-0000-000080000000}"/>
    <hyperlink ref="E140" location="A3602878J" display="A3602878J" xr:uid="{00000000-0004-0000-0000-000081000000}"/>
    <hyperlink ref="E141" location="A3604453L" display="A3604453L" xr:uid="{00000000-0004-0000-0000-000082000000}"/>
    <hyperlink ref="E142" location="A3604448V" display="A3604448V" xr:uid="{00000000-0004-0000-0000-000083000000}"/>
    <hyperlink ref="E143" location="A2332776R" display="A2332776R" xr:uid="{00000000-0004-0000-0000-000084000000}"/>
    <hyperlink ref="E144" location="A2325850V" display="A2325850V" xr:uid="{00000000-0004-0000-0000-000085000000}"/>
    <hyperlink ref="E145" location="A2325895X" display="A2325895X" xr:uid="{00000000-0004-0000-0000-000086000000}"/>
    <hyperlink ref="E146" location="A2326210R" display="A2326210R" xr:uid="{00000000-0004-0000-0000-000087000000}"/>
    <hyperlink ref="E147" location="A2327065X" display="A2327065X" xr:uid="{00000000-0004-0000-0000-000088000000}"/>
    <hyperlink ref="E148" location="A2327110X" display="A2327110X" xr:uid="{00000000-0004-0000-0000-000089000000}"/>
    <hyperlink ref="E149" location="A2327155C" display="A2327155C" xr:uid="{00000000-0004-0000-0000-00008A000000}"/>
    <hyperlink ref="E150" location="A2327200C" display="A2327200C" xr:uid="{00000000-0004-0000-0000-00008B000000}"/>
    <hyperlink ref="E151" location="A2326255V" display="A2326255V" xr:uid="{00000000-0004-0000-0000-00008C000000}"/>
    <hyperlink ref="E152" location="A2327245J" display="A2327245J" xr:uid="{00000000-0004-0000-0000-00008D000000}"/>
    <hyperlink ref="E153" location="A3604362F" display="A3604362F" xr:uid="{00000000-0004-0000-0000-00008E000000}"/>
    <hyperlink ref="E154" location="A2327290V" display="A2327290V" xr:uid="{00000000-0004-0000-0000-00008F000000}"/>
    <hyperlink ref="E155" location="A2327380X" display="A2327380X" xr:uid="{00000000-0004-0000-0000-000090000000}"/>
    <hyperlink ref="E156" location="A2327470C" display="A2327470C" xr:uid="{00000000-0004-0000-0000-000091000000}"/>
    <hyperlink ref="E157" location="A2327515W" display="A2327515W" xr:uid="{00000000-0004-0000-0000-000092000000}"/>
    <hyperlink ref="E158" location="A2326165R" display="A2326165R" xr:uid="{00000000-0004-0000-0000-000093000000}"/>
    <hyperlink ref="E159" location="A2326930L" display="A2326930L" xr:uid="{00000000-0004-0000-0000-000094000000}"/>
    <hyperlink ref="E160" location="A2326975T" display="A2326975T" xr:uid="{00000000-0004-0000-0000-000095000000}"/>
    <hyperlink ref="E161" location="A2327020V" display="A2327020V" xr:uid="{00000000-0004-0000-0000-000096000000}"/>
    <hyperlink ref="E162" location="A2330890J" display="A2330890J" xr:uid="{00000000-0004-0000-0000-000097000000}"/>
    <hyperlink ref="E163" location="A2330935A" display="A2330935A" xr:uid="{00000000-0004-0000-0000-000098000000}"/>
    <hyperlink ref="E164" location="A2330980L" display="A2330980L" xr:uid="{00000000-0004-0000-0000-000099000000}"/>
    <hyperlink ref="E165" location="A3604367T" display="A3604367T" xr:uid="{00000000-0004-0000-0000-00009A000000}"/>
    <hyperlink ref="E166" location="A2327650L" display="A2327650L" xr:uid="{00000000-0004-0000-0000-00009B000000}"/>
    <hyperlink ref="E167" location="A2327695T" display="A2327695T" xr:uid="{00000000-0004-0000-0000-00009C000000}"/>
    <hyperlink ref="E168" location="A2329495K" display="A2329495K" xr:uid="{00000000-0004-0000-0000-00009D000000}"/>
    <hyperlink ref="E169" location="A2329540K" display="A2329540K" xr:uid="{00000000-0004-0000-0000-00009E000000}"/>
    <hyperlink ref="E170" location="A2331745F" display="A2331745F" xr:uid="{00000000-0004-0000-0000-00009F000000}"/>
    <hyperlink ref="E171" location="A2327785W" display="A2327785W" xr:uid="{00000000-0004-0000-0000-0000A0000000}"/>
    <hyperlink ref="E172" location="A3604422W" display="A3604422W" xr:uid="{00000000-0004-0000-0000-0000A1000000}"/>
    <hyperlink ref="E173" location="A2327740T" display="A2327740T" xr:uid="{00000000-0004-0000-0000-0000A2000000}"/>
    <hyperlink ref="E174" location="A2331790T" display="A2331790T" xr:uid="{00000000-0004-0000-0000-0000A3000000}"/>
    <hyperlink ref="E175" location="A2326300V" display="A2326300V" xr:uid="{00000000-0004-0000-0000-0000A4000000}"/>
    <hyperlink ref="E176" location="A2327560J" display="A2327560J" xr:uid="{00000000-0004-0000-0000-0000A5000000}"/>
    <hyperlink ref="E177" location="A2327605A" display="A2327605A" xr:uid="{00000000-0004-0000-0000-0000A6000000}"/>
    <hyperlink ref="E178" location="A2326120K" display="A2326120K" xr:uid="{00000000-0004-0000-0000-0000A7000000}"/>
    <hyperlink ref="E179" location="A2326750C" display="A2326750C" xr:uid="{00000000-0004-0000-0000-0000A8000000}"/>
    <hyperlink ref="E180" location="A2328955V" display="A2328955V" xr:uid="{00000000-0004-0000-0000-0000A9000000}"/>
    <hyperlink ref="E181" location="A2328910R" display="A2328910R" xr:uid="{00000000-0004-0000-0000-0000AA000000}"/>
    <hyperlink ref="E182" location="A2328865R" display="A2328865R" xr:uid="{00000000-0004-0000-0000-0000AB000000}"/>
    <hyperlink ref="E183" location="A2326795J" display="A2326795J" xr:uid="{00000000-0004-0000-0000-0000AC000000}"/>
    <hyperlink ref="E184" location="A2329000W" display="A2329000W" xr:uid="{00000000-0004-0000-0000-0000AD000000}"/>
    <hyperlink ref="E185" location="A2325940X" display="A2325940X" xr:uid="{00000000-0004-0000-0000-0000AE000000}"/>
    <hyperlink ref="E186" location="A3604372K" display="A3604372K" xr:uid="{00000000-0004-0000-0000-0000AF000000}"/>
    <hyperlink ref="E187" location="A2329585R" display="A2329585R" xr:uid="{00000000-0004-0000-0000-0000B0000000}"/>
    <hyperlink ref="E188" location="A2329720V" display="A2329720V" xr:uid="{00000000-0004-0000-0000-0000B1000000}"/>
    <hyperlink ref="E189" location="A2329765X" display="A2329765X" xr:uid="{00000000-0004-0000-0000-0000B2000000}"/>
    <hyperlink ref="E190" location="A2326390K" display="A2326390K" xr:uid="{00000000-0004-0000-0000-0000B3000000}"/>
    <hyperlink ref="E191" location="A2327920A" display="A2327920A" xr:uid="{00000000-0004-0000-0000-0000B4000000}"/>
    <hyperlink ref="E192" location="A2327965F" display="A2327965F" xr:uid="{00000000-0004-0000-0000-0000B5000000}"/>
    <hyperlink ref="E193" location="A2328010J" display="A2328010J" xr:uid="{00000000-0004-0000-0000-0000B6000000}"/>
    <hyperlink ref="E194" location="A2329810X" display="A2329810X" xr:uid="{00000000-0004-0000-0000-0000B7000000}"/>
    <hyperlink ref="E195" location="A2329855C" display="A2329855C" xr:uid="{00000000-0004-0000-0000-0000B8000000}"/>
    <hyperlink ref="E196" location="A2328055L" display="A2328055L" xr:uid="{00000000-0004-0000-0000-0000B9000000}"/>
    <hyperlink ref="E197" location="A2325985C" display="A2325985C" xr:uid="{00000000-0004-0000-0000-0000BA000000}"/>
    <hyperlink ref="E198" location="A2331880W" display="A2331880W" xr:uid="{00000000-0004-0000-0000-0000BB000000}"/>
    <hyperlink ref="E199" location="A2326435C" display="A2326435C" xr:uid="{00000000-0004-0000-0000-0000BC000000}"/>
    <hyperlink ref="E200" location="A3604377W" display="A3604377W" xr:uid="{00000000-0004-0000-0000-0000BD000000}"/>
    <hyperlink ref="E201" location="A2329945J" display="A2329945J" xr:uid="{00000000-0004-0000-0000-0000BE000000}"/>
    <hyperlink ref="E202" location="A3604417C" display="A3604417C" xr:uid="{00000000-0004-0000-0000-0000BF000000}"/>
    <hyperlink ref="E203" location="A2328100L" display="A2328100L" xr:uid="{00000000-0004-0000-0000-0000C0000000}"/>
    <hyperlink ref="E204" location="A2329990V" display="A2329990V" xr:uid="{00000000-0004-0000-0000-0000C1000000}"/>
    <hyperlink ref="E205" location="A2326525J" display="A2326525J" xr:uid="{00000000-0004-0000-0000-0000C2000000}"/>
    <hyperlink ref="E206" location="A2329900C" display="A2329900C" xr:uid="{00000000-0004-0000-0000-0000C3000000}"/>
    <hyperlink ref="E207" location="A2328145T" display="A2328145T" xr:uid="{00000000-0004-0000-0000-0000C4000000}"/>
    <hyperlink ref="E208" location="A2331925R" display="A2331925R" xr:uid="{00000000-0004-0000-0000-0000C5000000}"/>
    <hyperlink ref="E209" location="A2326030F" display="A2326030F" xr:uid="{00000000-0004-0000-0000-0000C6000000}"/>
    <hyperlink ref="E210" location="A3604407X" display="A3604407X" xr:uid="{00000000-0004-0000-0000-0000C7000000}"/>
    <hyperlink ref="E211" location="A2328190C" display="A2328190C" xr:uid="{00000000-0004-0000-0000-0000C8000000}"/>
    <hyperlink ref="E212" location="A3604437L" display="A3604437L" xr:uid="{00000000-0004-0000-0000-0000C9000000}"/>
    <hyperlink ref="E213" location="A3604432A" display="A3604432A" xr:uid="{00000000-0004-0000-0000-0000CA000000}"/>
    <hyperlink ref="E214" location="A3604387A" display="A3604387A" xr:uid="{00000000-0004-0000-0000-0000CB000000}"/>
    <hyperlink ref="E215" location="A2330035V" display="A2330035V" xr:uid="{00000000-0004-0000-0000-0000CC000000}"/>
    <hyperlink ref="E216" location="A2328280J" display="A2328280J" xr:uid="{00000000-0004-0000-0000-0000CD000000}"/>
    <hyperlink ref="E217" location="A2331025J" display="A2331025J" xr:uid="{00000000-0004-0000-0000-0000CE000000}"/>
    <hyperlink ref="E218" location="A2331070V" display="A2331070V" xr:uid="{00000000-0004-0000-0000-0000CF000000}"/>
    <hyperlink ref="E219" location="A2328325A" display="A2328325A" xr:uid="{00000000-0004-0000-0000-0000D0000000}"/>
    <hyperlink ref="E220" location="A2330080F" display="A2330080F" xr:uid="{00000000-0004-0000-0000-0000D1000000}"/>
    <hyperlink ref="E221" location="A2328370L" display="A2328370L" xr:uid="{00000000-0004-0000-0000-0000D2000000}"/>
    <hyperlink ref="E222" location="A2329225K" display="A2329225K" xr:uid="{00000000-0004-0000-0000-0000D3000000}"/>
    <hyperlink ref="E223" location="A2330125X" display="A2330125X" xr:uid="{00000000-0004-0000-0000-0000D4000000}"/>
    <hyperlink ref="E224" location="A2330170K" display="A2330170K" xr:uid="{00000000-0004-0000-0000-0000D5000000}"/>
    <hyperlink ref="E225" location="A2331610W" display="A2331610W" xr:uid="{00000000-0004-0000-0000-0000D6000000}"/>
    <hyperlink ref="E226" location="A2329270W" display="A2329270W" xr:uid="{00000000-0004-0000-0000-0000D7000000}"/>
    <hyperlink ref="E227" location="A2331700A" display="A2331700A" xr:uid="{00000000-0004-0000-0000-0000D8000000}"/>
    <hyperlink ref="E228" location="A2331115L" display="A2331115L" xr:uid="{00000000-0004-0000-0000-0000D9000000}"/>
    <hyperlink ref="E229" location="A3604442F" display="A3604442F" xr:uid="{00000000-0004-0000-0000-0000DA000000}"/>
    <hyperlink ref="E230" location="A2329180T" display="A2329180T" xr:uid="{00000000-0004-0000-0000-0000DB000000}"/>
    <hyperlink ref="E231" location="A2329090L" display="A2329090L" xr:uid="{00000000-0004-0000-0000-0000DC000000}"/>
    <hyperlink ref="E232" location="A3604392V" display="A3604392V" xr:uid="{00000000-0004-0000-0000-0000DD000000}"/>
    <hyperlink ref="E233" location="A2329045A" display="A2329045A" xr:uid="{00000000-0004-0000-0000-0000DE000000}"/>
    <hyperlink ref="E234" location="A2329135F" display="A2329135F" xr:uid="{00000000-0004-0000-0000-0000DF000000}"/>
    <hyperlink ref="E235" location="A2326075K" display="A2326075K" xr:uid="{00000000-0004-0000-0000-0000E0000000}"/>
    <hyperlink ref="E236" location="A2326660X" display="A2326660X" xr:uid="{00000000-0004-0000-0000-0000E1000000}"/>
    <hyperlink ref="E237" location="A2328595A" display="A2328595A" xr:uid="{00000000-0004-0000-0000-0000E2000000}"/>
    <hyperlink ref="E238" location="A2328730F" display="A2328730F" xr:uid="{00000000-0004-0000-0000-0000E3000000}"/>
    <hyperlink ref="E239" location="A2328640A" display="A2328640A" xr:uid="{00000000-0004-0000-0000-0000E4000000}"/>
    <hyperlink ref="E240" location="A2328775K" display="A2328775K" xr:uid="{00000000-0004-0000-0000-0000E5000000}"/>
    <hyperlink ref="E241" location="A2328685F" display="A2328685F" xr:uid="{00000000-0004-0000-0000-0000E6000000}"/>
    <hyperlink ref="E242" location="A2326705T" display="A2326705T" xr:uid="{00000000-0004-0000-0000-0000E7000000}"/>
    <hyperlink ref="E243" location="A2328820K" display="A2328820K" xr:uid="{00000000-0004-0000-0000-0000E8000000}"/>
    <hyperlink ref="E244" location="A2331205T" display="A2331205T" xr:uid="{00000000-0004-0000-0000-0000E9000000}"/>
    <hyperlink ref="E245" location="A2326615L" display="A2326615L" xr:uid="{00000000-0004-0000-0000-0000EA000000}"/>
    <hyperlink ref="E246" location="A2328505K" display="A2328505K" xr:uid="{00000000-0004-0000-0000-0000EB000000}"/>
    <hyperlink ref="E247" location="A2328550W" display="A2328550W" xr:uid="{00000000-0004-0000-0000-0000EC000000}"/>
    <hyperlink ref="E248" location="A2331250C" display="A2331250C" xr:uid="{00000000-0004-0000-0000-0000ED000000}"/>
    <hyperlink ref="E249" location="A3604427J" display="A3604427J" xr:uid="{00000000-0004-0000-0000-0000EE000000}"/>
    <hyperlink ref="E250" location="A2329315R" display="A2329315R" xr:uid="{00000000-0004-0000-0000-0000EF000000}"/>
    <hyperlink ref="E251" location="A3604447T" display="A3604447T" xr:uid="{00000000-0004-0000-0000-0000F0000000}"/>
    <hyperlink ref="E252" location="A3604412T" display="A3604412T" xr:uid="{00000000-0004-0000-0000-0000F1000000}"/>
    <hyperlink ref="E253" location="A2330215C" display="A2330215C" xr:uid="{00000000-0004-0000-0000-0000F2000000}"/>
    <hyperlink ref="E254" location="A3604397F" display="A3604397F" xr:uid="{00000000-0004-0000-0000-0000F3000000}"/>
    <hyperlink ref="E255" location="A2326885L" display="A2326885L" xr:uid="{00000000-0004-0000-0000-0000F4000000}"/>
    <hyperlink ref="E256" location="A2329360A" display="A2329360A" xr:uid="{00000000-0004-0000-0000-0000F5000000}"/>
    <hyperlink ref="E257" location="A2329405V" display="A2329405V" xr:uid="{00000000-0004-0000-0000-0000F6000000}"/>
    <hyperlink ref="E258" location="A2331385L" display="A2331385L" xr:uid="{00000000-0004-0000-0000-0000F7000000}"/>
    <hyperlink ref="E259" location="A2330350V" display="A2330350V" xr:uid="{00000000-0004-0000-0000-0000F8000000}"/>
    <hyperlink ref="E260" location="A2330395X" display="A2330395X" xr:uid="{00000000-0004-0000-0000-0000F9000000}"/>
    <hyperlink ref="E261" location="A2328460T" display="A2328460T" xr:uid="{00000000-0004-0000-0000-0000FA000000}"/>
    <hyperlink ref="E262" location="A2328415F" display="A2328415F" xr:uid="{00000000-0004-0000-0000-0000FB000000}"/>
    <hyperlink ref="E263" location="A2330440X" display="A2330440X" xr:uid="{00000000-0004-0000-0000-0000FC000000}"/>
    <hyperlink ref="E264" location="A2330485C" display="A2330485C" xr:uid="{00000000-0004-0000-0000-0000FD000000}"/>
    <hyperlink ref="E265" location="A2331430L" display="A2331430L" xr:uid="{00000000-0004-0000-0000-0000FE000000}"/>
    <hyperlink ref="E266" location="A2329450F" display="A2329450F" xr:uid="{00000000-0004-0000-0000-0000FF000000}"/>
    <hyperlink ref="E267" location="A2331475T" display="A2331475T" xr:uid="{00000000-0004-0000-0000-000000010000}"/>
    <hyperlink ref="E268" location="A2331520T" display="A2331520T" xr:uid="{00000000-0004-0000-0000-000001010000}"/>
    <hyperlink ref="E269" location="A2331565W" display="A2331565W" xr:uid="{00000000-0004-0000-0000-000002010000}"/>
    <hyperlink ref="E270" location="A2332600K" display="A2332600K" xr:uid="{00000000-0004-0000-0000-000003010000}"/>
    <hyperlink ref="E271" location="A3602837L" display="A3602837L" xr:uid="{00000000-0004-0000-0000-000004010000}"/>
    <hyperlink ref="E272" location="A3602882X" display="A3602882X" xr:uid="{00000000-0004-0000-0000-000005010000}"/>
    <hyperlink ref="E273" location="A3604457W" display="A3604457W" xr:uid="{00000000-0004-0000-0000-000006010000}"/>
    <hyperlink ref="E274" location="A3604452K" display="A3604452K" xr:uid="{00000000-0004-0000-0000-000007010000}"/>
    <hyperlink ref="E275" location="A2332780F" display="A2332780F" xr:uid="{00000000-0004-0000-0000-000008010000}"/>
    <hyperlink ref="E276" location="A3597525W" display="A3597525W" xr:uid="{00000000-0004-0000-0000-000009010000}"/>
    <hyperlink ref="E277" location="A3597570J" display="A3597570J" xr:uid="{00000000-0004-0000-0000-00000A010000}"/>
    <hyperlink ref="E278" location="A3597885A" display="A3597885A" xr:uid="{00000000-0004-0000-0000-00000B010000}"/>
    <hyperlink ref="E279" location="A3598560W" display="A3598560W" xr:uid="{00000000-0004-0000-0000-00000C010000}"/>
    <hyperlink ref="E280" location="A3598605R" display="A3598605R" xr:uid="{00000000-0004-0000-0000-00000D010000}"/>
    <hyperlink ref="E281" location="A3598650A" display="A3598650A" xr:uid="{00000000-0004-0000-0000-00000E010000}"/>
    <hyperlink ref="E282" location="A3598695F" display="A3598695F" xr:uid="{00000000-0004-0000-0000-00000F010000}"/>
    <hyperlink ref="E283" location="A3597930A" display="A3597930A" xr:uid="{00000000-0004-0000-0000-000010010000}"/>
    <hyperlink ref="E284" location="A3598740F" display="A3598740F" xr:uid="{00000000-0004-0000-0000-000011010000}"/>
    <hyperlink ref="E285" location="A3604360A" display="A3604360A" xr:uid="{00000000-0004-0000-0000-000012010000}"/>
    <hyperlink ref="E286" location="A3598785K" display="A3598785K" xr:uid="{00000000-0004-0000-0000-000013010000}"/>
    <hyperlink ref="E287" location="A3598830K" display="A3598830K" xr:uid="{00000000-0004-0000-0000-000014010000}"/>
    <hyperlink ref="E288" location="A3598875R" display="A3598875R" xr:uid="{00000000-0004-0000-0000-000015010000}"/>
    <hyperlink ref="E289" location="A3598920R" display="A3598920R" xr:uid="{00000000-0004-0000-0000-000016010000}"/>
    <hyperlink ref="E290" location="A3597840W" display="A3597840W" xr:uid="{00000000-0004-0000-0000-000017010000}"/>
    <hyperlink ref="E291" location="A3598425F" display="A3598425F" xr:uid="{00000000-0004-0000-0000-000018010000}"/>
    <hyperlink ref="E292" location="A3598470T" display="A3598470T" xr:uid="{00000000-0004-0000-0000-000019010000}"/>
    <hyperlink ref="E293" location="A3598515K" display="A3598515K" xr:uid="{00000000-0004-0000-0000-00001A010000}"/>
    <hyperlink ref="E294" location="A3601980K" display="A3601980K" xr:uid="{00000000-0004-0000-0000-00001B010000}"/>
    <hyperlink ref="E295" location="A3602025F" display="A3602025F" xr:uid="{00000000-0004-0000-0000-00001C010000}"/>
    <hyperlink ref="E296" location="A3602070T" display="A3602070T" xr:uid="{00000000-0004-0000-0000-00001D010000}"/>
    <hyperlink ref="E297" location="A3604365L" display="A3604365L" xr:uid="{00000000-0004-0000-0000-00001E010000}"/>
    <hyperlink ref="E298" location="A3599055A" display="A3599055A" xr:uid="{00000000-0004-0000-0000-00001F010000}"/>
    <hyperlink ref="E299" location="A3599100A" display="A3599100A" xr:uid="{00000000-0004-0000-0000-000020010000}"/>
    <hyperlink ref="E300" location="A3600765A" display="A3600765A" xr:uid="{00000000-0004-0000-0000-000021010000}"/>
    <hyperlink ref="E301" location="A3600810A" display="A3600810A" xr:uid="{00000000-0004-0000-0000-000022010000}"/>
    <hyperlink ref="E302" location="A3602655X" display="A3602655X" xr:uid="{00000000-0004-0000-0000-000023010000}"/>
    <hyperlink ref="E303" location="A3599190T" display="A3599190T" xr:uid="{00000000-0004-0000-0000-000024010000}"/>
    <hyperlink ref="E304" location="A3604420T" display="A3604420T" xr:uid="{00000000-0004-0000-0000-000025010000}"/>
    <hyperlink ref="E305" location="A3599145F" display="A3599145F" xr:uid="{00000000-0004-0000-0000-000026010000}"/>
    <hyperlink ref="E306" location="A3602700X" display="A3602700X" xr:uid="{00000000-0004-0000-0000-000027010000}"/>
    <hyperlink ref="E307" location="A3597975F" display="A3597975F" xr:uid="{00000000-0004-0000-0000-000028010000}"/>
    <hyperlink ref="E308" location="A3598965V" display="A3598965V" xr:uid="{00000000-0004-0000-0000-000029010000}"/>
    <hyperlink ref="E309" location="A3599010W" display="A3599010W" xr:uid="{00000000-0004-0000-0000-00002A010000}"/>
    <hyperlink ref="E310" location="A3597795W" display="A3597795W" xr:uid="{00000000-0004-0000-0000-00002B010000}"/>
    <hyperlink ref="E311" location="A3598290J" display="A3598290J" xr:uid="{00000000-0004-0000-0000-00002C010000}"/>
    <hyperlink ref="E312" location="A3600225L" display="A3600225L" xr:uid="{00000000-0004-0000-0000-00002D010000}"/>
    <hyperlink ref="E313" location="A3600180V" display="A3600180V" xr:uid="{00000000-0004-0000-0000-00002E010000}"/>
    <hyperlink ref="E314" location="A3600135J" display="A3600135J" xr:uid="{00000000-0004-0000-0000-00002F010000}"/>
    <hyperlink ref="E315" location="A3598335A" display="A3598335A" xr:uid="{00000000-0004-0000-0000-000030010000}"/>
    <hyperlink ref="E316" location="A3600270X" display="A3600270X" xr:uid="{00000000-0004-0000-0000-000031010000}"/>
    <hyperlink ref="E317" location="A3597615A" display="A3597615A" xr:uid="{00000000-0004-0000-0000-000032010000}"/>
    <hyperlink ref="E318" location="A3604370F" display="A3604370F" xr:uid="{00000000-0004-0000-0000-000033010000}"/>
    <hyperlink ref="E319" location="A3600855F" display="A3600855F" xr:uid="{00000000-0004-0000-0000-000034010000}"/>
    <hyperlink ref="E320" location="A3600900F" display="A3600900F" xr:uid="{00000000-0004-0000-0000-000035010000}"/>
    <hyperlink ref="E321" location="A3600945K" display="A3600945K" xr:uid="{00000000-0004-0000-0000-000036010000}"/>
    <hyperlink ref="E322" location="A3598020J" display="A3598020J" xr:uid="{00000000-0004-0000-0000-000037010000}"/>
    <hyperlink ref="E323" location="A3599235K" display="A3599235K" xr:uid="{00000000-0004-0000-0000-000038010000}"/>
    <hyperlink ref="E324" location="A3599280W" display="A3599280W" xr:uid="{00000000-0004-0000-0000-000039010000}"/>
    <hyperlink ref="E325" location="A3599325R" display="A3599325R" xr:uid="{00000000-0004-0000-0000-00003A010000}"/>
    <hyperlink ref="E326" location="A3600990W" display="A3600990W" xr:uid="{00000000-0004-0000-0000-00003B010000}"/>
    <hyperlink ref="E327" location="A3601035T" display="A3601035T" xr:uid="{00000000-0004-0000-0000-00003C010000}"/>
    <hyperlink ref="E328" location="A3599370A" display="A3599370A" xr:uid="{00000000-0004-0000-0000-00003D010000}"/>
    <hyperlink ref="E329" location="A3597660L" display="A3597660L" xr:uid="{00000000-0004-0000-0000-00003E010000}"/>
    <hyperlink ref="E330" location="A3602745C" display="A3602745C" xr:uid="{00000000-0004-0000-0000-00003F010000}"/>
    <hyperlink ref="E331" location="A3598065L" display="A3598065L" xr:uid="{00000000-0004-0000-0000-000040010000}"/>
    <hyperlink ref="E332" location="A3604375T" display="A3604375T" xr:uid="{00000000-0004-0000-0000-000041010000}"/>
    <hyperlink ref="E333" location="A3601125W" display="A3601125W" xr:uid="{00000000-0004-0000-0000-000042010000}"/>
    <hyperlink ref="E334" location="A3604415X" display="A3604415X" xr:uid="{00000000-0004-0000-0000-000043010000}"/>
    <hyperlink ref="E335" location="A3599415V" display="A3599415V" xr:uid="{00000000-0004-0000-0000-000044010000}"/>
    <hyperlink ref="E336" location="A3601170J" display="A3601170J" xr:uid="{00000000-0004-0000-0000-000045010000}"/>
    <hyperlink ref="E337" location="A3598110L" display="A3598110L" xr:uid="{00000000-0004-0000-0000-000046010000}"/>
    <hyperlink ref="E338" location="A3601080C" display="A3601080C" xr:uid="{00000000-0004-0000-0000-000047010000}"/>
    <hyperlink ref="E339" location="A3599460F" display="A3599460F" xr:uid="{00000000-0004-0000-0000-000048010000}"/>
    <hyperlink ref="E340" location="A3602790R" display="A3602790R" xr:uid="{00000000-0004-0000-0000-000049010000}"/>
    <hyperlink ref="E341" location="A3597705F" display="A3597705F" xr:uid="{00000000-0004-0000-0000-00004A010000}"/>
    <hyperlink ref="E342" location="A3604405V" display="A3604405V" xr:uid="{00000000-0004-0000-0000-00004B010000}"/>
    <hyperlink ref="E343" location="A3599505X" display="A3599505X" xr:uid="{00000000-0004-0000-0000-00004C010000}"/>
    <hyperlink ref="E344" location="A3604435J" display="A3604435J" xr:uid="{00000000-0004-0000-0000-00004D010000}"/>
    <hyperlink ref="E345" location="A3604430W" display="A3604430W" xr:uid="{00000000-0004-0000-0000-00004E010000}"/>
    <hyperlink ref="E346" location="A3604385W" display="A3604385W" xr:uid="{00000000-0004-0000-0000-00004F010000}"/>
    <hyperlink ref="E347" location="A3601215A" display="A3601215A" xr:uid="{00000000-0004-0000-0000-000050010000}"/>
    <hyperlink ref="E348" location="A3599550K" display="A3599550K" xr:uid="{00000000-0004-0000-0000-000051010000}"/>
    <hyperlink ref="E349" location="A3602115K" display="A3602115K" xr:uid="{00000000-0004-0000-0000-000052010000}"/>
    <hyperlink ref="E350" location="A3602160W" display="A3602160W" xr:uid="{00000000-0004-0000-0000-000053010000}"/>
    <hyperlink ref="E351" location="A3599595R" display="A3599595R" xr:uid="{00000000-0004-0000-0000-000054010000}"/>
    <hyperlink ref="E352" location="A3601260L" display="A3601260L" xr:uid="{00000000-0004-0000-0000-000055010000}"/>
    <hyperlink ref="E353" location="A3599640R" display="A3599640R" xr:uid="{00000000-0004-0000-0000-000056010000}"/>
    <hyperlink ref="E354" location="A3600495L" display="A3600495L" xr:uid="{00000000-0004-0000-0000-000057010000}"/>
    <hyperlink ref="E355" location="A3601305F" display="A3601305F" xr:uid="{00000000-0004-0000-0000-000058010000}"/>
    <hyperlink ref="E356" location="A3601350T" display="A3601350T" xr:uid="{00000000-0004-0000-0000-000059010000}"/>
    <hyperlink ref="E357" location="A3602565V" display="A3602565V" xr:uid="{00000000-0004-0000-0000-00005A010000}"/>
    <hyperlink ref="E358" location="A3600540L" display="A3600540L" xr:uid="{00000000-0004-0000-0000-00005B010000}"/>
    <hyperlink ref="E359" location="A3602610V" display="A3602610V" xr:uid="{00000000-0004-0000-0000-00005C010000}"/>
    <hyperlink ref="E360" location="A3602205R" display="A3602205R" xr:uid="{00000000-0004-0000-0000-00005D010000}"/>
    <hyperlink ref="E361" location="A3604440A" display="A3604440A" xr:uid="{00000000-0004-0000-0000-00005E010000}"/>
    <hyperlink ref="E362" location="A3600450J" display="A3600450J" xr:uid="{00000000-0004-0000-0000-00005F010000}"/>
    <hyperlink ref="E363" location="A3600360C" display="A3600360C" xr:uid="{00000000-0004-0000-0000-000060010000}"/>
    <hyperlink ref="E364" location="A3604390R" display="A3604390R" xr:uid="{00000000-0004-0000-0000-000061010000}"/>
    <hyperlink ref="E365" location="A3600315T" display="A3600315T" xr:uid="{00000000-0004-0000-0000-000062010000}"/>
    <hyperlink ref="E366" location="A3600405W" display="A3600405W" xr:uid="{00000000-0004-0000-0000-000063010000}"/>
    <hyperlink ref="E367" location="A3597750T" display="A3597750T" xr:uid="{00000000-0004-0000-0000-000064010000}"/>
    <hyperlink ref="E368" location="A3598200T" display="A3598200T" xr:uid="{00000000-0004-0000-0000-000065010000}"/>
    <hyperlink ref="E369" location="A3599865C" display="A3599865C" xr:uid="{00000000-0004-0000-0000-000066010000}"/>
    <hyperlink ref="E370" location="A3600000X" display="A3600000X" xr:uid="{00000000-0004-0000-0000-000067010000}"/>
    <hyperlink ref="E371" location="A3599910C" display="A3599910C" xr:uid="{00000000-0004-0000-0000-000068010000}"/>
    <hyperlink ref="E372" location="A3600045C" display="A3600045C" xr:uid="{00000000-0004-0000-0000-000069010000}"/>
    <hyperlink ref="E373" location="A3599955J" display="A3599955J" xr:uid="{00000000-0004-0000-0000-00006A010000}"/>
    <hyperlink ref="E374" location="A3598245W" display="A3598245W" xr:uid="{00000000-0004-0000-0000-00006B010000}"/>
    <hyperlink ref="E375" location="A3600090R" display="A3600090R" xr:uid="{00000000-0004-0000-0000-00006C010000}"/>
    <hyperlink ref="E376" location="A3602250A" display="A3602250A" xr:uid="{00000000-0004-0000-0000-00006D010000}"/>
    <hyperlink ref="E377" location="A3598155T" display="A3598155T" xr:uid="{00000000-0004-0000-0000-00006E010000}"/>
    <hyperlink ref="E378" location="A3599775X" display="A3599775X" xr:uid="{00000000-0004-0000-0000-00006F010000}"/>
    <hyperlink ref="E379" location="A3599820X" display="A3599820X" xr:uid="{00000000-0004-0000-0000-000070010000}"/>
    <hyperlink ref="E380" location="A3602295F" display="A3602295F" xr:uid="{00000000-0004-0000-0000-000071010000}"/>
    <hyperlink ref="E381" location="A3604425C" display="A3604425C" xr:uid="{00000000-0004-0000-0000-000072010000}"/>
    <hyperlink ref="E382" location="A3600585T" display="A3600585T" xr:uid="{00000000-0004-0000-0000-000073010000}"/>
    <hyperlink ref="E383" location="A3604445L" display="A3604445L" xr:uid="{00000000-0004-0000-0000-000074010000}"/>
    <hyperlink ref="E384" location="A3604410L" display="A3604410L" xr:uid="{00000000-0004-0000-0000-000075010000}"/>
    <hyperlink ref="E385" location="A3601395W" display="A3601395W" xr:uid="{00000000-0004-0000-0000-000076010000}"/>
    <hyperlink ref="E386" location="A3604395A" display="A3604395A" xr:uid="{00000000-0004-0000-0000-000077010000}"/>
    <hyperlink ref="E387" location="A3598380L" display="A3598380L" xr:uid="{00000000-0004-0000-0000-000078010000}"/>
    <hyperlink ref="E388" location="A3600630T" display="A3600630T" xr:uid="{00000000-0004-0000-0000-000079010000}"/>
    <hyperlink ref="E389" location="A3600675W" display="A3600675W" xr:uid="{00000000-0004-0000-0000-00007A010000}"/>
    <hyperlink ref="E390" location="A3602340F" display="A3602340F" xr:uid="{00000000-0004-0000-0000-00007B010000}"/>
    <hyperlink ref="E391" location="A3601440W" display="A3601440W" xr:uid="{00000000-0004-0000-0000-00007C010000}"/>
    <hyperlink ref="E392" location="A3601485A" display="A3601485A" xr:uid="{00000000-0004-0000-0000-00007D010000}"/>
    <hyperlink ref="E393" location="A3599730V" display="A3599730V" xr:uid="{00000000-0004-0000-0000-00007E010000}"/>
    <hyperlink ref="E394" location="A3599685V" display="A3599685V" xr:uid="{00000000-0004-0000-0000-00007F010000}"/>
    <hyperlink ref="E395" location="A3601530A" display="A3601530A" xr:uid="{00000000-0004-0000-0000-000080010000}"/>
    <hyperlink ref="E396" location="A3601575F" display="A3601575F" xr:uid="{00000000-0004-0000-0000-000081010000}"/>
    <hyperlink ref="E397" location="A3602385K" display="A3602385K" xr:uid="{00000000-0004-0000-0000-000082010000}"/>
    <hyperlink ref="E398" location="A3600720W" display="A3600720W" xr:uid="{00000000-0004-0000-0000-000083010000}"/>
    <hyperlink ref="E399" location="A3602430K" display="A3602430K" xr:uid="{00000000-0004-0000-0000-000084010000}"/>
    <hyperlink ref="E400" location="A3602475R" display="A3602475R" xr:uid="{00000000-0004-0000-0000-000085010000}"/>
    <hyperlink ref="E401" location="A3602520R" display="A3602520R" xr:uid="{00000000-0004-0000-0000-000086010000}"/>
    <hyperlink ref="E402" location="A3603420X" display="A3603420X" xr:uid="{00000000-0004-0000-0000-000087010000}"/>
    <hyperlink ref="E403" location="A3602835J" display="A3602835J" xr:uid="{00000000-0004-0000-0000-000088010000}"/>
    <hyperlink ref="E404" location="A3602880V" display="A3602880V" xr:uid="{00000000-0004-0000-0000-000089010000}"/>
    <hyperlink ref="E405" location="A3604455T" display="A3604455T" xr:uid="{00000000-0004-0000-0000-00008A010000}"/>
    <hyperlink ref="E406" location="A3604450F" display="A3604450F" xr:uid="{00000000-0004-0000-0000-00008B010000}"/>
    <hyperlink ref="E407" location="A3603555J" display="A3603555J" xr:uid="{00000000-0004-0000-0000-00008C01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28E3-A6C5-48E8-9E22-A5EEF760279A}">
  <dimension ref="A1:Y189"/>
  <sheetViews>
    <sheetView tabSelected="1" topLeftCell="A17" workbookViewId="0">
      <selection activeCell="L23" sqref="L23"/>
    </sheetView>
  </sheetViews>
  <sheetFormatPr defaultRowHeight="15" x14ac:dyDescent="0.25"/>
  <cols>
    <col min="1" max="1" width="21" customWidth="1"/>
    <col min="6" max="12" width="18.140625" customWidth="1"/>
    <col min="14" max="20" width="17.140625" customWidth="1"/>
  </cols>
  <sheetData>
    <row r="1" spans="1:25" ht="21" x14ac:dyDescent="0.35">
      <c r="A1" s="21" t="s">
        <v>794</v>
      </c>
    </row>
    <row r="2" spans="1:25" x14ac:dyDescent="0.25">
      <c r="A2" s="22" t="s">
        <v>795</v>
      </c>
    </row>
    <row r="3" spans="1:25" x14ac:dyDescent="0.25">
      <c r="A3" s="22" t="s">
        <v>796</v>
      </c>
    </row>
    <row r="5" spans="1:25" ht="17.25" x14ac:dyDescent="0.3">
      <c r="A5" s="23" t="s">
        <v>797</v>
      </c>
      <c r="F5" s="23" t="s">
        <v>811</v>
      </c>
      <c r="N5" s="23" t="s">
        <v>815</v>
      </c>
    </row>
    <row r="7" spans="1:25" x14ac:dyDescent="0.25">
      <c r="A7" s="25" t="s">
        <v>798</v>
      </c>
      <c r="B7" s="26" t="s">
        <v>799</v>
      </c>
      <c r="C7" s="26" t="s">
        <v>800</v>
      </c>
      <c r="D7" s="26" t="s">
        <v>801</v>
      </c>
      <c r="F7" s="26" t="s">
        <v>248</v>
      </c>
      <c r="G7" s="26" t="s">
        <v>801</v>
      </c>
      <c r="H7" s="26" t="s">
        <v>799</v>
      </c>
      <c r="I7" s="26" t="s">
        <v>800</v>
      </c>
      <c r="J7" s="26" t="s">
        <v>812</v>
      </c>
      <c r="K7" s="26" t="s">
        <v>813</v>
      </c>
      <c r="L7" s="26" t="s">
        <v>814</v>
      </c>
      <c r="N7" s="26" t="s">
        <v>816</v>
      </c>
      <c r="O7" s="26" t="s">
        <v>817</v>
      </c>
      <c r="P7" s="26" t="s">
        <v>818</v>
      </c>
      <c r="Q7" s="26" t="s">
        <v>819</v>
      </c>
      <c r="R7" s="26" t="s">
        <v>820</v>
      </c>
      <c r="S7" s="26" t="s">
        <v>821</v>
      </c>
      <c r="T7" s="26" t="s">
        <v>822</v>
      </c>
      <c r="V7" s="24" t="s">
        <v>248</v>
      </c>
      <c r="W7" s="24" t="s">
        <v>812</v>
      </c>
      <c r="X7" s="24" t="s">
        <v>813</v>
      </c>
      <c r="Y7" s="24" t="s">
        <v>814</v>
      </c>
    </row>
    <row r="8" spans="1:25" x14ac:dyDescent="0.25">
      <c r="A8" s="27" t="s">
        <v>802</v>
      </c>
      <c r="B8" s="28">
        <f>Data1!BM320/Data1!BM316-1</f>
        <v>0.25575173889780611</v>
      </c>
      <c r="C8" s="28">
        <f>Data1!BN320/Data1!BN316-1</f>
        <v>4.5859872611464958E-2</v>
      </c>
      <c r="D8" s="28">
        <f>Data1!B320/Data1!B316-1</f>
        <v>3.6256585063526359E-2</v>
      </c>
      <c r="F8" s="30">
        <f>Data1!A139</f>
        <v>29465</v>
      </c>
      <c r="G8" s="31">
        <f>Data1!B139</f>
        <v>18.48</v>
      </c>
      <c r="H8" s="31">
        <f>Data1!BM139</f>
        <v>10.46</v>
      </c>
      <c r="I8" s="31" t="e">
        <f>IF(ISBLANK(Data1!BN139),NA(),Data1!BN139)</f>
        <v>#N/A</v>
      </c>
      <c r="J8" s="28" t="e">
        <f>IFERROR(Data1!BM139/Data1!BM135-1,NA())</f>
        <v>#N/A</v>
      </c>
      <c r="K8" s="28" t="e">
        <f>IFERROR(IF(OR(ISBLANK(Data1!BN139),ISBLANK(Data1!BN135)),NA(),Data1!BN139/Data1!BN135-1),NA())</f>
        <v>#N/A</v>
      </c>
      <c r="L8" s="28">
        <f>IFERROR(Data1!B139/Data1!B135-1,NA())</f>
        <v>0.10131108462455307</v>
      </c>
      <c r="N8">
        <v>1980</v>
      </c>
      <c r="O8" s="31" cm="1">
        <f t="array" ref="O8">INDEX(Data1!BM:BM,140+($N8-1980)*4)</f>
        <v>10.53</v>
      </c>
      <c r="P8" s="31" t="e" cm="1">
        <f t="array" ref="P8">IF($N8&lt;1989,NA(),INDEX(Data1!BN:BN,140+($N8-1980)*4))</f>
        <v>#N/A</v>
      </c>
      <c r="Q8" s="31" cm="1">
        <f t="array" ref="Q8">INDEX(Data1!B:B,140+($N8-1980)*4)</f>
        <v>18.87</v>
      </c>
      <c r="R8" s="28"/>
      <c r="S8" s="28"/>
      <c r="T8" s="28"/>
      <c r="V8" s="30">
        <f>F8</f>
        <v>29465</v>
      </c>
      <c r="W8" s="28" t="e">
        <f>J8</f>
        <v>#N/A</v>
      </c>
      <c r="X8" s="28" t="e">
        <f>K8</f>
        <v>#N/A</v>
      </c>
      <c r="Y8" s="28">
        <f>L8</f>
        <v>0.10131108462455307</v>
      </c>
    </row>
    <row r="9" spans="1:25" x14ac:dyDescent="0.25">
      <c r="A9" t="s">
        <v>803</v>
      </c>
      <c r="B9" s="28">
        <f>Data1!BM320/Data1!BM300-1</f>
        <v>0.15402581438229879</v>
      </c>
      <c r="C9" s="28">
        <f>Data1!BN320/Data1!BN300-1</f>
        <v>0.49317975143983017</v>
      </c>
      <c r="D9" s="28">
        <f>Data1!B320/Data1!B300-1</f>
        <v>0.23243243243243228</v>
      </c>
      <c r="F9" s="30">
        <f>Data1!A140</f>
        <v>29556</v>
      </c>
      <c r="G9" s="31">
        <f>Data1!B140</f>
        <v>18.87</v>
      </c>
      <c r="H9" s="31">
        <f>Data1!BM140</f>
        <v>10.53</v>
      </c>
      <c r="I9" s="31" t="e">
        <f>IF(ISBLANK(Data1!BN140),NA(),Data1!BN140)</f>
        <v>#N/A</v>
      </c>
      <c r="J9" s="28" t="e">
        <f>IFERROR(Data1!BM140/Data1!BM136-1,NA())</f>
        <v>#N/A</v>
      </c>
      <c r="K9" s="28" t="e">
        <f>IFERROR(IF(OR(ISBLANK(Data1!BN140),ISBLANK(Data1!BN136)),NA(),Data1!BN140/Data1!BN136-1),NA())</f>
        <v>#N/A</v>
      </c>
      <c r="L9" s="28">
        <f>IFERROR(Data1!B140/Data1!B136-1,NA())</f>
        <v>9.201388888888884E-2</v>
      </c>
      <c r="N9">
        <f>N8+1</f>
        <v>1981</v>
      </c>
      <c r="O9" s="31" cm="1">
        <f t="array" ref="O9">INDEX(Data1!BM:BM,140+($N9-1980)*4)</f>
        <v>12.31</v>
      </c>
      <c r="P9" s="31" t="e" cm="1">
        <f t="array" ref="P9">IF($N9&lt;1989,NA(),INDEX(Data1!BN:BN,140+($N9-1980)*4))</f>
        <v>#N/A</v>
      </c>
      <c r="Q9" s="31" cm="1">
        <f t="array" ref="Q9">INDEX(Data1!B:B,140+($N9-1980)*4)</f>
        <v>20.99</v>
      </c>
      <c r="R9" s="28">
        <f>IFERROR(O9/O8-1,NA())</f>
        <v>0.16904083570750239</v>
      </c>
      <c r="S9" s="28" t="e">
        <f>IFERROR(IF(OR(ISNA(P9),ISNA(P8)),NA(),P9/P8-1),NA())</f>
        <v>#N/A</v>
      </c>
      <c r="T9" s="28">
        <f>IFERROR(Q9/Q8-1,NA())</f>
        <v>0.11234764175940626</v>
      </c>
      <c r="V9" s="30">
        <f>F9</f>
        <v>29556</v>
      </c>
      <c r="W9" s="28" t="e">
        <f>J9</f>
        <v>#N/A</v>
      </c>
      <c r="X9" s="28" t="e">
        <f>K9</f>
        <v>#N/A</v>
      </c>
      <c r="Y9" s="28">
        <f>L9</f>
        <v>9.201388888888884E-2</v>
      </c>
    </row>
    <row r="10" spans="1:25" x14ac:dyDescent="0.25">
      <c r="A10" t="s">
        <v>804</v>
      </c>
      <c r="B10" s="28">
        <f>(Data1!BM320/Data1!BM300)^(1/5)-1</f>
        <v>2.9065704376990187E-2</v>
      </c>
      <c r="C10" s="28">
        <f>(Data1!BN320/Data1!BN300)^(1/5)-1</f>
        <v>8.3483790415280312E-2</v>
      </c>
      <c r="D10" s="28">
        <f>(Data1!B320/Data1!B300)^(1/5)-1</f>
        <v>4.2683794442716305E-2</v>
      </c>
      <c r="F10" s="30">
        <f>Data1!A141</f>
        <v>29646</v>
      </c>
      <c r="G10" s="31">
        <f>Data1!B141</f>
        <v>19.329999999999998</v>
      </c>
      <c r="H10" s="31">
        <f>Data1!BM141</f>
        <v>11.47</v>
      </c>
      <c r="I10" s="31" t="e">
        <f>IF(ISBLANK(Data1!BN141),NA(),Data1!BN141)</f>
        <v>#N/A</v>
      </c>
      <c r="J10" s="28" t="e">
        <f>IFERROR(Data1!BM141/Data1!BM137-1,NA())</f>
        <v>#N/A</v>
      </c>
      <c r="K10" s="28" t="e">
        <f>IFERROR(IF(OR(ISBLANK(Data1!BN141),ISBLANK(Data1!BN137)),NA(),Data1!BN141/Data1!BN137-1),NA())</f>
        <v>#N/A</v>
      </c>
      <c r="L10" s="28">
        <f>IFERROR(Data1!B141/Data1!B137-1,NA())</f>
        <v>9.3944538766270291E-2</v>
      </c>
      <c r="N10">
        <f t="shared" ref="N10:N53" si="0">N9+1</f>
        <v>1982</v>
      </c>
      <c r="O10" s="31" cm="1">
        <f t="array" ref="O10">INDEX(Data1!BM:BM,140+($N10-1980)*4)</f>
        <v>16.53</v>
      </c>
      <c r="P10" s="31" t="e" cm="1">
        <f t="array" ref="P10">IF($N10&lt;1989,NA(),INDEX(Data1!BN:BN,140+($N10-1980)*4))</f>
        <v>#N/A</v>
      </c>
      <c r="Q10" s="31" cm="1">
        <f t="array" ref="Q10">INDEX(Data1!B:B,140+($N10-1980)*4)</f>
        <v>23.31</v>
      </c>
      <c r="R10" s="28">
        <f t="shared" ref="R10:R53" si="1">IFERROR(O10/O9-1,NA())</f>
        <v>0.34281072298943949</v>
      </c>
      <c r="S10" s="28" t="e">
        <f t="shared" ref="S10:S53" si="2">IFERROR(IF(OR(ISNA(P10),ISNA(P9)),NA(),P10/P9-1),NA())</f>
        <v>#N/A</v>
      </c>
      <c r="T10" s="28">
        <f t="shared" ref="T10:T53" si="3">IFERROR(Q10/Q9-1,NA())</f>
        <v>0.11052882324916635</v>
      </c>
      <c r="V10" s="30">
        <f>F10</f>
        <v>29646</v>
      </c>
      <c r="W10" s="28" t="e">
        <f>J10</f>
        <v>#N/A</v>
      </c>
      <c r="X10" s="28" t="e">
        <f>K10</f>
        <v>#N/A</v>
      </c>
      <c r="Y10" s="28">
        <f>L10</f>
        <v>9.3944538766270291E-2</v>
      </c>
    </row>
    <row r="11" spans="1:25" x14ac:dyDescent="0.25">
      <c r="A11" t="s">
        <v>805</v>
      </c>
      <c r="B11" s="28">
        <f>Data1!BM320/Data1!BM280-1</f>
        <v>0.2121368624919302</v>
      </c>
      <c r="C11" s="28">
        <f>Data1!BN320/Data1!BN280-1</f>
        <v>0.67209775967413421</v>
      </c>
      <c r="D11" s="28">
        <f>Data1!B320/Data1!B280-1</f>
        <v>0.33280191311279395</v>
      </c>
      <c r="F11" s="30">
        <f>Data1!A142</f>
        <v>29738</v>
      </c>
      <c r="G11" s="31">
        <f>Data1!B142</f>
        <v>19.760000000000002</v>
      </c>
      <c r="H11" s="31">
        <f>Data1!BM142</f>
        <v>11.57</v>
      </c>
      <c r="I11" s="31" t="e">
        <f>IF(ISBLANK(Data1!BN142),NA(),Data1!BN142)</f>
        <v>#N/A</v>
      </c>
      <c r="J11" s="28" t="e">
        <f>IFERROR(Data1!BM142/Data1!BM138-1,NA())</f>
        <v>#N/A</v>
      </c>
      <c r="K11" s="28" t="e">
        <f>IFERROR(IF(OR(ISBLANK(Data1!BN142),ISBLANK(Data1!BN138)),NA(),Data1!BN142/Data1!BN138-1),NA())</f>
        <v>#N/A</v>
      </c>
      <c r="L11" s="28">
        <f>IFERROR(Data1!B142/Data1!B138-1,NA())</f>
        <v>8.7506879471656474E-2</v>
      </c>
      <c r="N11">
        <f t="shared" si="0"/>
        <v>1983</v>
      </c>
      <c r="O11" s="31" cm="1">
        <f t="array" ref="O11">INDEX(Data1!BM:BM,140+($N11-1980)*4)</f>
        <v>17.88</v>
      </c>
      <c r="P11" s="31" t="e" cm="1">
        <f t="array" ref="P11">IF($N11&lt;1989,NA(),INDEX(Data1!BN:BN,140+($N11-1980)*4))</f>
        <v>#N/A</v>
      </c>
      <c r="Q11" s="31" cm="1">
        <f t="array" ref="Q11">INDEX(Data1!B:B,140+($N11-1980)*4)</f>
        <v>25.32</v>
      </c>
      <c r="R11" s="28">
        <f t="shared" si="1"/>
        <v>8.1669691470054318E-2</v>
      </c>
      <c r="S11" s="28" t="e">
        <f t="shared" si="2"/>
        <v>#N/A</v>
      </c>
      <c r="T11" s="28">
        <f t="shared" si="3"/>
        <v>8.6229086229086205E-2</v>
      </c>
      <c r="V11" s="30">
        <f>F11</f>
        <v>29738</v>
      </c>
      <c r="W11" s="28" t="e">
        <f>J11</f>
        <v>#N/A</v>
      </c>
      <c r="X11" s="28" t="e">
        <f>K11</f>
        <v>#N/A</v>
      </c>
      <c r="Y11" s="28">
        <f>L11</f>
        <v>8.7506879471656474E-2</v>
      </c>
    </row>
    <row r="12" spans="1:25" x14ac:dyDescent="0.25">
      <c r="A12" t="s">
        <v>806</v>
      </c>
      <c r="B12" s="28">
        <f>(Data1!BM320/Data1!BM280)^(1/10)-1</f>
        <v>1.9424732461083005E-2</v>
      </c>
      <c r="C12" s="28">
        <f>(Data1!BN320/Data1!BN280)^(1/10)-1</f>
        <v>5.2752221416320078E-2</v>
      </c>
      <c r="D12" s="28">
        <f>(Data1!B320/Data1!B280)^(1/10)-1</f>
        <v>2.9144981836640493E-2</v>
      </c>
      <c r="F12" s="30">
        <f>Data1!A143</f>
        <v>29830</v>
      </c>
      <c r="G12" s="31">
        <f>Data1!B143</f>
        <v>20.14</v>
      </c>
      <c r="H12" s="31">
        <f>Data1!BM143</f>
        <v>12.05</v>
      </c>
      <c r="I12" s="31" t="e">
        <f>IF(ISBLANK(Data1!BN143),NA(),Data1!BN143)</f>
        <v>#N/A</v>
      </c>
      <c r="J12" s="28">
        <f>IFERROR(Data1!BM143/Data1!BM139-1,NA())</f>
        <v>0.15200764818355639</v>
      </c>
      <c r="K12" s="28" t="e">
        <f>IFERROR(IF(OR(ISBLANK(Data1!BN143),ISBLANK(Data1!BN139)),NA(),Data1!BN143/Data1!BN139-1),NA())</f>
        <v>#N/A</v>
      </c>
      <c r="L12" s="28">
        <f>IFERROR(Data1!B143/Data1!B139-1,NA())</f>
        <v>8.982683982683981E-2</v>
      </c>
      <c r="N12">
        <f t="shared" si="0"/>
        <v>1984</v>
      </c>
      <c r="O12" s="31" cm="1">
        <f t="array" ref="O12">INDEX(Data1!BM:BM,140+($N12-1980)*4)</f>
        <v>18.39</v>
      </c>
      <c r="P12" s="31" t="e" cm="1">
        <f t="array" ref="P12">IF($N12&lt;1989,NA(),INDEX(Data1!BN:BN,140+($N12-1980)*4))</f>
        <v>#N/A</v>
      </c>
      <c r="Q12" s="31" cm="1">
        <f t="array" ref="Q12">INDEX(Data1!B:B,140+($N12-1980)*4)</f>
        <v>25.98</v>
      </c>
      <c r="R12" s="28">
        <f t="shared" si="1"/>
        <v>2.8523489932885893E-2</v>
      </c>
      <c r="S12" s="28" t="e">
        <f t="shared" si="2"/>
        <v>#N/A</v>
      </c>
      <c r="T12" s="28">
        <f t="shared" si="3"/>
        <v>2.6066350710900466E-2</v>
      </c>
      <c r="V12" s="30">
        <f>F12</f>
        <v>29830</v>
      </c>
      <c r="W12" s="28">
        <f>J12</f>
        <v>0.15200764818355639</v>
      </c>
      <c r="X12" s="28" t="e">
        <f>K12</f>
        <v>#N/A</v>
      </c>
      <c r="Y12" s="28">
        <f>L12</f>
        <v>8.982683982683981E-2</v>
      </c>
    </row>
    <row r="13" spans="1:25" x14ac:dyDescent="0.25">
      <c r="A13" t="s">
        <v>807</v>
      </c>
      <c r="B13" s="28">
        <f>Data1!BM320/Data1!BM240-1</f>
        <v>1.5359265262020525</v>
      </c>
      <c r="C13" s="28">
        <f>Data1!BN320/Data1!BN240-1</f>
        <v>2.1893816769180963</v>
      </c>
      <c r="D13" s="28">
        <f>Data1!B320/Data1!B240-1</f>
        <v>0.72311920302301602</v>
      </c>
      <c r="F13" s="30">
        <f>Data1!A144</f>
        <v>29921</v>
      </c>
      <c r="G13" s="31">
        <f>Data1!B144</f>
        <v>20.99</v>
      </c>
      <c r="H13" s="31">
        <f>Data1!BM144</f>
        <v>12.31</v>
      </c>
      <c r="I13" s="31" t="e">
        <f>IF(ISBLANK(Data1!BN144),NA(),Data1!BN144)</f>
        <v>#N/A</v>
      </c>
      <c r="J13" s="28">
        <f>IFERROR(Data1!BM144/Data1!BM140-1,NA())</f>
        <v>0.16904083570750239</v>
      </c>
      <c r="K13" s="28" t="e">
        <f>IFERROR(IF(OR(ISBLANK(Data1!BN144),ISBLANK(Data1!BN140)),NA(),Data1!BN144/Data1!BN140-1),NA())</f>
        <v>#N/A</v>
      </c>
      <c r="L13" s="28">
        <f>IFERROR(Data1!B144/Data1!B140-1,NA())</f>
        <v>0.11234764175940626</v>
      </c>
      <c r="N13">
        <f t="shared" si="0"/>
        <v>1985</v>
      </c>
      <c r="O13" s="31" cm="1">
        <f t="array" ref="O13">INDEX(Data1!BM:BM,140+($N13-1980)*4)</f>
        <v>19.54</v>
      </c>
      <c r="P13" s="31" t="e" cm="1">
        <f t="array" ref="P13">IF($N13&lt;1989,NA(),INDEX(Data1!BN:BN,140+($N13-1980)*4))</f>
        <v>#N/A</v>
      </c>
      <c r="Q13" s="31" cm="1">
        <f t="array" ref="Q13">INDEX(Data1!B:B,140+($N13-1980)*4)</f>
        <v>28.11</v>
      </c>
      <c r="R13" s="28">
        <f t="shared" si="1"/>
        <v>6.2533985861881414E-2</v>
      </c>
      <c r="S13" s="28" t="e">
        <f t="shared" si="2"/>
        <v>#N/A</v>
      </c>
      <c r="T13" s="28">
        <f t="shared" si="3"/>
        <v>8.1986143187066984E-2</v>
      </c>
      <c r="V13" s="30">
        <f>F13</f>
        <v>29921</v>
      </c>
      <c r="W13" s="28">
        <f>J13</f>
        <v>0.16904083570750239</v>
      </c>
      <c r="X13" s="28" t="e">
        <f>K13</f>
        <v>#N/A</v>
      </c>
      <c r="Y13" s="28">
        <f>L13</f>
        <v>0.11234764175940626</v>
      </c>
    </row>
    <row r="14" spans="1:25" x14ac:dyDescent="0.25">
      <c r="A14" t="s">
        <v>808</v>
      </c>
      <c r="B14" s="28">
        <f>(Data1!BM320/Data1!BM240)^(1/20)-1</f>
        <v>4.7627363187934701E-2</v>
      </c>
      <c r="C14" s="28">
        <f>(Data1!BN320/Data1!BN240)^(1/20)-1</f>
        <v>5.9705832729302077E-2</v>
      </c>
      <c r="D14" s="28">
        <f>(Data1!B320/Data1!B240)^(1/20)-1</f>
        <v>2.7580291514387012E-2</v>
      </c>
      <c r="F14" s="30">
        <f>Data1!A145</f>
        <v>30011</v>
      </c>
      <c r="G14" s="31">
        <f>Data1!B145</f>
        <v>21.38</v>
      </c>
      <c r="H14" s="31">
        <f>Data1!BM145</f>
        <v>13.42</v>
      </c>
      <c r="I14" s="31" t="e">
        <f>IF(ISBLANK(Data1!BN145),NA(),Data1!BN145)</f>
        <v>#N/A</v>
      </c>
      <c r="J14" s="28">
        <f>IFERROR(Data1!BM145/Data1!BM141-1,NA())</f>
        <v>0.170008718395815</v>
      </c>
      <c r="K14" s="28" t="e">
        <f>IFERROR(IF(OR(ISBLANK(Data1!BN145),ISBLANK(Data1!BN141)),NA(),Data1!BN145/Data1!BN141-1),NA())</f>
        <v>#N/A</v>
      </c>
      <c r="L14" s="28">
        <f>IFERROR(Data1!B145/Data1!B141-1,NA())</f>
        <v>0.10605276771857231</v>
      </c>
      <c r="N14">
        <f t="shared" si="0"/>
        <v>1986</v>
      </c>
      <c r="O14" s="31" cm="1">
        <f t="array" ref="O14">INDEX(Data1!BM:BM,140+($N14-1980)*4)</f>
        <v>20.75</v>
      </c>
      <c r="P14" s="31" t="e" cm="1">
        <f t="array" ref="P14">IF($N14&lt;1989,NA(),INDEX(Data1!BN:BN,140+($N14-1980)*4))</f>
        <v>#N/A</v>
      </c>
      <c r="Q14" s="31" cm="1">
        <f t="array" ref="Q14">INDEX(Data1!B:B,140+($N14-1980)*4)</f>
        <v>30.85</v>
      </c>
      <c r="R14" s="28">
        <f t="shared" si="1"/>
        <v>6.192425793244638E-2</v>
      </c>
      <c r="S14" s="28" t="e">
        <f t="shared" si="2"/>
        <v>#N/A</v>
      </c>
      <c r="T14" s="28">
        <f t="shared" si="3"/>
        <v>9.7474208466737933E-2</v>
      </c>
      <c r="V14" s="30">
        <f>F14</f>
        <v>30011</v>
      </c>
      <c r="W14" s="28">
        <f>J14</f>
        <v>0.170008718395815</v>
      </c>
      <c r="X14" s="28" t="e">
        <f>K14</f>
        <v>#N/A</v>
      </c>
      <c r="Y14" s="28">
        <f>L14</f>
        <v>0.10605276771857231</v>
      </c>
    </row>
    <row r="15" spans="1:25" x14ac:dyDescent="0.25">
      <c r="A15" s="27" t="s">
        <v>809</v>
      </c>
      <c r="B15" s="29">
        <f>Data1!BM320/Data1!BM139-1</f>
        <v>7.975143403441681</v>
      </c>
      <c r="C15" s="29">
        <f>Data1!BN320/Data1!BN175-1</f>
        <v>4.8330373001776197</v>
      </c>
      <c r="D15" s="29">
        <f>Data1!B320/Data1!B139-1</f>
        <v>4.4285714285714279</v>
      </c>
      <c r="F15" s="30">
        <f>Data1!A146</f>
        <v>30103</v>
      </c>
      <c r="G15" s="31">
        <f>Data1!B146</f>
        <v>21.88</v>
      </c>
      <c r="H15" s="31">
        <f>Data1!BM146</f>
        <v>14.07</v>
      </c>
      <c r="I15" s="31" t="e">
        <f>IF(ISBLANK(Data1!BN146),NA(),Data1!BN146)</f>
        <v>#N/A</v>
      </c>
      <c r="J15" s="28">
        <f>IFERROR(Data1!BM146/Data1!BM142-1,NA())</f>
        <v>0.21607605877268798</v>
      </c>
      <c r="K15" s="28" t="e">
        <f>IFERROR(IF(OR(ISBLANK(Data1!BN146),ISBLANK(Data1!BN142)),NA(),Data1!BN146/Data1!BN142-1),NA())</f>
        <v>#N/A</v>
      </c>
      <c r="L15" s="28">
        <f>IFERROR(Data1!B146/Data1!B142-1,NA())</f>
        <v>0.10728744939271251</v>
      </c>
      <c r="N15">
        <f t="shared" si="0"/>
        <v>1987</v>
      </c>
      <c r="O15" s="31" cm="1">
        <f t="array" ref="O15">INDEX(Data1!BM:BM,140+($N15-1980)*4)</f>
        <v>22.07</v>
      </c>
      <c r="P15" s="31" t="e" cm="1">
        <f t="array" ref="P15">IF($N15&lt;1989,NA(),INDEX(Data1!BN:BN,140+($N15-1980)*4))</f>
        <v>#N/A</v>
      </c>
      <c r="Q15" s="31" cm="1">
        <f t="array" ref="Q15">INDEX(Data1!B:B,140+($N15-1980)*4)</f>
        <v>33.049999999999997</v>
      </c>
      <c r="R15" s="28">
        <f t="shared" si="1"/>
        <v>6.3614457831325355E-2</v>
      </c>
      <c r="S15" s="28" t="e">
        <f t="shared" si="2"/>
        <v>#N/A</v>
      </c>
      <c r="T15" s="28">
        <f t="shared" si="3"/>
        <v>7.1312803889789222E-2</v>
      </c>
      <c r="V15" s="30">
        <f>F15</f>
        <v>30103</v>
      </c>
      <c r="W15" s="28">
        <f>J15</f>
        <v>0.21607605877268798</v>
      </c>
      <c r="X15" s="28" t="e">
        <f>K15</f>
        <v>#N/A</v>
      </c>
      <c r="Y15" s="28">
        <f>L15</f>
        <v>0.10728744939271251</v>
      </c>
    </row>
    <row r="16" spans="1:25" x14ac:dyDescent="0.25">
      <c r="A16" s="27" t="s">
        <v>810</v>
      </c>
      <c r="B16" s="29">
        <f>(Data1!BM320/Data1!BM139)^(1/((2025-1980)))-1</f>
        <v>4.9974369223002801E-2</v>
      </c>
      <c r="C16" s="29">
        <f>(Data1!BN320/Data1!BN175)^(1/((2025-1989)))-1</f>
        <v>5.0206868402055571E-2</v>
      </c>
      <c r="D16" s="29">
        <f>(Data1!B320/Data1!B139)^(1/((2025-1980)))-1</f>
        <v>3.8308347871969461E-2</v>
      </c>
      <c r="F16" s="30">
        <f>Data1!A147</f>
        <v>30195</v>
      </c>
      <c r="G16" s="31">
        <f>Data1!B147</f>
        <v>22.65</v>
      </c>
      <c r="H16" s="31">
        <f>Data1!BM147</f>
        <v>15.45</v>
      </c>
      <c r="I16" s="31" t="e">
        <f>IF(ISBLANK(Data1!BN147),NA(),Data1!BN147)</f>
        <v>#N/A</v>
      </c>
      <c r="J16" s="28">
        <f>IFERROR(Data1!BM147/Data1!BM143-1,NA())</f>
        <v>0.2821576763485476</v>
      </c>
      <c r="K16" s="28" t="e">
        <f>IFERROR(IF(OR(ISBLANK(Data1!BN147),ISBLANK(Data1!BN143)),NA(),Data1!BN147/Data1!BN143-1),NA())</f>
        <v>#N/A</v>
      </c>
      <c r="L16" s="28">
        <f>IFERROR(Data1!B147/Data1!B143-1,NA())</f>
        <v>0.12462760675273077</v>
      </c>
      <c r="N16">
        <f t="shared" si="0"/>
        <v>1988</v>
      </c>
      <c r="O16" s="31" cm="1">
        <f t="array" ref="O16">INDEX(Data1!BM:BM,140+($N16-1980)*4)</f>
        <v>23.23</v>
      </c>
      <c r="P16" s="31" t="e" cm="1">
        <f t="array" ref="P16">IF($N16&lt;1989,NA(),INDEX(Data1!BN:BN,140+($N16-1980)*4))</f>
        <v>#N/A</v>
      </c>
      <c r="Q16" s="31" cm="1">
        <f t="array" ref="Q16">INDEX(Data1!B:B,140+($N16-1980)*4)</f>
        <v>35.57</v>
      </c>
      <c r="R16" s="28">
        <f t="shared" si="1"/>
        <v>5.2560036248300968E-2</v>
      </c>
      <c r="S16" s="28" t="e">
        <f t="shared" si="2"/>
        <v>#N/A</v>
      </c>
      <c r="T16" s="28">
        <f t="shared" si="3"/>
        <v>7.6248108925869973E-2</v>
      </c>
      <c r="V16" s="30">
        <f>F16</f>
        <v>30195</v>
      </c>
      <c r="W16" s="28">
        <f>J16</f>
        <v>0.2821576763485476</v>
      </c>
      <c r="X16" s="28" t="e">
        <f>K16</f>
        <v>#N/A</v>
      </c>
      <c r="Y16" s="28">
        <f>L16</f>
        <v>0.12462760675273077</v>
      </c>
    </row>
    <row r="17" spans="1:25" x14ac:dyDescent="0.25">
      <c r="F17" s="30">
        <f>Data1!A148</f>
        <v>30286</v>
      </c>
      <c r="G17" s="31">
        <f>Data1!B148</f>
        <v>23.31</v>
      </c>
      <c r="H17" s="31">
        <f>Data1!BM148</f>
        <v>16.53</v>
      </c>
      <c r="I17" s="31" t="e">
        <f>IF(ISBLANK(Data1!BN148),NA(),Data1!BN148)</f>
        <v>#N/A</v>
      </c>
      <c r="J17" s="28">
        <f>IFERROR(Data1!BM148/Data1!BM144-1,NA())</f>
        <v>0.34281072298943949</v>
      </c>
      <c r="K17" s="28" t="e">
        <f>IFERROR(IF(OR(ISBLANK(Data1!BN148),ISBLANK(Data1!BN144)),NA(),Data1!BN148/Data1!BN144-1),NA())</f>
        <v>#N/A</v>
      </c>
      <c r="L17" s="28">
        <f>IFERROR(Data1!B148/Data1!B144-1,NA())</f>
        <v>0.11052882324916635</v>
      </c>
      <c r="N17">
        <f t="shared" si="0"/>
        <v>1989</v>
      </c>
      <c r="O17" s="31" cm="1">
        <f t="array" ref="O17">INDEX(Data1!BM:BM,140+($N17-1980)*4)</f>
        <v>24.12</v>
      </c>
      <c r="P17" s="31" cm="1">
        <f t="array" ref="P17">IF($N17&lt;1989,NA(),INDEX(Data1!BN:BN,140+($N17-1980)*4))</f>
        <v>17.239999999999998</v>
      </c>
      <c r="Q17" s="31" cm="1">
        <f t="array" ref="Q17">INDEX(Data1!B:B,140+($N17-1980)*4)</f>
        <v>38.35</v>
      </c>
      <c r="R17" s="28">
        <f t="shared" si="1"/>
        <v>3.831252690486453E-2</v>
      </c>
      <c r="S17" s="28" t="e">
        <f t="shared" si="2"/>
        <v>#N/A</v>
      </c>
      <c r="T17" s="28">
        <f t="shared" si="3"/>
        <v>7.8155749226876514E-2</v>
      </c>
      <c r="V17" s="30">
        <f>F17</f>
        <v>30286</v>
      </c>
      <c r="W17" s="28">
        <f>J17</f>
        <v>0.34281072298943949</v>
      </c>
      <c r="X17" s="28" t="e">
        <f>K17</f>
        <v>#N/A</v>
      </c>
      <c r="Y17" s="28">
        <f>L17</f>
        <v>0.11052882324916635</v>
      </c>
    </row>
    <row r="18" spans="1:25" x14ac:dyDescent="0.25">
      <c r="F18" s="30">
        <f>Data1!A149</f>
        <v>30376</v>
      </c>
      <c r="G18" s="31">
        <f>Data1!B149</f>
        <v>23.81</v>
      </c>
      <c r="H18" s="31">
        <f>Data1!BM149</f>
        <v>16.63</v>
      </c>
      <c r="I18" s="31" t="e">
        <f>IF(ISBLANK(Data1!BN149),NA(),Data1!BN149)</f>
        <v>#N/A</v>
      </c>
      <c r="J18" s="28">
        <f>IFERROR(Data1!BM149/Data1!BM145-1,NA())</f>
        <v>0.2391952309985097</v>
      </c>
      <c r="K18" s="28" t="e">
        <f>IFERROR(IF(OR(ISBLANK(Data1!BN149),ISBLANK(Data1!BN145)),NA(),Data1!BN149/Data1!BN145-1),NA())</f>
        <v>#N/A</v>
      </c>
      <c r="L18" s="28">
        <f>IFERROR(Data1!B149/Data1!B145-1,NA())</f>
        <v>0.11365762394761458</v>
      </c>
      <c r="N18">
        <f t="shared" si="0"/>
        <v>1990</v>
      </c>
      <c r="O18" s="31" cm="1">
        <f t="array" ref="O18">INDEX(Data1!BM:BM,140+($N18-1980)*4)</f>
        <v>25.3</v>
      </c>
      <c r="P18" s="31" cm="1">
        <f t="array" ref="P18">IF($N18&lt;1989,NA(),INDEX(Data1!BN:BN,140+($N18-1980)*4))</f>
        <v>18.46</v>
      </c>
      <c r="Q18" s="31" cm="1">
        <f t="array" ref="Q18">INDEX(Data1!B:B,140+($N18-1980)*4)</f>
        <v>40.98</v>
      </c>
      <c r="R18" s="28">
        <f t="shared" si="1"/>
        <v>4.8922056384743007E-2</v>
      </c>
      <c r="S18" s="28">
        <f t="shared" si="2"/>
        <v>7.0765661252900403E-2</v>
      </c>
      <c r="T18" s="28">
        <f t="shared" si="3"/>
        <v>6.8578878748370098E-2</v>
      </c>
      <c r="V18" s="30">
        <f>F18</f>
        <v>30376</v>
      </c>
      <c r="W18" s="28">
        <f>J18</f>
        <v>0.2391952309985097</v>
      </c>
      <c r="X18" s="28" t="e">
        <f>K18</f>
        <v>#N/A</v>
      </c>
      <c r="Y18" s="28">
        <f>L18</f>
        <v>0.11365762394761458</v>
      </c>
    </row>
    <row r="19" spans="1:25" ht="17.25" x14ac:dyDescent="0.3">
      <c r="A19" s="23" t="s">
        <v>823</v>
      </c>
      <c r="F19" s="30">
        <f>Data1!A150</f>
        <v>30468</v>
      </c>
      <c r="G19" s="31">
        <f>Data1!B150</f>
        <v>24.32</v>
      </c>
      <c r="H19" s="31">
        <f>Data1!BM150</f>
        <v>16.600000000000001</v>
      </c>
      <c r="I19" s="31" t="e">
        <f>IF(ISBLANK(Data1!BN150),NA(),Data1!BN150)</f>
        <v>#N/A</v>
      </c>
      <c r="J19" s="28">
        <f>IFERROR(Data1!BM150/Data1!BM146-1,NA())</f>
        <v>0.17981520966595599</v>
      </c>
      <c r="K19" s="28" t="e">
        <f>IFERROR(IF(OR(ISBLANK(Data1!BN150),ISBLANK(Data1!BN146)),NA(),Data1!BN150/Data1!BN146-1),NA())</f>
        <v>#N/A</v>
      </c>
      <c r="L19" s="28">
        <f>IFERROR(Data1!B150/Data1!B146-1,NA())</f>
        <v>0.11151736745886653</v>
      </c>
      <c r="N19">
        <f t="shared" si="0"/>
        <v>1991</v>
      </c>
      <c r="O19" s="31" cm="1">
        <f t="array" ref="O19">INDEX(Data1!BM:BM,140+($N19-1980)*4)</f>
        <v>26.53</v>
      </c>
      <c r="P19" s="31" cm="1">
        <f t="array" ref="P19">IF($N19&lt;1989,NA(),INDEX(Data1!BN:BN,140+($N19-1980)*4))</f>
        <v>19.149999999999999</v>
      </c>
      <c r="Q19" s="31" cm="1">
        <f t="array" ref="Q19">INDEX(Data1!B:B,140+($N19-1980)*4)</f>
        <v>41.6</v>
      </c>
      <c r="R19" s="28">
        <f t="shared" si="1"/>
        <v>4.8616600790513775E-2</v>
      </c>
      <c r="S19" s="28">
        <f t="shared" si="2"/>
        <v>3.7378114842903543E-2</v>
      </c>
      <c r="T19" s="28">
        <f t="shared" si="3"/>
        <v>1.512933138116157E-2</v>
      </c>
      <c r="V19" s="30">
        <f>F19</f>
        <v>30468</v>
      </c>
      <c r="W19" s="28">
        <f>J19</f>
        <v>0.17981520966595599</v>
      </c>
      <c r="X19" s="28" t="e">
        <f>K19</f>
        <v>#N/A</v>
      </c>
      <c r="Y19" s="28">
        <f>L19</f>
        <v>0.11151736745886653</v>
      </c>
    </row>
    <row r="20" spans="1:25" x14ac:dyDescent="0.25">
      <c r="F20" s="30">
        <f>Data1!A151</f>
        <v>30560</v>
      </c>
      <c r="G20" s="31">
        <f>Data1!B151</f>
        <v>24.74</v>
      </c>
      <c r="H20" s="31">
        <f>Data1!BM151</f>
        <v>17.11</v>
      </c>
      <c r="I20" s="31" t="e">
        <f>IF(ISBLANK(Data1!BN151),NA(),Data1!BN151)</f>
        <v>#N/A</v>
      </c>
      <c r="J20" s="28">
        <f>IFERROR(Data1!BM151/Data1!BM147-1,NA())</f>
        <v>0.10744336569579294</v>
      </c>
      <c r="K20" s="28" t="e">
        <f>IFERROR(IF(OR(ISBLANK(Data1!BN151),ISBLANK(Data1!BN147)),NA(),Data1!BN151/Data1!BN147-1),NA())</f>
        <v>#N/A</v>
      </c>
      <c r="L20" s="28">
        <f>IFERROR(Data1!B151/Data1!B147-1,NA())</f>
        <v>9.2273730684326649E-2</v>
      </c>
      <c r="N20">
        <f t="shared" si="0"/>
        <v>1992</v>
      </c>
      <c r="O20" s="31" cm="1">
        <f t="array" ref="O20">INDEX(Data1!BM:BM,140+($N20-1980)*4)</f>
        <v>27.64</v>
      </c>
      <c r="P20" s="31" cm="1">
        <f t="array" ref="P20">IF($N20&lt;1989,NA(),INDEX(Data1!BN:BN,140+($N20-1980)*4))</f>
        <v>19.829999999999998</v>
      </c>
      <c r="Q20" s="31" cm="1">
        <f t="array" ref="Q20">INDEX(Data1!B:B,140+($N20-1980)*4)</f>
        <v>41.71</v>
      </c>
      <c r="R20" s="28">
        <f t="shared" si="1"/>
        <v>4.1839427063701473E-2</v>
      </c>
      <c r="S20" s="28">
        <f t="shared" si="2"/>
        <v>3.5509138381200955E-2</v>
      </c>
      <c r="T20" s="28">
        <f t="shared" si="3"/>
        <v>2.6442307692307043E-3</v>
      </c>
      <c r="V20" s="30">
        <f>F20</f>
        <v>30560</v>
      </c>
      <c r="W20" s="28">
        <f>J20</f>
        <v>0.10744336569579294</v>
      </c>
      <c r="X20" s="28" t="e">
        <f>K20</f>
        <v>#N/A</v>
      </c>
      <c r="Y20" s="28">
        <f>L20</f>
        <v>9.2273730684326649E-2</v>
      </c>
    </row>
    <row r="21" spans="1:25" x14ac:dyDescent="0.25">
      <c r="A21" s="24" t="s">
        <v>824</v>
      </c>
      <c r="B21" s="26" t="s">
        <v>799</v>
      </c>
      <c r="C21" s="26" t="s">
        <v>800</v>
      </c>
      <c r="D21" s="26" t="s">
        <v>801</v>
      </c>
      <c r="F21" s="30">
        <f>Data1!A152</f>
        <v>30651</v>
      </c>
      <c r="G21" s="31">
        <f>Data1!B152</f>
        <v>25.32</v>
      </c>
      <c r="H21" s="31">
        <f>Data1!BM152</f>
        <v>17.88</v>
      </c>
      <c r="I21" s="31" t="e">
        <f>IF(ISBLANK(Data1!BN152),NA(),Data1!BN152)</f>
        <v>#N/A</v>
      </c>
      <c r="J21" s="28">
        <f>IFERROR(Data1!BM152/Data1!BM148-1,NA())</f>
        <v>8.1669691470054318E-2</v>
      </c>
      <c r="K21" s="28" t="e">
        <f>IFERROR(IF(OR(ISBLANK(Data1!BN152),ISBLANK(Data1!BN148)),NA(),Data1!BN152/Data1!BN148-1),NA())</f>
        <v>#N/A</v>
      </c>
      <c r="L21" s="28">
        <f>IFERROR(Data1!B152/Data1!B148-1,NA())</f>
        <v>8.6229086229086205E-2</v>
      </c>
      <c r="N21">
        <f t="shared" si="0"/>
        <v>1993</v>
      </c>
      <c r="O21" s="31" cm="1">
        <f t="array" ref="O21">INDEX(Data1!BM:BM,140+($N21-1980)*4)</f>
        <v>28.24</v>
      </c>
      <c r="P21" s="31" cm="1">
        <f t="array" ref="P21">IF($N21&lt;1989,NA(),INDEX(Data1!BN:BN,140+($N21-1980)*4))</f>
        <v>20.62</v>
      </c>
      <c r="Q21" s="31" cm="1">
        <f t="array" ref="Q21">INDEX(Data1!B:B,140+($N21-1980)*4)</f>
        <v>42.53</v>
      </c>
      <c r="R21" s="28">
        <f t="shared" si="1"/>
        <v>2.1707670043415339E-2</v>
      </c>
      <c r="S21" s="28">
        <f t="shared" si="2"/>
        <v>3.9838628340897797E-2</v>
      </c>
      <c r="T21" s="28">
        <f t="shared" si="3"/>
        <v>1.9659554063773621E-2</v>
      </c>
      <c r="V21" s="30">
        <f>F21</f>
        <v>30651</v>
      </c>
      <c r="W21" s="28">
        <f>J21</f>
        <v>8.1669691470054318E-2</v>
      </c>
      <c r="X21" s="28" t="e">
        <f>K21</f>
        <v>#N/A</v>
      </c>
      <c r="Y21" s="28">
        <f>L21</f>
        <v>8.6229086229086205E-2</v>
      </c>
    </row>
    <row r="22" spans="1:25" x14ac:dyDescent="0.25">
      <c r="A22" t="s">
        <v>825</v>
      </c>
      <c r="B22" s="28">
        <f>(VLOOKUP(1990,$N$8:$Q$53,2,FALSE)/VLOOKUP(1980,$N$8:$Q$53,2,FALSE))^(1/10)-1</f>
        <v>9.1614296895311309E-2</v>
      </c>
      <c r="C22" s="32" t="s">
        <v>826</v>
      </c>
      <c r="D22" s="28">
        <f>(VLOOKUP(1990,$N$8:$Q$53,4,FALSE)/VLOOKUP(1980,$N$8:$Q$53,4,FALSE))^(1/10)-1</f>
        <v>8.0637428218143015E-2</v>
      </c>
      <c r="F22" s="30">
        <f>Data1!A153</f>
        <v>30742</v>
      </c>
      <c r="G22" s="31">
        <f>Data1!B153</f>
        <v>25.21</v>
      </c>
      <c r="H22" s="31">
        <f>Data1!BM153</f>
        <v>17.66</v>
      </c>
      <c r="I22" s="31" t="e">
        <f>IF(ISBLANK(Data1!BN153),NA(),Data1!BN153)</f>
        <v>#N/A</v>
      </c>
      <c r="J22" s="28">
        <f>IFERROR(Data1!BM153/Data1!BM149-1,NA())</f>
        <v>6.1936259771497415E-2</v>
      </c>
      <c r="K22" s="28" t="e">
        <f>IFERROR(IF(OR(ISBLANK(Data1!BN153),ISBLANK(Data1!BN149)),NA(),Data1!BN153/Data1!BN149-1),NA())</f>
        <v>#N/A</v>
      </c>
      <c r="L22" s="28">
        <f>IFERROR(Data1!B153/Data1!B149-1,NA())</f>
        <v>5.8798824023519547E-2</v>
      </c>
      <c r="N22">
        <f t="shared" si="0"/>
        <v>1994</v>
      </c>
      <c r="O22" s="31" cm="1">
        <f t="array" ref="O22">INDEX(Data1!BM:BM,140+($N22-1980)*4)</f>
        <v>28.26</v>
      </c>
      <c r="P22" s="31" cm="1">
        <f t="array" ref="P22">IF($N22&lt;1989,NA(),INDEX(Data1!BN:BN,140+($N22-1980)*4))</f>
        <v>21.1</v>
      </c>
      <c r="Q22" s="31" cm="1">
        <f t="array" ref="Q22">INDEX(Data1!B:B,140+($N22-1980)*4)</f>
        <v>43.61</v>
      </c>
      <c r="R22" s="28">
        <f t="shared" si="1"/>
        <v>7.0821529745046519E-4</v>
      </c>
      <c r="S22" s="28">
        <f t="shared" si="2"/>
        <v>2.3278370514064006E-2</v>
      </c>
      <c r="T22" s="28">
        <f t="shared" si="3"/>
        <v>2.539383964260522E-2</v>
      </c>
      <c r="V22" s="30">
        <f>F22</f>
        <v>30742</v>
      </c>
      <c r="W22" s="28">
        <f>J22</f>
        <v>6.1936259771497415E-2</v>
      </c>
      <c r="X22" s="28" t="e">
        <f>K22</f>
        <v>#N/A</v>
      </c>
      <c r="Y22" s="28">
        <f>L22</f>
        <v>5.8798824023519547E-2</v>
      </c>
    </row>
    <row r="23" spans="1:25" x14ac:dyDescent="0.25">
      <c r="A23" t="s">
        <v>827</v>
      </c>
      <c r="B23" s="28">
        <f>(VLOOKUP(2000,$N$8:$Q$53,2,FALSE)/VLOOKUP(1990,$N$8:$Q$53,2,FALSE))^(1/10)-1</f>
        <v>2.1835326079469031E-2</v>
      </c>
      <c r="C23" s="28">
        <f>(VLOOKUP(2000,$N$8:$Q$53,3,FALSE)/VLOOKUP(1990,$N$8:$Q$53,3,FALSE))^(1/10)-1</f>
        <v>2.7104331381045732E-2</v>
      </c>
      <c r="D23" s="28">
        <f>(VLOOKUP(2000,$N$8:$Q$53,4,FALSE)/VLOOKUP(1990,$N$8:$Q$53,4,FALSE))^(1/10)-1</f>
        <v>2.1633125168552425E-2</v>
      </c>
      <c r="F23" s="30">
        <f>Data1!A154</f>
        <v>30834</v>
      </c>
      <c r="G23" s="31">
        <f>Data1!B154</f>
        <v>25.28</v>
      </c>
      <c r="H23" s="31">
        <f>Data1!BM154</f>
        <v>17.329999999999998</v>
      </c>
      <c r="I23" s="31" t="e">
        <f>IF(ISBLANK(Data1!BN154),NA(),Data1!BN154)</f>
        <v>#N/A</v>
      </c>
      <c r="J23" s="28">
        <f>IFERROR(Data1!BM154/Data1!BM150-1,NA())</f>
        <v>4.3975903614457579E-2</v>
      </c>
      <c r="K23" s="28" t="e">
        <f>IFERROR(IF(OR(ISBLANK(Data1!BN154),ISBLANK(Data1!BN150)),NA(),Data1!BN154/Data1!BN150-1),NA())</f>
        <v>#N/A</v>
      </c>
      <c r="L23" s="28">
        <f>IFERROR(Data1!B154/Data1!B150-1,NA())</f>
        <v>3.9473684210526327E-2</v>
      </c>
      <c r="N23">
        <f t="shared" si="0"/>
        <v>1995</v>
      </c>
      <c r="O23" s="31" cm="1">
        <f t="array" ref="O23">INDEX(Data1!BM:BM,140+($N23-1980)*4)</f>
        <v>28.34</v>
      </c>
      <c r="P23" s="31" cm="1">
        <f t="array" ref="P23">IF($N23&lt;1989,NA(),INDEX(Data1!BN:BN,140+($N23-1980)*4))</f>
        <v>21.48</v>
      </c>
      <c r="Q23" s="31" cm="1">
        <f t="array" ref="Q23">INDEX(Data1!B:B,140+($N23-1980)*4)</f>
        <v>45.81</v>
      </c>
      <c r="R23" s="28">
        <f t="shared" si="1"/>
        <v>2.8308563340408988E-3</v>
      </c>
      <c r="S23" s="28">
        <f t="shared" si="2"/>
        <v>1.8009478672985635E-2</v>
      </c>
      <c r="T23" s="28">
        <f t="shared" si="3"/>
        <v>5.0447145150194883E-2</v>
      </c>
      <c r="V23" s="30">
        <f>F23</f>
        <v>30834</v>
      </c>
      <c r="W23" s="28">
        <f>J23</f>
        <v>4.3975903614457579E-2</v>
      </c>
      <c r="X23" s="28" t="e">
        <f>K23</f>
        <v>#N/A</v>
      </c>
      <c r="Y23" s="28">
        <f>L23</f>
        <v>3.9473684210526327E-2</v>
      </c>
    </row>
    <row r="24" spans="1:25" x14ac:dyDescent="0.25">
      <c r="A24" t="s">
        <v>828</v>
      </c>
      <c r="B24" s="28">
        <f>(VLOOKUP(2010,$N$8:$Q$53,2,FALSE)/VLOOKUP(2000,$N$8:$Q$53,2,FALSE))^(1/10)-1</f>
        <v>6.299167582184273E-2</v>
      </c>
      <c r="C24" s="28">
        <f>(VLOOKUP(2010,$N$8:$Q$53,3,FALSE)/VLOOKUP(2000,$N$8:$Q$53,3,FALSE))^(1/10)-1</f>
        <v>5.9667640232862196E-2</v>
      </c>
      <c r="D24" s="28">
        <f>(VLOOKUP(2010,$N$8:$Q$53,4,FALSE)/VLOOKUP(2000,$N$8:$Q$53,4,FALSE))^(1/10)-1</f>
        <v>2.8545539116579643E-2</v>
      </c>
      <c r="F24" s="30">
        <f>Data1!A155</f>
        <v>30926</v>
      </c>
      <c r="G24" s="31">
        <f>Data1!B155</f>
        <v>25.59</v>
      </c>
      <c r="H24" s="31">
        <f>Data1!BM155</f>
        <v>17.899999999999999</v>
      </c>
      <c r="I24" s="31" t="e">
        <f>IF(ISBLANK(Data1!BN155),NA(),Data1!BN155)</f>
        <v>#N/A</v>
      </c>
      <c r="J24" s="28">
        <f>IFERROR(Data1!BM155/Data1!BM151-1,NA())</f>
        <v>4.6171829339567427E-2</v>
      </c>
      <c r="K24" s="28" t="e">
        <f>IFERROR(IF(OR(ISBLANK(Data1!BN155),ISBLANK(Data1!BN151)),NA(),Data1!BN155/Data1!BN151-1),NA())</f>
        <v>#N/A</v>
      </c>
      <c r="L24" s="28">
        <f>IFERROR(Data1!B155/Data1!B151-1,NA())</f>
        <v>3.4357316087308076E-2</v>
      </c>
      <c r="N24">
        <f t="shared" si="0"/>
        <v>1996</v>
      </c>
      <c r="O24" s="31" cm="1">
        <f t="array" ref="O24">INDEX(Data1!BM:BM,140+($N24-1980)*4)</f>
        <v>28.7</v>
      </c>
      <c r="P24" s="31" cm="1">
        <f t="array" ref="P24">IF($N24&lt;1989,NA(),INDEX(Data1!BN:BN,140+($N24-1980)*4))</f>
        <v>21.95</v>
      </c>
      <c r="Q24" s="31" cm="1">
        <f t="array" ref="Q24">INDEX(Data1!B:B,140+($N24-1980)*4)</f>
        <v>46.51</v>
      </c>
      <c r="R24" s="28">
        <f t="shared" si="1"/>
        <v>1.2702893436838281E-2</v>
      </c>
      <c r="S24" s="28">
        <f t="shared" si="2"/>
        <v>2.1880819366852933E-2</v>
      </c>
      <c r="T24" s="28">
        <f t="shared" si="3"/>
        <v>1.5280506439641961E-2</v>
      </c>
      <c r="V24" s="30">
        <f>F24</f>
        <v>30926</v>
      </c>
      <c r="W24" s="28">
        <f>J24</f>
        <v>4.6171829339567427E-2</v>
      </c>
      <c r="X24" s="28" t="e">
        <f>K24</f>
        <v>#N/A</v>
      </c>
      <c r="Y24" s="28">
        <f>L24</f>
        <v>3.4357316087308076E-2</v>
      </c>
    </row>
    <row r="25" spans="1:25" x14ac:dyDescent="0.25">
      <c r="A25" t="s">
        <v>829</v>
      </c>
      <c r="B25" s="28">
        <f>(VLOOKUP(2020,$N$8:$Q$53,2,FALSE)/VLOOKUP(2010,$N$8:$Q$53,2,FALSE))^(1/10)-1</f>
        <v>3.4696374368596183E-2</v>
      </c>
      <c r="C25" s="28">
        <f>(VLOOKUP(2020,$N$8:$Q$53,3,FALSE)/VLOOKUP(2010,$N$8:$Q$53,3,FALSE))^(1/10)-1</f>
        <v>4.3599418825568392E-2</v>
      </c>
      <c r="D25" s="28">
        <f>(VLOOKUP(2020,$N$8:$Q$53,4,FALSE)/VLOOKUP(2010,$N$8:$Q$53,4,FALSE))^(1/10)-1</f>
        <v>1.9264161509374711E-2</v>
      </c>
      <c r="F25" s="30">
        <f>Data1!A156</f>
        <v>31017</v>
      </c>
      <c r="G25" s="31">
        <f>Data1!B156</f>
        <v>25.98</v>
      </c>
      <c r="H25" s="31">
        <f>Data1!BM156</f>
        <v>18.39</v>
      </c>
      <c r="I25" s="31" t="e">
        <f>IF(ISBLANK(Data1!BN156),NA(),Data1!BN156)</f>
        <v>#N/A</v>
      </c>
      <c r="J25" s="28">
        <f>IFERROR(Data1!BM156/Data1!BM152-1,NA())</f>
        <v>2.8523489932885893E-2</v>
      </c>
      <c r="K25" s="28" t="e">
        <f>IFERROR(IF(OR(ISBLANK(Data1!BN156),ISBLANK(Data1!BN152)),NA(),Data1!BN156/Data1!BN152-1),NA())</f>
        <v>#N/A</v>
      </c>
      <c r="L25" s="28">
        <f>IFERROR(Data1!B156/Data1!B152-1,NA())</f>
        <v>2.6066350710900466E-2</v>
      </c>
      <c r="N25">
        <f t="shared" si="0"/>
        <v>1997</v>
      </c>
      <c r="O25" s="31" cm="1">
        <f t="array" ref="O25">INDEX(Data1!BM:BM,140+($N25-1980)*4)</f>
        <v>28.94</v>
      </c>
      <c r="P25" s="31" cm="1">
        <f t="array" ref="P25">IF($N25&lt;1989,NA(),INDEX(Data1!BN:BN,140+($N25-1980)*4))</f>
        <v>22.36</v>
      </c>
      <c r="Q25" s="31" cm="1">
        <f t="array" ref="Q25">INDEX(Data1!B:B,140+($N25-1980)*4)</f>
        <v>46.39</v>
      </c>
      <c r="R25" s="28">
        <f t="shared" si="1"/>
        <v>8.3623693379790698E-3</v>
      </c>
      <c r="S25" s="28">
        <f t="shared" si="2"/>
        <v>1.8678815489749478E-2</v>
      </c>
      <c r="T25" s="28">
        <f t="shared" si="3"/>
        <v>-2.5800903031605316E-3</v>
      </c>
      <c r="V25" s="30">
        <f>F25</f>
        <v>31017</v>
      </c>
      <c r="W25" s="28">
        <f>J25</f>
        <v>2.8523489932885893E-2</v>
      </c>
      <c r="X25" s="28" t="e">
        <f>K25</f>
        <v>#N/A</v>
      </c>
      <c r="Y25" s="28">
        <f>L25</f>
        <v>2.6066350710900466E-2</v>
      </c>
    </row>
    <row r="26" spans="1:25" x14ac:dyDescent="0.25">
      <c r="A26" t="s">
        <v>830</v>
      </c>
      <c r="B26" s="28">
        <f>(VLOOKUP(2025,$N$8:$Q$53,2,FALSE)/VLOOKUP(2020,$N$8:$Q$53,2,FALSE))^(1/5)-1</f>
        <v>2.9065704376990187E-2</v>
      </c>
      <c r="C26" s="28">
        <f>(VLOOKUP(2025,$N$8:$Q$53,3,FALSE)/VLOOKUP(2020,$N$8:$Q$53,3,FALSE))^(1/5)-1</f>
        <v>8.3483790415280312E-2</v>
      </c>
      <c r="D26" s="28">
        <f>(VLOOKUP(2025,$N$8:$Q$53,4,FALSE)/VLOOKUP(2020,$N$8:$Q$53,4,FALSE))^(1/5)-1</f>
        <v>4.2683794442716305E-2</v>
      </c>
      <c r="F26" s="30">
        <f>Data1!A157</f>
        <v>31107</v>
      </c>
      <c r="G26" s="31">
        <f>Data1!B157</f>
        <v>26.33</v>
      </c>
      <c r="H26" s="31">
        <f>Data1!BM157</f>
        <v>18.96</v>
      </c>
      <c r="I26" s="31" t="e">
        <f>IF(ISBLANK(Data1!BN157),NA(),Data1!BN157)</f>
        <v>#N/A</v>
      </c>
      <c r="J26" s="28">
        <f>IFERROR(Data1!BM157/Data1!BM153-1,NA())</f>
        <v>7.3612684031710174E-2</v>
      </c>
      <c r="K26" s="28" t="e">
        <f>IFERROR(IF(OR(ISBLANK(Data1!BN157),ISBLANK(Data1!BN153)),NA(),Data1!BN157/Data1!BN153-1),NA())</f>
        <v>#N/A</v>
      </c>
      <c r="L26" s="28">
        <f>IFERROR(Data1!B157/Data1!B153-1,NA())</f>
        <v>4.4426814756049149E-2</v>
      </c>
      <c r="N26">
        <f t="shared" si="0"/>
        <v>1998</v>
      </c>
      <c r="O26" s="31" cm="1">
        <f t="array" ref="O26">INDEX(Data1!BM:BM,140+($N26-1980)*4)</f>
        <v>27.95</v>
      </c>
      <c r="P26" s="31" cm="1">
        <f t="array" ref="P26">IF($N26&lt;1989,NA(),INDEX(Data1!BN:BN,140+($N26-1980)*4))</f>
        <v>22.36</v>
      </c>
      <c r="Q26" s="31" cm="1">
        <f t="array" ref="Q26">INDEX(Data1!B:B,140+($N26-1980)*4)</f>
        <v>47.11</v>
      </c>
      <c r="R26" s="28">
        <f t="shared" si="1"/>
        <v>-3.4208707671043559E-2</v>
      </c>
      <c r="S26" s="28">
        <f t="shared" si="2"/>
        <v>0</v>
      </c>
      <c r="T26" s="28">
        <f t="shared" si="3"/>
        <v>1.5520586333261477E-2</v>
      </c>
      <c r="V26" s="30">
        <f>F26</f>
        <v>31107</v>
      </c>
      <c r="W26" s="28">
        <f>J26</f>
        <v>7.3612684031710174E-2</v>
      </c>
      <c r="X26" s="28" t="e">
        <f>K26</f>
        <v>#N/A</v>
      </c>
      <c r="Y26" s="28">
        <f>L26</f>
        <v>4.4426814756049149E-2</v>
      </c>
    </row>
    <row r="27" spans="1:25" x14ac:dyDescent="0.25">
      <c r="F27" s="30">
        <f>Data1!A158</f>
        <v>31199</v>
      </c>
      <c r="G27" s="31">
        <f>Data1!B158</f>
        <v>26.95</v>
      </c>
      <c r="H27" s="31">
        <f>Data1!BM158</f>
        <v>19.04</v>
      </c>
      <c r="I27" s="31" t="e">
        <f>IF(ISBLANK(Data1!BN158),NA(),Data1!BN158)</f>
        <v>#N/A</v>
      </c>
      <c r="J27" s="28">
        <f>IFERROR(Data1!BM158/Data1!BM154-1,NA())</f>
        <v>9.8672821696480062E-2</v>
      </c>
      <c r="K27" s="28" t="e">
        <f>IFERROR(IF(OR(ISBLANK(Data1!BN158),ISBLANK(Data1!BN154)),NA(),Data1!BN158/Data1!BN154-1),NA())</f>
        <v>#N/A</v>
      </c>
      <c r="L27" s="28">
        <f>IFERROR(Data1!B158/Data1!B154-1,NA())</f>
        <v>6.6060126582278444E-2</v>
      </c>
      <c r="N27">
        <f t="shared" si="0"/>
        <v>1999</v>
      </c>
      <c r="O27" s="31" cm="1">
        <f t="array" ref="O27">INDEX(Data1!BM:BM,140+($N27-1980)*4)</f>
        <v>28.26</v>
      </c>
      <c r="P27" s="31" cm="1">
        <f t="array" ref="P27">IF($N27&lt;1989,NA(),INDEX(Data1!BN:BN,140+($N27-1980)*4))</f>
        <v>21.9</v>
      </c>
      <c r="Q27" s="31" cm="1">
        <f t="array" ref="Q27">INDEX(Data1!B:B,140+($N27-1980)*4)</f>
        <v>47.97</v>
      </c>
      <c r="R27" s="28">
        <f t="shared" si="1"/>
        <v>1.1091234347048395E-2</v>
      </c>
      <c r="S27" s="28">
        <f t="shared" si="2"/>
        <v>-2.0572450805009024E-2</v>
      </c>
      <c r="T27" s="28">
        <f t="shared" si="3"/>
        <v>1.8255147527064253E-2</v>
      </c>
      <c r="V27" s="30">
        <f>F27</f>
        <v>31199</v>
      </c>
      <c r="W27" s="28">
        <f>J27</f>
        <v>9.8672821696480062E-2</v>
      </c>
      <c r="X27" s="28" t="e">
        <f>K27</f>
        <v>#N/A</v>
      </c>
      <c r="Y27" s="28">
        <f>L27</f>
        <v>6.6060126582278444E-2</v>
      </c>
    </row>
    <row r="28" spans="1:25" x14ac:dyDescent="0.25">
      <c r="F28" s="30">
        <f>Data1!A159</f>
        <v>31291</v>
      </c>
      <c r="G28" s="31">
        <f>Data1!B159</f>
        <v>27.56</v>
      </c>
      <c r="H28" s="31">
        <f>Data1!BM159</f>
        <v>19.37</v>
      </c>
      <c r="I28" s="31" t="e">
        <f>IF(ISBLANK(Data1!BN159),NA(),Data1!BN159)</f>
        <v>#N/A</v>
      </c>
      <c r="J28" s="28">
        <f>IFERROR(Data1!BM159/Data1!BM155-1,NA())</f>
        <v>8.2122905027933069E-2</v>
      </c>
      <c r="K28" s="28" t="e">
        <f>IFERROR(IF(OR(ISBLANK(Data1!BN159),ISBLANK(Data1!BN155)),NA(),Data1!BN159/Data1!BN155-1),NA())</f>
        <v>#N/A</v>
      </c>
      <c r="L28" s="28">
        <f>IFERROR(Data1!B159/Data1!B155-1,NA())</f>
        <v>7.6983196561156708E-2</v>
      </c>
      <c r="N28">
        <f t="shared" si="0"/>
        <v>2000</v>
      </c>
      <c r="O28" s="31" cm="1">
        <f t="array" ref="O28">INDEX(Data1!BM:BM,140+($N28-1980)*4)</f>
        <v>31.4</v>
      </c>
      <c r="P28" s="31" cm="1">
        <f t="array" ref="P28">IF($N28&lt;1989,NA(),INDEX(Data1!BN:BN,140+($N28-1980)*4))</f>
        <v>24.12</v>
      </c>
      <c r="Q28" s="31" cm="1">
        <f t="array" ref="Q28">INDEX(Data1!B:B,140+($N28-1980)*4)</f>
        <v>50.76</v>
      </c>
      <c r="R28" s="28">
        <f t="shared" si="1"/>
        <v>0.11111111111111094</v>
      </c>
      <c r="S28" s="28">
        <f t="shared" si="2"/>
        <v>0.10136986301369877</v>
      </c>
      <c r="T28" s="28">
        <f t="shared" si="3"/>
        <v>5.8161350844277759E-2</v>
      </c>
      <c r="V28" s="30">
        <f>F28</f>
        <v>31291</v>
      </c>
      <c r="W28" s="28">
        <f>J28</f>
        <v>8.2122905027933069E-2</v>
      </c>
      <c r="X28" s="28" t="e">
        <f>K28</f>
        <v>#N/A</v>
      </c>
      <c r="Y28" s="28">
        <f>L28</f>
        <v>7.6983196561156708E-2</v>
      </c>
    </row>
    <row r="29" spans="1:25" x14ac:dyDescent="0.25">
      <c r="F29" s="30">
        <f>Data1!A160</f>
        <v>31382</v>
      </c>
      <c r="G29" s="31">
        <f>Data1!B160</f>
        <v>28.11</v>
      </c>
      <c r="H29" s="31">
        <f>Data1!BM160</f>
        <v>19.54</v>
      </c>
      <c r="I29" s="31" t="e">
        <f>IF(ISBLANK(Data1!BN160),NA(),Data1!BN160)</f>
        <v>#N/A</v>
      </c>
      <c r="J29" s="28">
        <f>IFERROR(Data1!BM160/Data1!BM156-1,NA())</f>
        <v>6.2533985861881414E-2</v>
      </c>
      <c r="K29" s="28" t="e">
        <f>IFERROR(IF(OR(ISBLANK(Data1!BN160),ISBLANK(Data1!BN156)),NA(),Data1!BN160/Data1!BN156-1),NA())</f>
        <v>#N/A</v>
      </c>
      <c r="L29" s="28">
        <f>IFERROR(Data1!B160/Data1!B156-1,NA())</f>
        <v>8.1986143187066984E-2</v>
      </c>
      <c r="N29">
        <f t="shared" si="0"/>
        <v>2001</v>
      </c>
      <c r="O29" s="31" cm="1">
        <f t="array" ref="O29">INDEX(Data1!BM:BM,140+($N29-1980)*4)</f>
        <v>32.5</v>
      </c>
      <c r="P29" s="31" cm="1">
        <f t="array" ref="P29">IF($N29&lt;1989,NA(),INDEX(Data1!BN:BN,140+($N29-1980)*4))</f>
        <v>24.41</v>
      </c>
      <c r="Q29" s="31" cm="1">
        <f t="array" ref="Q29">INDEX(Data1!B:B,140+($N29-1980)*4)</f>
        <v>52.35</v>
      </c>
      <c r="R29" s="28">
        <f t="shared" si="1"/>
        <v>3.5031847133758065E-2</v>
      </c>
      <c r="S29" s="28">
        <f t="shared" si="2"/>
        <v>1.2023217247097762E-2</v>
      </c>
      <c r="T29" s="28">
        <f t="shared" si="3"/>
        <v>3.1323877068557993E-2</v>
      </c>
      <c r="V29" s="30">
        <f>F29</f>
        <v>31382</v>
      </c>
      <c r="W29" s="28">
        <f>J29</f>
        <v>6.2533985861881414E-2</v>
      </c>
      <c r="X29" s="28" t="e">
        <f>K29</f>
        <v>#N/A</v>
      </c>
      <c r="Y29" s="28">
        <f>L29</f>
        <v>8.1986143187066984E-2</v>
      </c>
    </row>
    <row r="30" spans="1:25" x14ac:dyDescent="0.25">
      <c r="F30" s="30">
        <f>Data1!A161</f>
        <v>31472</v>
      </c>
      <c r="G30" s="31">
        <f>Data1!B161</f>
        <v>28.76</v>
      </c>
      <c r="H30" s="31">
        <f>Data1!BM161</f>
        <v>20</v>
      </c>
      <c r="I30" s="31" t="e">
        <f>IF(ISBLANK(Data1!BN161),NA(),Data1!BN161)</f>
        <v>#N/A</v>
      </c>
      <c r="J30" s="28">
        <f>IFERROR(Data1!BM161/Data1!BM157-1,NA())</f>
        <v>5.4852320675105481E-2</v>
      </c>
      <c r="K30" s="28" t="e">
        <f>IFERROR(IF(OR(ISBLANK(Data1!BN161),ISBLANK(Data1!BN157)),NA(),Data1!BN161/Data1!BN157-1),NA())</f>
        <v>#N/A</v>
      </c>
      <c r="L30" s="28">
        <f>IFERROR(Data1!B161/Data1!B157-1,NA())</f>
        <v>9.2290163311811835E-2</v>
      </c>
      <c r="N30">
        <f t="shared" si="0"/>
        <v>2002</v>
      </c>
      <c r="O30" s="31" cm="1">
        <f t="array" ref="O30">INDEX(Data1!BM:BM,140+($N30-1980)*4)</f>
        <v>33.36</v>
      </c>
      <c r="P30" s="31" cm="1">
        <f t="array" ref="P30">IF($N30&lt;1989,NA(),INDEX(Data1!BN:BN,140+($N30-1980)*4))</f>
        <v>25.81</v>
      </c>
      <c r="Q30" s="31" cm="1">
        <f t="array" ref="Q30">INDEX(Data1!B:B,140+($N30-1980)*4)</f>
        <v>53.92</v>
      </c>
      <c r="R30" s="28">
        <f t="shared" si="1"/>
        <v>2.6461538461538536E-2</v>
      </c>
      <c r="S30" s="28">
        <f t="shared" si="2"/>
        <v>5.7353543629659942E-2</v>
      </c>
      <c r="T30" s="28">
        <f t="shared" si="3"/>
        <v>2.9990448901623612E-2</v>
      </c>
      <c r="V30" s="30">
        <f>F30</f>
        <v>31472</v>
      </c>
      <c r="W30" s="28">
        <f>J30</f>
        <v>5.4852320675105481E-2</v>
      </c>
      <c r="X30" s="28" t="e">
        <f>K30</f>
        <v>#N/A</v>
      </c>
      <c r="Y30" s="28">
        <f>L30</f>
        <v>9.2290163311811835E-2</v>
      </c>
    </row>
    <row r="31" spans="1:25" x14ac:dyDescent="0.25">
      <c r="F31" s="30">
        <f>Data1!A162</f>
        <v>31564</v>
      </c>
      <c r="G31" s="31">
        <f>Data1!B162</f>
        <v>29.23</v>
      </c>
      <c r="H31" s="31">
        <f>Data1!BM162</f>
        <v>20.12</v>
      </c>
      <c r="I31" s="31" t="e">
        <f>IF(ISBLANK(Data1!BN162),NA(),Data1!BN162)</f>
        <v>#N/A</v>
      </c>
      <c r="J31" s="28">
        <f>IFERROR(Data1!BM162/Data1!BM158-1,NA())</f>
        <v>5.6722689075630273E-2</v>
      </c>
      <c r="K31" s="28" t="e">
        <f>IFERROR(IF(OR(ISBLANK(Data1!BN162),ISBLANK(Data1!BN158)),NA(),Data1!BN162/Data1!BN158-1),NA())</f>
        <v>#N/A</v>
      </c>
      <c r="L31" s="28">
        <f>IFERROR(Data1!B162/Data1!B158-1,NA())</f>
        <v>8.4601113172541709E-2</v>
      </c>
      <c r="N31">
        <f t="shared" si="0"/>
        <v>2003</v>
      </c>
      <c r="O31" s="31" cm="1">
        <f t="array" ref="O31">INDEX(Data1!BM:BM,140+($N31-1980)*4)</f>
        <v>35.07</v>
      </c>
      <c r="P31" s="31" cm="1">
        <f t="array" ref="P31">IF($N31&lt;1989,NA(),INDEX(Data1!BN:BN,140+($N31-1980)*4))</f>
        <v>27.66</v>
      </c>
      <c r="Q31" s="31" cm="1">
        <f t="array" ref="Q31">INDEX(Data1!B:B,140+($N31-1980)*4)</f>
        <v>55.22</v>
      </c>
      <c r="R31" s="28">
        <f t="shared" si="1"/>
        <v>5.125899280575541E-2</v>
      </c>
      <c r="S31" s="28">
        <f t="shared" si="2"/>
        <v>7.1677644323905554E-2</v>
      </c>
      <c r="T31" s="28">
        <f t="shared" si="3"/>
        <v>2.4109792284866316E-2</v>
      </c>
      <c r="V31" s="30">
        <f>F31</f>
        <v>31564</v>
      </c>
      <c r="W31" s="28">
        <f>J31</f>
        <v>5.6722689075630273E-2</v>
      </c>
      <c r="X31" s="28" t="e">
        <f>K31</f>
        <v>#N/A</v>
      </c>
      <c r="Y31" s="28">
        <f>L31</f>
        <v>8.4601113172541709E-2</v>
      </c>
    </row>
    <row r="32" spans="1:25" x14ac:dyDescent="0.25">
      <c r="F32" s="30">
        <f>Data1!A163</f>
        <v>31656</v>
      </c>
      <c r="G32" s="31">
        <f>Data1!B163</f>
        <v>30</v>
      </c>
      <c r="H32" s="31">
        <f>Data1!BM163</f>
        <v>20.46</v>
      </c>
      <c r="I32" s="31" t="e">
        <f>IF(ISBLANK(Data1!BN163),NA(),Data1!BN163)</f>
        <v>#N/A</v>
      </c>
      <c r="J32" s="28">
        <f>IFERROR(Data1!BM163/Data1!BM159-1,NA())</f>
        <v>5.6272586473928854E-2</v>
      </c>
      <c r="K32" s="28" t="e">
        <f>IFERROR(IF(OR(ISBLANK(Data1!BN163),ISBLANK(Data1!BN159)),NA(),Data1!BN163/Data1!BN159-1),NA())</f>
        <v>#N/A</v>
      </c>
      <c r="L32" s="28">
        <f>IFERROR(Data1!B163/Data1!B159-1,NA())</f>
        <v>8.8534107402032047E-2</v>
      </c>
      <c r="N32">
        <f t="shared" si="0"/>
        <v>2004</v>
      </c>
      <c r="O32" s="31" cm="1">
        <f t="array" ref="O32">INDEX(Data1!BM:BM,140+($N32-1980)*4)</f>
        <v>36.04</v>
      </c>
      <c r="P32" s="31" cm="1">
        <f t="array" ref="P32">IF($N32&lt;1989,NA(),INDEX(Data1!BN:BN,140+($N32-1980)*4))</f>
        <v>29.43</v>
      </c>
      <c r="Q32" s="31" cm="1">
        <f t="array" ref="Q32">INDEX(Data1!B:B,140+($N32-1980)*4)</f>
        <v>56.63</v>
      </c>
      <c r="R32" s="28">
        <f t="shared" si="1"/>
        <v>2.7658967778728227E-2</v>
      </c>
      <c r="S32" s="28">
        <f t="shared" si="2"/>
        <v>6.3991323210412121E-2</v>
      </c>
      <c r="T32" s="28">
        <f t="shared" si="3"/>
        <v>2.553422672944583E-2</v>
      </c>
      <c r="V32" s="30">
        <f>F32</f>
        <v>31656</v>
      </c>
      <c r="W32" s="28">
        <f>J32</f>
        <v>5.6272586473928854E-2</v>
      </c>
      <c r="X32" s="28" t="e">
        <f>K32</f>
        <v>#N/A</v>
      </c>
      <c r="Y32" s="28">
        <f>L32</f>
        <v>8.8534107402032047E-2</v>
      </c>
    </row>
    <row r="33" spans="6:25" x14ac:dyDescent="0.25">
      <c r="F33" s="30">
        <f>Data1!A164</f>
        <v>31747</v>
      </c>
      <c r="G33" s="31">
        <f>Data1!B164</f>
        <v>30.85</v>
      </c>
      <c r="H33" s="31">
        <f>Data1!BM164</f>
        <v>20.75</v>
      </c>
      <c r="I33" s="31" t="e">
        <f>IF(ISBLANK(Data1!BN164),NA(),Data1!BN164)</f>
        <v>#N/A</v>
      </c>
      <c r="J33" s="28">
        <f>IFERROR(Data1!BM164/Data1!BM160-1,NA())</f>
        <v>6.192425793244638E-2</v>
      </c>
      <c r="K33" s="28" t="e">
        <f>IFERROR(IF(OR(ISBLANK(Data1!BN164),ISBLANK(Data1!BN160)),NA(),Data1!BN164/Data1!BN160-1),NA())</f>
        <v>#N/A</v>
      </c>
      <c r="L33" s="28">
        <f>IFERROR(Data1!B164/Data1!B160-1,NA())</f>
        <v>9.7474208466737933E-2</v>
      </c>
      <c r="N33">
        <f t="shared" si="0"/>
        <v>2005</v>
      </c>
      <c r="O33" s="31" cm="1">
        <f t="array" ref="O33">INDEX(Data1!BM:BM,140+($N33-1980)*4)</f>
        <v>37.020000000000003</v>
      </c>
      <c r="P33" s="31" cm="1">
        <f t="array" ref="P33">IF($N33&lt;1989,NA(),INDEX(Data1!BN:BN,140+($N33-1980)*4))</f>
        <v>30.89</v>
      </c>
      <c r="Q33" s="31" cm="1">
        <f t="array" ref="Q33">INDEX(Data1!B:B,140+($N33-1980)*4)</f>
        <v>58.22</v>
      </c>
      <c r="R33" s="28">
        <f t="shared" si="1"/>
        <v>2.7192008879023399E-2</v>
      </c>
      <c r="S33" s="28">
        <f t="shared" si="2"/>
        <v>4.9609242269792686E-2</v>
      </c>
      <c r="T33" s="28">
        <f t="shared" si="3"/>
        <v>2.8076990994172712E-2</v>
      </c>
      <c r="V33" s="30">
        <f>F33</f>
        <v>31747</v>
      </c>
      <c r="W33" s="28">
        <f>J33</f>
        <v>6.192425793244638E-2</v>
      </c>
      <c r="X33" s="28" t="e">
        <f>K33</f>
        <v>#N/A</v>
      </c>
      <c r="Y33" s="28">
        <f>L33</f>
        <v>9.7474208466737933E-2</v>
      </c>
    </row>
    <row r="34" spans="6:25" x14ac:dyDescent="0.25">
      <c r="F34" s="30">
        <f>Data1!A165</f>
        <v>31837</v>
      </c>
      <c r="G34" s="31">
        <f>Data1!B165</f>
        <v>31.47</v>
      </c>
      <c r="H34" s="31">
        <f>Data1!BM165</f>
        <v>20.87</v>
      </c>
      <c r="I34" s="31" t="e">
        <f>IF(ISBLANK(Data1!BN165),NA(),Data1!BN165)</f>
        <v>#N/A</v>
      </c>
      <c r="J34" s="28">
        <f>IFERROR(Data1!BM165/Data1!BM161-1,NA())</f>
        <v>4.3500000000000094E-2</v>
      </c>
      <c r="K34" s="28" t="e">
        <f>IFERROR(IF(OR(ISBLANK(Data1!BN165),ISBLANK(Data1!BN161)),NA(),Data1!BN165/Data1!BN161-1),NA())</f>
        <v>#N/A</v>
      </c>
      <c r="L34" s="28">
        <f>IFERROR(Data1!B165/Data1!B161-1,NA())</f>
        <v>9.4228094575799615E-2</v>
      </c>
      <c r="N34">
        <f t="shared" si="0"/>
        <v>2006</v>
      </c>
      <c r="O34" s="31" cm="1">
        <f t="array" ref="O34">INDEX(Data1!BM:BM,140+($N34-1980)*4)</f>
        <v>38.130000000000003</v>
      </c>
      <c r="P34" s="31" cm="1">
        <f t="array" ref="P34">IF($N34&lt;1989,NA(),INDEX(Data1!BN:BN,140+($N34-1980)*4))</f>
        <v>32.33</v>
      </c>
      <c r="Q34" s="31" cm="1">
        <f t="array" ref="Q34">INDEX(Data1!B:B,140+($N34-1980)*4)</f>
        <v>60.11</v>
      </c>
      <c r="R34" s="28">
        <f t="shared" si="1"/>
        <v>2.9983792544570509E-2</v>
      </c>
      <c r="S34" s="28">
        <f t="shared" si="2"/>
        <v>4.6617028164454455E-2</v>
      </c>
      <c r="T34" s="28">
        <f t="shared" si="3"/>
        <v>3.2463071109584352E-2</v>
      </c>
      <c r="V34" s="30">
        <f>F34</f>
        <v>31837</v>
      </c>
      <c r="W34" s="28">
        <f>J34</f>
        <v>4.3500000000000094E-2</v>
      </c>
      <c r="X34" s="28" t="e">
        <f>K34</f>
        <v>#N/A</v>
      </c>
      <c r="Y34" s="28">
        <f>L34</f>
        <v>9.4228094575799615E-2</v>
      </c>
    </row>
    <row r="35" spans="6:25" x14ac:dyDescent="0.25">
      <c r="F35" s="30">
        <f>Data1!A166</f>
        <v>31929</v>
      </c>
      <c r="G35" s="31">
        <f>Data1!B166</f>
        <v>31.93</v>
      </c>
      <c r="H35" s="31">
        <f>Data1!BM166</f>
        <v>20.92</v>
      </c>
      <c r="I35" s="31" t="e">
        <f>IF(ISBLANK(Data1!BN166),NA(),Data1!BN166)</f>
        <v>#N/A</v>
      </c>
      <c r="J35" s="28">
        <f>IFERROR(Data1!BM166/Data1!BM162-1,NA())</f>
        <v>3.9761431411530879E-2</v>
      </c>
      <c r="K35" s="28" t="e">
        <f>IFERROR(IF(OR(ISBLANK(Data1!BN166),ISBLANK(Data1!BN162)),NA(),Data1!BN166/Data1!BN162-1),NA())</f>
        <v>#N/A</v>
      </c>
      <c r="L35" s="28">
        <f>IFERROR(Data1!B166/Data1!B162-1,NA())</f>
        <v>9.2370851864522763E-2</v>
      </c>
      <c r="N35">
        <f t="shared" si="0"/>
        <v>2007</v>
      </c>
      <c r="O35" s="31" cm="1">
        <f t="array" ref="O35">INDEX(Data1!BM:BM,140+($N35-1980)*4)</f>
        <v>40.32</v>
      </c>
      <c r="P35" s="31" cm="1">
        <f t="array" ref="P35">IF($N35&lt;1989,NA(),INDEX(Data1!BN:BN,140+($N35-1980)*4))</f>
        <v>33.65</v>
      </c>
      <c r="Q35" s="31" cm="1">
        <f t="array" ref="Q35">INDEX(Data1!B:B,140+($N35-1980)*4)</f>
        <v>61.89</v>
      </c>
      <c r="R35" s="28">
        <f t="shared" si="1"/>
        <v>5.7435090479937001E-2</v>
      </c>
      <c r="S35" s="28">
        <f t="shared" si="2"/>
        <v>4.0828951438292682E-2</v>
      </c>
      <c r="T35" s="28">
        <f t="shared" si="3"/>
        <v>2.9612377308268156E-2</v>
      </c>
      <c r="V35" s="30">
        <f>F35</f>
        <v>31929</v>
      </c>
      <c r="W35" s="28">
        <f>J35</f>
        <v>3.9761431411530879E-2</v>
      </c>
      <c r="X35" s="28" t="e">
        <f>K35</f>
        <v>#N/A</v>
      </c>
      <c r="Y35" s="28">
        <f>L35</f>
        <v>9.2370851864522763E-2</v>
      </c>
    </row>
    <row r="36" spans="6:25" x14ac:dyDescent="0.25">
      <c r="F36" s="30">
        <f>Data1!A167</f>
        <v>32021</v>
      </c>
      <c r="G36" s="31">
        <f>Data1!B167</f>
        <v>32.47</v>
      </c>
      <c r="H36" s="31">
        <f>Data1!BM167</f>
        <v>21.9</v>
      </c>
      <c r="I36" s="31" t="e">
        <f>IF(ISBLANK(Data1!BN167),NA(),Data1!BN167)</f>
        <v>#N/A</v>
      </c>
      <c r="J36" s="28">
        <f>IFERROR(Data1!BM167/Data1!BM163-1,NA())</f>
        <v>7.038123167155419E-2</v>
      </c>
      <c r="K36" s="28" t="e">
        <f>IFERROR(IF(OR(ISBLANK(Data1!BN167),ISBLANK(Data1!BN163)),NA(),Data1!BN167/Data1!BN163-1),NA())</f>
        <v>#N/A</v>
      </c>
      <c r="L36" s="28">
        <f>IFERROR(Data1!B167/Data1!B163-1,NA())</f>
        <v>8.2333333333333369E-2</v>
      </c>
      <c r="N36">
        <f t="shared" si="0"/>
        <v>2008</v>
      </c>
      <c r="O36" s="31" cm="1">
        <f t="array" ref="O36">INDEX(Data1!BM:BM,140+($N36-1980)*4)</f>
        <v>44.42</v>
      </c>
      <c r="P36" s="31" cm="1">
        <f t="array" ref="P36">IF($N36&lt;1989,NA(),INDEX(Data1!BN:BN,140+($N36-1980)*4))</f>
        <v>36.880000000000003</v>
      </c>
      <c r="Q36" s="31" cm="1">
        <f t="array" ref="Q36">INDEX(Data1!B:B,140+($N36-1980)*4)</f>
        <v>64.16</v>
      </c>
      <c r="R36" s="28">
        <f t="shared" si="1"/>
        <v>0.10168650793650791</v>
      </c>
      <c r="S36" s="28">
        <f t="shared" si="2"/>
        <v>9.5988112927191782E-2</v>
      </c>
      <c r="T36" s="28">
        <f t="shared" si="3"/>
        <v>3.6677977056067235E-2</v>
      </c>
      <c r="V36" s="30">
        <f>F36</f>
        <v>32021</v>
      </c>
      <c r="W36" s="28">
        <f>J36</f>
        <v>7.038123167155419E-2</v>
      </c>
      <c r="X36" s="28" t="e">
        <f>K36</f>
        <v>#N/A</v>
      </c>
      <c r="Y36" s="28">
        <f>L36</f>
        <v>8.2333333333333369E-2</v>
      </c>
    </row>
    <row r="37" spans="6:25" x14ac:dyDescent="0.25">
      <c r="F37" s="30">
        <f>Data1!A168</f>
        <v>32112</v>
      </c>
      <c r="G37" s="31">
        <f>Data1!B168</f>
        <v>33.049999999999997</v>
      </c>
      <c r="H37" s="31">
        <f>Data1!BM168</f>
        <v>22.07</v>
      </c>
      <c r="I37" s="31" t="e">
        <f>IF(ISBLANK(Data1!BN168),NA(),Data1!BN168)</f>
        <v>#N/A</v>
      </c>
      <c r="J37" s="28">
        <f>IFERROR(Data1!BM168/Data1!BM164-1,NA())</f>
        <v>6.3614457831325355E-2</v>
      </c>
      <c r="K37" s="28" t="e">
        <f>IFERROR(IF(OR(ISBLANK(Data1!BN168),ISBLANK(Data1!BN164)),NA(),Data1!BN168/Data1!BN164-1),NA())</f>
        <v>#N/A</v>
      </c>
      <c r="L37" s="28">
        <f>IFERROR(Data1!B168/Data1!B164-1,NA())</f>
        <v>7.1312803889789222E-2</v>
      </c>
      <c r="N37">
        <f t="shared" si="0"/>
        <v>2009</v>
      </c>
      <c r="O37" s="31" cm="1">
        <f t="array" ref="O37">INDEX(Data1!BM:BM,140+($N37-1980)*4)</f>
        <v>51.39</v>
      </c>
      <c r="P37" s="31" cm="1">
        <f t="array" ref="P37">IF($N37&lt;1989,NA(),INDEX(Data1!BN:BN,140+($N37-1980)*4))</f>
        <v>40.21</v>
      </c>
      <c r="Q37" s="31" cm="1">
        <f t="array" ref="Q37">INDEX(Data1!B:B,140+($N37-1980)*4)</f>
        <v>65.510000000000005</v>
      </c>
      <c r="R37" s="28">
        <f t="shared" si="1"/>
        <v>0.15691130121566865</v>
      </c>
      <c r="S37" s="28">
        <f t="shared" si="2"/>
        <v>9.0292841648589972E-2</v>
      </c>
      <c r="T37" s="28">
        <f t="shared" si="3"/>
        <v>2.1041147132169646E-2</v>
      </c>
      <c r="V37" s="30">
        <f>F37</f>
        <v>32112</v>
      </c>
      <c r="W37" s="28">
        <f>J37</f>
        <v>6.3614457831325355E-2</v>
      </c>
      <c r="X37" s="28" t="e">
        <f>K37</f>
        <v>#N/A</v>
      </c>
      <c r="Y37" s="28">
        <f>L37</f>
        <v>7.1312803889789222E-2</v>
      </c>
    </row>
    <row r="38" spans="6:25" x14ac:dyDescent="0.25">
      <c r="F38" s="30">
        <f>Data1!A169</f>
        <v>32203</v>
      </c>
      <c r="G38" s="31">
        <f>Data1!B169</f>
        <v>33.630000000000003</v>
      </c>
      <c r="H38" s="31">
        <f>Data1!BM169</f>
        <v>22.14</v>
      </c>
      <c r="I38" s="31" t="e">
        <f>IF(ISBLANK(Data1!BN169),NA(),Data1!BN169)</f>
        <v>#N/A</v>
      </c>
      <c r="J38" s="28">
        <f>IFERROR(Data1!BM169/Data1!BM165-1,NA())</f>
        <v>6.0852898897939545E-2</v>
      </c>
      <c r="K38" s="28" t="e">
        <f>IFERROR(IF(OR(ISBLANK(Data1!BN169),ISBLANK(Data1!BN165)),NA(),Data1!BN169/Data1!BN165-1),NA())</f>
        <v>#N/A</v>
      </c>
      <c r="L38" s="28">
        <f>IFERROR(Data1!B169/Data1!B165-1,NA())</f>
        <v>6.8636796949475887E-2</v>
      </c>
      <c r="N38">
        <f t="shared" si="0"/>
        <v>2010</v>
      </c>
      <c r="O38" s="31" cm="1">
        <f t="array" ref="O38">INDEX(Data1!BM:BM,140+($N38-1980)*4)</f>
        <v>57.84</v>
      </c>
      <c r="P38" s="31" cm="1">
        <f t="array" ref="P38">IF($N38&lt;1989,NA(),INDEX(Data1!BN:BN,140+($N38-1980)*4))</f>
        <v>43.06</v>
      </c>
      <c r="Q38" s="31" cm="1">
        <f t="array" ref="Q38">INDEX(Data1!B:B,140+($N38-1980)*4)</f>
        <v>67.260000000000005</v>
      </c>
      <c r="R38" s="28">
        <f t="shared" si="1"/>
        <v>0.12551079976649149</v>
      </c>
      <c r="S38" s="28">
        <f t="shared" si="2"/>
        <v>7.0877891071872812E-2</v>
      </c>
      <c r="T38" s="28">
        <f t="shared" si="3"/>
        <v>2.6713478858189532E-2</v>
      </c>
      <c r="V38" s="30">
        <f>F38</f>
        <v>32203</v>
      </c>
      <c r="W38" s="28">
        <f>J38</f>
        <v>6.0852898897939545E-2</v>
      </c>
      <c r="X38" s="28" t="e">
        <f>K38</f>
        <v>#N/A</v>
      </c>
      <c r="Y38" s="28">
        <f>L38</f>
        <v>6.8636796949475887E-2</v>
      </c>
    </row>
    <row r="39" spans="6:25" x14ac:dyDescent="0.25">
      <c r="F39" s="30">
        <f>Data1!A170</f>
        <v>32295</v>
      </c>
      <c r="G39" s="31">
        <f>Data1!B170</f>
        <v>34.21</v>
      </c>
      <c r="H39" s="31">
        <f>Data1!BM170</f>
        <v>22.17</v>
      </c>
      <c r="I39" s="31" t="e">
        <f>IF(ISBLANK(Data1!BN170),NA(),Data1!BN170)</f>
        <v>#N/A</v>
      </c>
      <c r="J39" s="28">
        <f>IFERROR(Data1!BM170/Data1!BM166-1,NA())</f>
        <v>5.9751434034416739E-2</v>
      </c>
      <c r="K39" s="28" t="e">
        <f>IFERROR(IF(OR(ISBLANK(Data1!BN170),ISBLANK(Data1!BN166)),NA(),Data1!BN170/Data1!BN166-1),NA())</f>
        <v>#N/A</v>
      </c>
      <c r="L39" s="28">
        <f>IFERROR(Data1!B170/Data1!B166-1,NA())</f>
        <v>7.1406201064829311E-2</v>
      </c>
      <c r="N39">
        <f t="shared" si="0"/>
        <v>2011</v>
      </c>
      <c r="O39" s="31" cm="1">
        <f t="array" ref="O39">INDEX(Data1!BM:BM,140+($N39-1980)*4)</f>
        <v>64.87</v>
      </c>
      <c r="P39" s="31" cm="1">
        <f t="array" ref="P39">IF($N39&lt;1989,NA(),INDEX(Data1!BN:BN,140+($N39-1980)*4))</f>
        <v>45.97</v>
      </c>
      <c r="Q39" s="31" cm="1">
        <f t="array" ref="Q39">INDEX(Data1!B:B,140+($N39-1980)*4)</f>
        <v>69.34</v>
      </c>
      <c r="R39" s="28">
        <f t="shared" si="1"/>
        <v>0.12154218533886585</v>
      </c>
      <c r="S39" s="28">
        <f t="shared" si="2"/>
        <v>6.7580120761727702E-2</v>
      </c>
      <c r="T39" s="28">
        <f t="shared" si="3"/>
        <v>3.0924769550996212E-2</v>
      </c>
      <c r="V39" s="30">
        <f>F39</f>
        <v>32295</v>
      </c>
      <c r="W39" s="28">
        <f>J39</f>
        <v>5.9751434034416739E-2</v>
      </c>
      <c r="X39" s="28" t="e">
        <f>K39</f>
        <v>#N/A</v>
      </c>
      <c r="Y39" s="28">
        <f>L39</f>
        <v>7.1406201064829311E-2</v>
      </c>
    </row>
    <row r="40" spans="6:25" x14ac:dyDescent="0.25">
      <c r="F40" s="30">
        <f>Data1!A171</f>
        <v>32387</v>
      </c>
      <c r="G40" s="31">
        <f>Data1!B171</f>
        <v>34.869999999999997</v>
      </c>
      <c r="H40" s="31">
        <f>Data1!BM171</f>
        <v>23.16</v>
      </c>
      <c r="I40" s="31" t="e">
        <f>IF(ISBLANK(Data1!BN171),NA(),Data1!BN171)</f>
        <v>#N/A</v>
      </c>
      <c r="J40" s="28">
        <f>IFERROR(Data1!BM171/Data1!BM167-1,NA())</f>
        <v>5.7534246575342562E-2</v>
      </c>
      <c r="K40" s="28" t="e">
        <f>IFERROR(IF(OR(ISBLANK(Data1!BN171),ISBLANK(Data1!BN167)),NA(),Data1!BN171/Data1!BN167-1),NA())</f>
        <v>#N/A</v>
      </c>
      <c r="L40" s="28">
        <f>IFERROR(Data1!B171/Data1!B167-1,NA())</f>
        <v>7.3914382506929499E-2</v>
      </c>
      <c r="N40">
        <f t="shared" si="0"/>
        <v>2012</v>
      </c>
      <c r="O40" s="31" cm="1">
        <f t="array" ref="O40">INDEX(Data1!BM:BM,140+($N40-1980)*4)</f>
        <v>76.349999999999994</v>
      </c>
      <c r="P40" s="31" cm="1">
        <f t="array" ref="P40">IF($N40&lt;1989,NA(),INDEX(Data1!BN:BN,140+($N40-1980)*4))</f>
        <v>53.91</v>
      </c>
      <c r="Q40" s="31" cm="1">
        <f t="array" ref="Q40">INDEX(Data1!B:B,140+($N40-1980)*4)</f>
        <v>70.87</v>
      </c>
      <c r="R40" s="28">
        <f t="shared" si="1"/>
        <v>0.17696932326190828</v>
      </c>
      <c r="S40" s="28">
        <f t="shared" si="2"/>
        <v>0.17272134000435058</v>
      </c>
      <c r="T40" s="28">
        <f t="shared" si="3"/>
        <v>2.2065186039803786E-2</v>
      </c>
      <c r="V40" s="30">
        <f>F40</f>
        <v>32387</v>
      </c>
      <c r="W40" s="28">
        <f>J40</f>
        <v>5.7534246575342562E-2</v>
      </c>
      <c r="X40" s="28" t="e">
        <f>K40</f>
        <v>#N/A</v>
      </c>
      <c r="Y40" s="28">
        <f>L40</f>
        <v>7.3914382506929499E-2</v>
      </c>
    </row>
    <row r="41" spans="6:25" x14ac:dyDescent="0.25">
      <c r="F41" s="30">
        <f>Data1!A172</f>
        <v>32478</v>
      </c>
      <c r="G41" s="31">
        <f>Data1!B172</f>
        <v>35.57</v>
      </c>
      <c r="H41" s="31">
        <f>Data1!BM172</f>
        <v>23.23</v>
      </c>
      <c r="I41" s="31" t="e">
        <f>IF(ISBLANK(Data1!BN172),NA(),Data1!BN172)</f>
        <v>#N/A</v>
      </c>
      <c r="J41" s="28">
        <f>IFERROR(Data1!BM172/Data1!BM168-1,NA())</f>
        <v>5.2560036248300968E-2</v>
      </c>
      <c r="K41" s="28" t="e">
        <f>IFERROR(IF(OR(ISBLANK(Data1!BN172),ISBLANK(Data1!BN168)),NA(),Data1!BN172/Data1!BN168-1),NA())</f>
        <v>#N/A</v>
      </c>
      <c r="L41" s="28">
        <f>IFERROR(Data1!B172/Data1!B168-1,NA())</f>
        <v>7.6248108925869973E-2</v>
      </c>
      <c r="N41">
        <f t="shared" si="0"/>
        <v>2013</v>
      </c>
      <c r="O41" s="31" cm="1">
        <f t="array" ref="O41">INDEX(Data1!BM:BM,140+($N41-1980)*4)</f>
        <v>81.17</v>
      </c>
      <c r="P41" s="31" cm="1">
        <f t="array" ref="P41">IF($N41&lt;1989,NA(),INDEX(Data1!BN:BN,140+($N41-1980)*4))</f>
        <v>56.93</v>
      </c>
      <c r="Q41" s="31" cm="1">
        <f t="array" ref="Q41">INDEX(Data1!B:B,140+($N41-1980)*4)</f>
        <v>72.77</v>
      </c>
      <c r="R41" s="28">
        <f t="shared" si="1"/>
        <v>6.3130320890635305E-2</v>
      </c>
      <c r="S41" s="28">
        <f t="shared" si="2"/>
        <v>5.6019291411611993E-2</v>
      </c>
      <c r="T41" s="28">
        <f t="shared" si="3"/>
        <v>2.6809651474530627E-2</v>
      </c>
      <c r="V41" s="30">
        <f>F41</f>
        <v>32478</v>
      </c>
      <c r="W41" s="28">
        <f>J41</f>
        <v>5.2560036248300968E-2</v>
      </c>
      <c r="X41" s="28" t="e">
        <f>K41</f>
        <v>#N/A</v>
      </c>
      <c r="Y41" s="28">
        <f>L41</f>
        <v>7.6248108925869973E-2</v>
      </c>
    </row>
    <row r="42" spans="6:25" x14ac:dyDescent="0.25">
      <c r="F42" s="30">
        <f>Data1!A173</f>
        <v>32568</v>
      </c>
      <c r="G42" s="31">
        <f>Data1!B173</f>
        <v>35.909999999999997</v>
      </c>
      <c r="H42" s="31">
        <f>Data1!BM173</f>
        <v>23.28</v>
      </c>
      <c r="I42" s="31" t="e">
        <f>IF(ISBLANK(Data1!BN173),NA(),Data1!BN173)</f>
        <v>#N/A</v>
      </c>
      <c r="J42" s="28">
        <f>IFERROR(Data1!BM173/Data1!BM169-1,NA())</f>
        <v>5.1490514905148999E-2</v>
      </c>
      <c r="K42" s="28" t="e">
        <f>IFERROR(IF(OR(ISBLANK(Data1!BN173),ISBLANK(Data1!BN169)),NA(),Data1!BN173/Data1!BN169-1),NA())</f>
        <v>#N/A</v>
      </c>
      <c r="L42" s="28">
        <f>IFERROR(Data1!B173/Data1!B169-1,NA())</f>
        <v>6.7796610169491345E-2</v>
      </c>
      <c r="N42">
        <f t="shared" si="0"/>
        <v>2014</v>
      </c>
      <c r="O42" s="31" cm="1">
        <f t="array" ref="O42">INDEX(Data1!BM:BM,140+($N42-1980)*4)</f>
        <v>77.510000000000005</v>
      </c>
      <c r="P42" s="31" cm="1">
        <f t="array" ref="P42">IF($N42&lt;1989,NA(),INDEX(Data1!BN:BN,140+($N42-1980)*4))</f>
        <v>58.35</v>
      </c>
      <c r="Q42" s="31" cm="1">
        <f t="array" ref="Q42">INDEX(Data1!B:B,140+($N42-1980)*4)</f>
        <v>74.02</v>
      </c>
      <c r="R42" s="28">
        <f t="shared" si="1"/>
        <v>-4.5090550696069931E-2</v>
      </c>
      <c r="S42" s="28">
        <f t="shared" si="2"/>
        <v>2.4942912348498103E-2</v>
      </c>
      <c r="T42" s="28">
        <f t="shared" si="3"/>
        <v>1.7177408272639916E-2</v>
      </c>
      <c r="V42" s="30">
        <f>F42</f>
        <v>32568</v>
      </c>
      <c r="W42" s="28">
        <f>J42</f>
        <v>5.1490514905148999E-2</v>
      </c>
      <c r="X42" s="28" t="e">
        <f>K42</f>
        <v>#N/A</v>
      </c>
      <c r="Y42" s="28">
        <f>L42</f>
        <v>6.7796610169491345E-2</v>
      </c>
    </row>
    <row r="43" spans="6:25" x14ac:dyDescent="0.25">
      <c r="F43" s="30">
        <f>Data1!A174</f>
        <v>32660</v>
      </c>
      <c r="G43" s="31">
        <f>Data1!B174</f>
        <v>36.799999999999997</v>
      </c>
      <c r="H43" s="31">
        <f>Data1!BM174</f>
        <v>23.28</v>
      </c>
      <c r="I43" s="31" t="e">
        <f>IF(ISBLANK(Data1!BN174),NA(),Data1!BN174)</f>
        <v>#N/A</v>
      </c>
      <c r="J43" s="28">
        <f>IFERROR(Data1!BM174/Data1!BM170-1,NA())</f>
        <v>5.0067658998646847E-2</v>
      </c>
      <c r="K43" s="28" t="e">
        <f>IFERROR(IF(OR(ISBLANK(Data1!BN174),ISBLANK(Data1!BN170)),NA(),Data1!BN174/Data1!BN170-1),NA())</f>
        <v>#N/A</v>
      </c>
      <c r="L43" s="28">
        <f>IFERROR(Data1!B174/Data1!B170-1,NA())</f>
        <v>7.5708857059339163E-2</v>
      </c>
      <c r="N43">
        <f t="shared" si="0"/>
        <v>2015</v>
      </c>
      <c r="O43" s="31" cm="1">
        <f t="array" ref="O43">INDEX(Data1!BM:BM,140+($N43-1980)*4)</f>
        <v>77.45</v>
      </c>
      <c r="P43" s="31" cm="1">
        <f t="array" ref="P43">IF($N43&lt;1989,NA(),INDEX(Data1!BN:BN,140+($N43-1980)*4))</f>
        <v>58.92</v>
      </c>
      <c r="Q43" s="31" cm="1">
        <f t="array" ref="Q43">INDEX(Data1!B:B,140+($N43-1980)*4)</f>
        <v>75.27</v>
      </c>
      <c r="R43" s="28">
        <f t="shared" si="1"/>
        <v>-7.7409366533354174E-4</v>
      </c>
      <c r="S43" s="28">
        <f t="shared" si="2"/>
        <v>9.7686375321337504E-3</v>
      </c>
      <c r="T43" s="28">
        <f t="shared" si="3"/>
        <v>1.6887327749256942E-2</v>
      </c>
      <c r="V43" s="30">
        <f>F43</f>
        <v>32660</v>
      </c>
      <c r="W43" s="28">
        <f>J43</f>
        <v>5.0067658998646847E-2</v>
      </c>
      <c r="X43" s="28" t="e">
        <f>K43</f>
        <v>#N/A</v>
      </c>
      <c r="Y43" s="28">
        <f>L43</f>
        <v>7.5708857059339163E-2</v>
      </c>
    </row>
    <row r="44" spans="6:25" x14ac:dyDescent="0.25">
      <c r="F44" s="30">
        <f>Data1!A175</f>
        <v>32752</v>
      </c>
      <c r="G44" s="31">
        <f>Data1!B175</f>
        <v>37.65</v>
      </c>
      <c r="H44" s="31">
        <f>Data1!BM175</f>
        <v>23.98</v>
      </c>
      <c r="I44" s="31">
        <f>IF(ISBLANK(Data1!BN175),NA(),Data1!BN175)</f>
        <v>16.89</v>
      </c>
      <c r="J44" s="28">
        <f>IFERROR(Data1!BM175/Data1!BM171-1,NA())</f>
        <v>3.5405872193436938E-2</v>
      </c>
      <c r="K44" s="28" t="e">
        <f>IFERROR(IF(OR(ISBLANK(Data1!BN175),ISBLANK(Data1!BN171)),NA(),Data1!BN175/Data1!BN171-1),NA())</f>
        <v>#N/A</v>
      </c>
      <c r="L44" s="28">
        <f>IFERROR(Data1!B175/Data1!B171-1,NA())</f>
        <v>7.9724691712073525E-2</v>
      </c>
      <c r="N44">
        <f t="shared" si="0"/>
        <v>2016</v>
      </c>
      <c r="O44" s="31" cm="1">
        <f t="array" ref="O44">INDEX(Data1!BM:BM,140+($N44-1980)*4)</f>
        <v>81.150000000000006</v>
      </c>
      <c r="P44" s="31" cm="1">
        <f t="array" ref="P44">IF($N44&lt;1989,NA(),INDEX(Data1!BN:BN,140+($N44-1980)*4))</f>
        <v>60.06</v>
      </c>
      <c r="Q44" s="31" cm="1">
        <f t="array" ref="Q44">INDEX(Data1!B:B,140+($N44-1980)*4)</f>
        <v>76.38</v>
      </c>
      <c r="R44" s="28">
        <f t="shared" si="1"/>
        <v>4.7772756617172396E-2</v>
      </c>
      <c r="S44" s="28">
        <f t="shared" si="2"/>
        <v>1.9348268839103788E-2</v>
      </c>
      <c r="T44" s="28">
        <f t="shared" si="3"/>
        <v>1.4746911119968065E-2</v>
      </c>
      <c r="V44" s="30">
        <f>F44</f>
        <v>32752</v>
      </c>
      <c r="W44" s="28">
        <f>J44</f>
        <v>3.5405872193436938E-2</v>
      </c>
      <c r="X44" s="28" t="e">
        <f>K44</f>
        <v>#N/A</v>
      </c>
      <c r="Y44" s="28">
        <f>L44</f>
        <v>7.9724691712073525E-2</v>
      </c>
    </row>
    <row r="45" spans="6:25" x14ac:dyDescent="0.25">
      <c r="F45" s="30">
        <f>Data1!A176</f>
        <v>32843</v>
      </c>
      <c r="G45" s="31">
        <f>Data1!B176</f>
        <v>38.35</v>
      </c>
      <c r="H45" s="31">
        <f>Data1!BM176</f>
        <v>24.12</v>
      </c>
      <c r="I45" s="31">
        <f>IF(ISBLANK(Data1!BN176),NA(),Data1!BN176)</f>
        <v>17.239999999999998</v>
      </c>
      <c r="J45" s="28">
        <f>IFERROR(Data1!BM176/Data1!BM172-1,NA())</f>
        <v>3.831252690486453E-2</v>
      </c>
      <c r="K45" s="28" t="e">
        <f>IFERROR(IF(OR(ISBLANK(Data1!BN176),ISBLANK(Data1!BN172)),NA(),Data1!BN176/Data1!BN172-1),NA())</f>
        <v>#N/A</v>
      </c>
      <c r="L45" s="28">
        <f>IFERROR(Data1!B176/Data1!B172-1,NA())</f>
        <v>7.8155749226876514E-2</v>
      </c>
      <c r="N45">
        <f t="shared" si="0"/>
        <v>2017</v>
      </c>
      <c r="O45" s="31" cm="1">
        <f t="array" ref="O45">INDEX(Data1!BM:BM,140+($N45-1980)*4)</f>
        <v>91.25</v>
      </c>
      <c r="P45" s="31" cm="1">
        <f t="array" ref="P45">IF($N45&lt;1989,NA(),INDEX(Data1!BN:BN,140+($N45-1980)*4))</f>
        <v>64.709999999999994</v>
      </c>
      <c r="Q45" s="31" cm="1">
        <f t="array" ref="Q45">INDEX(Data1!B:B,140+($N45-1980)*4)</f>
        <v>77.87</v>
      </c>
      <c r="R45" s="28">
        <f t="shared" si="1"/>
        <v>0.12446087492298208</v>
      </c>
      <c r="S45" s="28">
        <f t="shared" si="2"/>
        <v>7.7422577422577188E-2</v>
      </c>
      <c r="T45" s="28">
        <f t="shared" si="3"/>
        <v>1.9507724535218873E-2</v>
      </c>
      <c r="V45" s="30">
        <f>F45</f>
        <v>32843</v>
      </c>
      <c r="W45" s="28">
        <f>J45</f>
        <v>3.831252690486453E-2</v>
      </c>
      <c r="X45" s="28" t="e">
        <f>K45</f>
        <v>#N/A</v>
      </c>
      <c r="Y45" s="28">
        <f>L45</f>
        <v>7.8155749226876514E-2</v>
      </c>
    </row>
    <row r="46" spans="6:25" x14ac:dyDescent="0.25">
      <c r="F46" s="30">
        <f>Data1!A177</f>
        <v>32933</v>
      </c>
      <c r="G46" s="31">
        <f>Data1!B177</f>
        <v>39.01</v>
      </c>
      <c r="H46" s="31">
        <f>Data1!BM177</f>
        <v>24.14</v>
      </c>
      <c r="I46" s="31">
        <f>IF(ISBLANK(Data1!BN177),NA(),Data1!BN177)</f>
        <v>17.41</v>
      </c>
      <c r="J46" s="28">
        <f>IFERROR(Data1!BM177/Data1!BM173-1,NA())</f>
        <v>3.6941580756013614E-2</v>
      </c>
      <c r="K46" s="28" t="e">
        <f>IFERROR(IF(OR(ISBLANK(Data1!BN177),ISBLANK(Data1!BN173)),NA(),Data1!BN177/Data1!BN173-1),NA())</f>
        <v>#N/A</v>
      </c>
      <c r="L46" s="28">
        <f>IFERROR(Data1!B177/Data1!B173-1,NA())</f>
        <v>8.6326928432191696E-2</v>
      </c>
      <c r="N46">
        <f t="shared" si="0"/>
        <v>2018</v>
      </c>
      <c r="O46" s="31" cm="1">
        <f t="array" ref="O46">INDEX(Data1!BM:BM,140+($N46-1980)*4)</f>
        <v>92.86</v>
      </c>
      <c r="P46" s="31" cm="1">
        <f t="array" ref="P46">IF($N46&lt;1989,NA(),INDEX(Data1!BN:BN,140+($N46-1980)*4))</f>
        <v>66.790000000000006</v>
      </c>
      <c r="Q46" s="31" cm="1">
        <f t="array" ref="Q46">INDEX(Data1!B:B,140+($N46-1980)*4)</f>
        <v>79.239999999999995</v>
      </c>
      <c r="R46" s="28">
        <f t="shared" si="1"/>
        <v>1.7643835616438341E-2</v>
      </c>
      <c r="S46" s="28">
        <f t="shared" si="2"/>
        <v>3.2143409055787497E-2</v>
      </c>
      <c r="T46" s="28">
        <f t="shared" si="3"/>
        <v>1.7593424939000846E-2</v>
      </c>
      <c r="V46" s="30">
        <f>F46</f>
        <v>32933</v>
      </c>
      <c r="W46" s="28">
        <f>J46</f>
        <v>3.6941580756013614E-2</v>
      </c>
      <c r="X46" s="28" t="e">
        <f>K46</f>
        <v>#N/A</v>
      </c>
      <c r="Y46" s="28">
        <f>L46</f>
        <v>8.6326928432191696E-2</v>
      </c>
    </row>
    <row r="47" spans="6:25" x14ac:dyDescent="0.25">
      <c r="F47" s="30">
        <f>Data1!A178</f>
        <v>33025</v>
      </c>
      <c r="G47" s="31">
        <f>Data1!B178</f>
        <v>39.630000000000003</v>
      </c>
      <c r="H47" s="31">
        <f>Data1!BM178</f>
        <v>24.14</v>
      </c>
      <c r="I47" s="31">
        <f>IF(ISBLANK(Data1!BN178),NA(),Data1!BN178)</f>
        <v>17.48</v>
      </c>
      <c r="J47" s="28">
        <f>IFERROR(Data1!BM178/Data1!BM174-1,NA())</f>
        <v>3.6941580756013614E-2</v>
      </c>
      <c r="K47" s="28" t="e">
        <f>IFERROR(IF(OR(ISBLANK(Data1!BN178),ISBLANK(Data1!BN174)),NA(),Data1!BN178/Data1!BN174-1),NA())</f>
        <v>#N/A</v>
      </c>
      <c r="L47" s="28">
        <f>IFERROR(Data1!B178/Data1!B174-1,NA())</f>
        <v>7.6902173913043548E-2</v>
      </c>
      <c r="N47">
        <f t="shared" si="0"/>
        <v>2019</v>
      </c>
      <c r="O47" s="31" cm="1">
        <f t="array" ref="O47">INDEX(Data1!BM:BM,140+($N47-1980)*4)</f>
        <v>89.63</v>
      </c>
      <c r="P47" s="31" cm="1">
        <f t="array" ref="P47">IF($N47&lt;1989,NA(),INDEX(Data1!BN:BN,140+($N47-1980)*4))</f>
        <v>67.73</v>
      </c>
      <c r="Q47" s="31" cm="1">
        <f t="array" ref="Q47">INDEX(Data1!B:B,140+($N47-1980)*4)</f>
        <v>80.7</v>
      </c>
      <c r="R47" s="28">
        <f t="shared" si="1"/>
        <v>-3.4783545121688575E-2</v>
      </c>
      <c r="S47" s="28">
        <f t="shared" si="2"/>
        <v>1.4073963168138803E-2</v>
      </c>
      <c r="T47" s="28">
        <f t="shared" si="3"/>
        <v>1.8425037859666871E-2</v>
      </c>
      <c r="V47" s="30">
        <f>F47</f>
        <v>33025</v>
      </c>
      <c r="W47" s="28">
        <f>J47</f>
        <v>3.6941580756013614E-2</v>
      </c>
      <c r="X47" s="28" t="e">
        <f>K47</f>
        <v>#N/A</v>
      </c>
      <c r="Y47" s="28">
        <f>L47</f>
        <v>7.6902173913043548E-2</v>
      </c>
    </row>
    <row r="48" spans="6:25" x14ac:dyDescent="0.25">
      <c r="F48" s="30">
        <f>Data1!A179</f>
        <v>33117</v>
      </c>
      <c r="G48" s="31">
        <f>Data1!B179</f>
        <v>39.94</v>
      </c>
      <c r="H48" s="31">
        <f>Data1!BM179</f>
        <v>23.28</v>
      </c>
      <c r="I48" s="31">
        <f>IF(ISBLANK(Data1!BN179),NA(),Data1!BN179)</f>
        <v>18.12</v>
      </c>
      <c r="J48" s="28">
        <f>IFERROR(Data1!BM179/Data1!BM175-1,NA())</f>
        <v>-2.9190992493744794E-2</v>
      </c>
      <c r="K48" s="28">
        <f>IFERROR(IF(OR(ISBLANK(Data1!BN179),ISBLANK(Data1!BN175)),NA(),Data1!BN179/Data1!BN175-1),NA())</f>
        <v>7.2824156305506316E-2</v>
      </c>
      <c r="L48" s="28">
        <f>IFERROR(Data1!B179/Data1!B175-1,NA())</f>
        <v>6.0823373173970685E-2</v>
      </c>
      <c r="N48">
        <f t="shared" si="0"/>
        <v>2020</v>
      </c>
      <c r="O48" s="31" cm="1">
        <f t="array" ref="O48">INDEX(Data1!BM:BM,140+($N48-1980)*4)</f>
        <v>81.349999999999994</v>
      </c>
      <c r="P48" s="31" cm="1">
        <f t="array" ref="P48">IF($N48&lt;1989,NA(),INDEX(Data1!BN:BN,140+($N48-1980)*4))</f>
        <v>65.98</v>
      </c>
      <c r="Q48" s="31" cm="1">
        <f t="array" ref="Q48">INDEX(Data1!B:B,140+($N48-1980)*4)</f>
        <v>81.400000000000006</v>
      </c>
      <c r="R48" s="28">
        <f t="shared" si="1"/>
        <v>-9.2379783554613404E-2</v>
      </c>
      <c r="S48" s="28">
        <f t="shared" si="2"/>
        <v>-2.5837885722722609E-2</v>
      </c>
      <c r="T48" s="28">
        <f t="shared" si="3"/>
        <v>8.6741016109046498E-3</v>
      </c>
      <c r="V48" s="30">
        <f>F48</f>
        <v>33117</v>
      </c>
      <c r="W48" s="28">
        <f>J48</f>
        <v>-2.9190992493744794E-2</v>
      </c>
      <c r="X48" s="28">
        <f>K48</f>
        <v>7.2824156305506316E-2</v>
      </c>
      <c r="Y48" s="28">
        <f>L48</f>
        <v>6.0823373173970685E-2</v>
      </c>
    </row>
    <row r="49" spans="6:25" x14ac:dyDescent="0.25">
      <c r="F49" s="30">
        <f>Data1!A180</f>
        <v>33208</v>
      </c>
      <c r="G49" s="31">
        <f>Data1!B180</f>
        <v>40.98</v>
      </c>
      <c r="H49" s="31">
        <f>Data1!BM180</f>
        <v>25.3</v>
      </c>
      <c r="I49" s="31">
        <f>IF(ISBLANK(Data1!BN180),NA(),Data1!BN180)</f>
        <v>18.46</v>
      </c>
      <c r="J49" s="28">
        <f>IFERROR(Data1!BM180/Data1!BM176-1,NA())</f>
        <v>4.8922056384743007E-2</v>
      </c>
      <c r="K49" s="28">
        <f>IFERROR(IF(OR(ISBLANK(Data1!BN180),ISBLANK(Data1!BN176)),NA(),Data1!BN180/Data1!BN176-1),NA())</f>
        <v>7.0765661252900403E-2</v>
      </c>
      <c r="L49" s="28">
        <f>IFERROR(Data1!B180/Data1!B176-1,NA())</f>
        <v>6.8578878748370098E-2</v>
      </c>
      <c r="N49">
        <f t="shared" si="0"/>
        <v>2021</v>
      </c>
      <c r="O49" s="31" cm="1">
        <f t="array" ref="O49">INDEX(Data1!BM:BM,140+($N49-1980)*4)</f>
        <v>83.78</v>
      </c>
      <c r="P49" s="31" cm="1">
        <f t="array" ref="P49">IF($N49&lt;1989,NA(),INDEX(Data1!BN:BN,140+($N49-1980)*4))</f>
        <v>67.69</v>
      </c>
      <c r="Q49" s="31" cm="1">
        <f t="array" ref="Q49">INDEX(Data1!B:B,140+($N49-1980)*4)</f>
        <v>84.23</v>
      </c>
      <c r="R49" s="28">
        <f t="shared" si="1"/>
        <v>2.9870928088506554E-2</v>
      </c>
      <c r="S49" s="28">
        <f t="shared" si="2"/>
        <v>2.5916944528644903E-2</v>
      </c>
      <c r="T49" s="28">
        <f t="shared" si="3"/>
        <v>3.4766584766584785E-2</v>
      </c>
      <c r="V49" s="30">
        <f>F49</f>
        <v>33208</v>
      </c>
      <c r="W49" s="28">
        <f>J49</f>
        <v>4.8922056384743007E-2</v>
      </c>
      <c r="X49" s="28">
        <f>K49</f>
        <v>7.0765661252900403E-2</v>
      </c>
      <c r="Y49" s="28">
        <f>L49</f>
        <v>6.8578878748370098E-2</v>
      </c>
    </row>
    <row r="50" spans="6:25" x14ac:dyDescent="0.25">
      <c r="F50" s="30">
        <f>Data1!A181</f>
        <v>33298</v>
      </c>
      <c r="G50" s="31">
        <f>Data1!B181</f>
        <v>40.9</v>
      </c>
      <c r="H50" s="31">
        <f>Data1!BM181</f>
        <v>25.37</v>
      </c>
      <c r="I50" s="31">
        <f>IF(ISBLANK(Data1!BN181),NA(),Data1!BN181)</f>
        <v>18.64</v>
      </c>
      <c r="J50" s="28">
        <f>IFERROR(Data1!BM181/Data1!BM177-1,NA())</f>
        <v>5.0952775476387657E-2</v>
      </c>
      <c r="K50" s="28">
        <f>IFERROR(IF(OR(ISBLANK(Data1!BN181),ISBLANK(Data1!BN177)),NA(),Data1!BN181/Data1!BN177-1),NA())</f>
        <v>7.0649052268811019E-2</v>
      </c>
      <c r="L50" s="28">
        <f>IFERROR(Data1!B181/Data1!B177-1,NA())</f>
        <v>4.8449115611381766E-2</v>
      </c>
      <c r="N50">
        <f t="shared" si="0"/>
        <v>2022</v>
      </c>
      <c r="O50" s="31" cm="1">
        <f t="array" ref="O50">INDEX(Data1!BM:BM,140+($N50-1980)*4)</f>
        <v>93.55</v>
      </c>
      <c r="P50" s="31" cm="1">
        <f t="array" ref="P50">IF($N50&lt;1989,NA(),INDEX(Data1!BN:BN,140+($N50-1980)*4))</f>
        <v>79.45</v>
      </c>
      <c r="Q50" s="31" cm="1">
        <f t="array" ref="Q50">INDEX(Data1!B:B,140+($N50-1980)*4)</f>
        <v>90.85</v>
      </c>
      <c r="R50" s="28">
        <f t="shared" si="1"/>
        <v>0.11661494390069227</v>
      </c>
      <c r="S50" s="28">
        <f t="shared" si="2"/>
        <v>0.17373319544984489</v>
      </c>
      <c r="T50" s="28">
        <f t="shared" si="3"/>
        <v>7.8594325062329329E-2</v>
      </c>
      <c r="V50" s="30">
        <f>F50</f>
        <v>33298</v>
      </c>
      <c r="W50" s="28">
        <f>J50</f>
        <v>5.0952775476387657E-2</v>
      </c>
      <c r="X50" s="28">
        <f>K50</f>
        <v>7.0649052268811019E-2</v>
      </c>
      <c r="Y50" s="28">
        <f>L50</f>
        <v>4.8449115611381766E-2</v>
      </c>
    </row>
    <row r="51" spans="6:25" x14ac:dyDescent="0.25">
      <c r="F51" s="30">
        <f>Data1!A182</f>
        <v>33390</v>
      </c>
      <c r="G51" s="31">
        <f>Data1!B182</f>
        <v>40.98</v>
      </c>
      <c r="H51" s="31">
        <f>Data1!BM182</f>
        <v>25.4</v>
      </c>
      <c r="I51" s="31">
        <f>IF(ISBLANK(Data1!BN182),NA(),Data1!BN182)</f>
        <v>18.53</v>
      </c>
      <c r="J51" s="28">
        <f>IFERROR(Data1!BM182/Data1!BM178-1,NA())</f>
        <v>5.2195526097762901E-2</v>
      </c>
      <c r="K51" s="28">
        <f>IFERROR(IF(OR(ISBLANK(Data1!BN182),ISBLANK(Data1!BN178)),NA(),Data1!BN182/Data1!BN178-1),NA())</f>
        <v>6.006864988558358E-2</v>
      </c>
      <c r="L51" s="28">
        <f>IFERROR(Data1!B182/Data1!B178-1,NA())</f>
        <v>3.4065102195306451E-2</v>
      </c>
      <c r="N51">
        <f t="shared" si="0"/>
        <v>2023</v>
      </c>
      <c r="O51" s="31" cm="1">
        <f t="array" ref="O51">INDEX(Data1!BM:BM,140+($N51-1980)*4)</f>
        <v>99.98</v>
      </c>
      <c r="P51" s="31" cm="1">
        <f t="array" ref="P51">IF($N51&lt;1989,NA(),INDEX(Data1!BN:BN,140+($N51-1980)*4))</f>
        <v>90.1</v>
      </c>
      <c r="Q51" s="31" cm="1">
        <f t="array" ref="Q51">INDEX(Data1!B:B,140+($N51-1980)*4)</f>
        <v>94.53</v>
      </c>
      <c r="R51" s="28">
        <f t="shared" si="1"/>
        <v>6.873329770176384E-2</v>
      </c>
      <c r="S51" s="28">
        <f t="shared" si="2"/>
        <v>0.13404657016991806</v>
      </c>
      <c r="T51" s="28">
        <f t="shared" si="3"/>
        <v>4.0506329113924044E-2</v>
      </c>
      <c r="V51" s="30">
        <f>F51</f>
        <v>33390</v>
      </c>
      <c r="W51" s="28">
        <f>J51</f>
        <v>5.2195526097762901E-2</v>
      </c>
      <c r="X51" s="28">
        <f>K51</f>
        <v>6.006864988558358E-2</v>
      </c>
      <c r="Y51" s="28">
        <f>L51</f>
        <v>3.4065102195306451E-2</v>
      </c>
    </row>
    <row r="52" spans="6:25" x14ac:dyDescent="0.25">
      <c r="F52" s="30">
        <f>Data1!A183</f>
        <v>33482</v>
      </c>
      <c r="G52" s="31">
        <f>Data1!B183</f>
        <v>41.21</v>
      </c>
      <c r="H52" s="31">
        <f>Data1!BM183</f>
        <v>26.41</v>
      </c>
      <c r="I52" s="31">
        <f>IF(ISBLANK(Data1!BN183),NA(),Data1!BN183)</f>
        <v>19.149999999999999</v>
      </c>
      <c r="J52" s="28">
        <f>IFERROR(Data1!BM183/Data1!BM179-1,NA())</f>
        <v>0.13445017182130581</v>
      </c>
      <c r="K52" s="28">
        <f>IFERROR(IF(OR(ISBLANK(Data1!BN183),ISBLANK(Data1!BN179)),NA(),Data1!BN183/Data1!BN179-1),NA())</f>
        <v>5.6843267108167561E-2</v>
      </c>
      <c r="L52" s="28">
        <f>IFERROR(Data1!B183/Data1!B179-1,NA())</f>
        <v>3.1797696544817233E-2</v>
      </c>
      <c r="N52">
        <f t="shared" si="0"/>
        <v>2024</v>
      </c>
      <c r="O52" s="31" cm="1">
        <f t="array" ref="O52">INDEX(Data1!BM:BM,140+($N52-1980)*4)</f>
        <v>74.760000000000005</v>
      </c>
      <c r="P52" s="31" cm="1">
        <f t="array" ref="P52">IF($N52&lt;1989,NA(),INDEX(Data1!BN:BN,140+($N52-1980)*4))</f>
        <v>94.2</v>
      </c>
      <c r="Q52" s="31" cm="1">
        <f t="array" ref="Q52">INDEX(Data1!B:B,140+($N52-1980)*4)</f>
        <v>96.81</v>
      </c>
      <c r="R52" s="28">
        <f t="shared" si="1"/>
        <v>-0.25225045009001801</v>
      </c>
      <c r="S52" s="28">
        <f t="shared" si="2"/>
        <v>4.5504994450610514E-2</v>
      </c>
      <c r="T52" s="28">
        <f t="shared" si="3"/>
        <v>2.4119327197714924E-2</v>
      </c>
      <c r="V52" s="30">
        <f>F52</f>
        <v>33482</v>
      </c>
      <c r="W52" s="28">
        <f>J52</f>
        <v>0.13445017182130581</v>
      </c>
      <c r="X52" s="28">
        <f>K52</f>
        <v>5.6843267108167561E-2</v>
      </c>
      <c r="Y52" s="28">
        <f>L52</f>
        <v>3.1797696544817233E-2</v>
      </c>
    </row>
    <row r="53" spans="6:25" x14ac:dyDescent="0.25">
      <c r="F53" s="30">
        <f>Data1!A184</f>
        <v>33573</v>
      </c>
      <c r="G53" s="31">
        <f>Data1!B184</f>
        <v>41.6</v>
      </c>
      <c r="H53" s="31">
        <f>Data1!BM184</f>
        <v>26.53</v>
      </c>
      <c r="I53" s="31">
        <f>IF(ISBLANK(Data1!BN184),NA(),Data1!BN184)</f>
        <v>19.149999999999999</v>
      </c>
      <c r="J53" s="28">
        <f>IFERROR(Data1!BM184/Data1!BM180-1,NA())</f>
        <v>4.8616600790513775E-2</v>
      </c>
      <c r="K53" s="28">
        <f>IFERROR(IF(OR(ISBLANK(Data1!BN184),ISBLANK(Data1!BN180)),NA(),Data1!BN184/Data1!BN180-1),NA())</f>
        <v>3.7378114842903543E-2</v>
      </c>
      <c r="L53" s="28">
        <f>IFERROR(Data1!B184/Data1!B180-1,NA())</f>
        <v>1.512933138116157E-2</v>
      </c>
      <c r="N53">
        <f t="shared" si="0"/>
        <v>2025</v>
      </c>
      <c r="O53" s="31" cm="1">
        <f t="array" ref="O53">INDEX(Data1!BM:BM,140+($N53-1980)*4)</f>
        <v>93.88</v>
      </c>
      <c r="P53" s="31" cm="1">
        <f t="array" ref="P53">IF($N53&lt;1989,NA(),INDEX(Data1!BN:BN,140+($N53-1980)*4))</f>
        <v>98.52</v>
      </c>
      <c r="Q53" s="31" cm="1">
        <f t="array" ref="Q53">INDEX(Data1!B:B,140+($N53-1980)*4)</f>
        <v>100.32</v>
      </c>
      <c r="R53" s="28">
        <f t="shared" si="1"/>
        <v>0.25575173889780611</v>
      </c>
      <c r="S53" s="28">
        <f t="shared" si="2"/>
        <v>4.5859872611464958E-2</v>
      </c>
      <c r="T53" s="28">
        <f t="shared" si="3"/>
        <v>3.6256585063526359E-2</v>
      </c>
      <c r="V53" s="30">
        <f>F53</f>
        <v>33573</v>
      </c>
      <c r="W53" s="28">
        <f>J53</f>
        <v>4.8616600790513775E-2</v>
      </c>
      <c r="X53" s="28">
        <f>K53</f>
        <v>3.7378114842903543E-2</v>
      </c>
      <c r="Y53" s="28">
        <f>L53</f>
        <v>1.512933138116157E-2</v>
      </c>
    </row>
    <row r="54" spans="6:25" x14ac:dyDescent="0.25">
      <c r="F54" s="30">
        <f>Data1!A185</f>
        <v>33664</v>
      </c>
      <c r="G54" s="31">
        <f>Data1!B185</f>
        <v>41.6</v>
      </c>
      <c r="H54" s="31">
        <f>Data1!BM185</f>
        <v>26.55</v>
      </c>
      <c r="I54" s="31">
        <f>IF(ISBLANK(Data1!BN185),NA(),Data1!BN185)</f>
        <v>19.239999999999998</v>
      </c>
      <c r="J54" s="28">
        <f>IFERROR(Data1!BM185/Data1!BM181-1,NA())</f>
        <v>4.6511627906976827E-2</v>
      </c>
      <c r="K54" s="28">
        <f>IFERROR(IF(OR(ISBLANK(Data1!BN185),ISBLANK(Data1!BN181)),NA(),Data1!BN185/Data1!BN181-1),NA())</f>
        <v>3.2188841201716611E-2</v>
      </c>
      <c r="L54" s="28">
        <f>IFERROR(Data1!B185/Data1!B181-1,NA())</f>
        <v>1.7114914425427896E-2</v>
      </c>
      <c r="V54" s="30">
        <f>F54</f>
        <v>33664</v>
      </c>
      <c r="W54" s="28">
        <f>J54</f>
        <v>4.6511627906976827E-2</v>
      </c>
      <c r="X54" s="28">
        <f>K54</f>
        <v>3.2188841201716611E-2</v>
      </c>
      <c r="Y54" s="28">
        <f>L54</f>
        <v>1.7114914425427896E-2</v>
      </c>
    </row>
    <row r="55" spans="6:25" x14ac:dyDescent="0.25">
      <c r="F55" s="30">
        <f>Data1!A186</f>
        <v>33756</v>
      </c>
      <c r="G55" s="31">
        <f>Data1!B186</f>
        <v>41.48</v>
      </c>
      <c r="H55" s="31">
        <f>Data1!BM186</f>
        <v>26.58</v>
      </c>
      <c r="I55" s="31">
        <f>IF(ISBLANK(Data1!BN186),NA(),Data1!BN186)</f>
        <v>19.190000000000001</v>
      </c>
      <c r="J55" s="28">
        <f>IFERROR(Data1!BM186/Data1!BM182-1,NA())</f>
        <v>4.6456692913385833E-2</v>
      </c>
      <c r="K55" s="28">
        <f>IFERROR(IF(OR(ISBLANK(Data1!BN186),ISBLANK(Data1!BN182)),NA(),Data1!BN186/Data1!BN182-1),NA())</f>
        <v>3.5617916891527157E-2</v>
      </c>
      <c r="L55" s="28">
        <f>IFERROR(Data1!B186/Data1!B182-1,NA())</f>
        <v>1.2201073694485087E-2</v>
      </c>
      <c r="V55" s="30">
        <f>F55</f>
        <v>33756</v>
      </c>
      <c r="W55" s="28">
        <f>J55</f>
        <v>4.6456692913385833E-2</v>
      </c>
      <c r="X55" s="28">
        <f>K55</f>
        <v>3.5617916891527157E-2</v>
      </c>
      <c r="Y55" s="28">
        <f>L55</f>
        <v>1.2201073694485087E-2</v>
      </c>
    </row>
    <row r="56" spans="6:25" x14ac:dyDescent="0.25">
      <c r="F56" s="30">
        <f>Data1!A187</f>
        <v>33848</v>
      </c>
      <c r="G56" s="31">
        <f>Data1!B187</f>
        <v>41.52</v>
      </c>
      <c r="H56" s="31">
        <f>Data1!BM187</f>
        <v>27.13</v>
      </c>
      <c r="I56" s="31">
        <f>IF(ISBLANK(Data1!BN187),NA(),Data1!BN187)</f>
        <v>19.27</v>
      </c>
      <c r="J56" s="28">
        <f>IFERROR(Data1!BM187/Data1!BM183-1,NA())</f>
        <v>2.7262400605831072E-2</v>
      </c>
      <c r="K56" s="28">
        <f>IFERROR(IF(OR(ISBLANK(Data1!BN187),ISBLANK(Data1!BN183)),NA(),Data1!BN187/Data1!BN183-1),NA())</f>
        <v>6.2663185378590835E-3</v>
      </c>
      <c r="L56" s="28">
        <f>IFERROR(Data1!B187/Data1!B183-1,NA())</f>
        <v>7.5224460082505828E-3</v>
      </c>
      <c r="V56" s="30">
        <f>F56</f>
        <v>33848</v>
      </c>
      <c r="W56" s="28">
        <f>J56</f>
        <v>2.7262400605831072E-2</v>
      </c>
      <c r="X56" s="28">
        <f>K56</f>
        <v>6.2663185378590835E-3</v>
      </c>
      <c r="Y56" s="28">
        <f>L56</f>
        <v>7.5224460082505828E-3</v>
      </c>
    </row>
    <row r="57" spans="6:25" x14ac:dyDescent="0.25">
      <c r="F57" s="30">
        <f>Data1!A188</f>
        <v>33939</v>
      </c>
      <c r="G57" s="31">
        <f>Data1!B188</f>
        <v>41.71</v>
      </c>
      <c r="H57" s="31">
        <f>Data1!BM188</f>
        <v>27.64</v>
      </c>
      <c r="I57" s="31">
        <f>IF(ISBLANK(Data1!BN188),NA(),Data1!BN188)</f>
        <v>19.829999999999998</v>
      </c>
      <c r="J57" s="28">
        <f>IFERROR(Data1!BM188/Data1!BM184-1,NA())</f>
        <v>4.1839427063701473E-2</v>
      </c>
      <c r="K57" s="28">
        <f>IFERROR(IF(OR(ISBLANK(Data1!BN188),ISBLANK(Data1!BN184)),NA(),Data1!BN188/Data1!BN184-1),NA())</f>
        <v>3.5509138381200955E-2</v>
      </c>
      <c r="L57" s="28">
        <f>IFERROR(Data1!B188/Data1!B184-1,NA())</f>
        <v>2.6442307692307043E-3</v>
      </c>
      <c r="V57" s="30">
        <f>F57</f>
        <v>33939</v>
      </c>
      <c r="W57" s="28">
        <f>J57</f>
        <v>4.1839427063701473E-2</v>
      </c>
      <c r="X57" s="28">
        <f>K57</f>
        <v>3.5509138381200955E-2</v>
      </c>
      <c r="Y57" s="28">
        <f>L57</f>
        <v>2.6442307692307043E-3</v>
      </c>
    </row>
    <row r="58" spans="6:25" x14ac:dyDescent="0.25">
      <c r="F58" s="30">
        <f>Data1!A189</f>
        <v>34029</v>
      </c>
      <c r="G58" s="31">
        <f>Data1!B189</f>
        <v>42.1</v>
      </c>
      <c r="H58" s="31">
        <f>Data1!BM189</f>
        <v>27.88</v>
      </c>
      <c r="I58" s="31">
        <f>IF(ISBLANK(Data1!BN189),NA(),Data1!BN189)</f>
        <v>20.57</v>
      </c>
      <c r="J58" s="28">
        <f>IFERROR(Data1!BM189/Data1!BM185-1,NA())</f>
        <v>5.0094161958568639E-2</v>
      </c>
      <c r="K58" s="28">
        <f>IFERROR(IF(OR(ISBLANK(Data1!BN189),ISBLANK(Data1!BN185)),NA(),Data1!BN189/Data1!BN185-1),NA())</f>
        <v>6.9126819126819283E-2</v>
      </c>
      <c r="L58" s="28">
        <f>IFERROR(Data1!B189/Data1!B185-1,NA())</f>
        <v>1.2019230769230838E-2</v>
      </c>
      <c r="V58" s="30">
        <f>F58</f>
        <v>34029</v>
      </c>
      <c r="W58" s="28">
        <f>J58</f>
        <v>5.0094161958568639E-2</v>
      </c>
      <c r="X58" s="28">
        <f>K58</f>
        <v>6.9126819126819283E-2</v>
      </c>
      <c r="Y58" s="28">
        <f>L58</f>
        <v>1.2019230769230838E-2</v>
      </c>
    </row>
    <row r="59" spans="6:25" x14ac:dyDescent="0.25">
      <c r="F59" s="30">
        <f>Data1!A190</f>
        <v>34121</v>
      </c>
      <c r="G59" s="31">
        <f>Data1!B190</f>
        <v>42.25</v>
      </c>
      <c r="H59" s="31">
        <f>Data1!BM190</f>
        <v>27.9</v>
      </c>
      <c r="I59" s="31">
        <f>IF(ISBLANK(Data1!BN190),NA(),Data1!BN190)</f>
        <v>20.55</v>
      </c>
      <c r="J59" s="28">
        <f>IFERROR(Data1!BM190/Data1!BM186-1,NA())</f>
        <v>4.9661399548532659E-2</v>
      </c>
      <c r="K59" s="28">
        <f>IFERROR(IF(OR(ISBLANK(Data1!BN190),ISBLANK(Data1!BN186)),NA(),Data1!BN190/Data1!BN186-1),NA())</f>
        <v>7.0870244919228664E-2</v>
      </c>
      <c r="L59" s="28">
        <f>IFERROR(Data1!B190/Data1!B186-1,NA())</f>
        <v>1.8563162970106184E-2</v>
      </c>
      <c r="V59" s="30">
        <f>F59</f>
        <v>34121</v>
      </c>
      <c r="W59" s="28">
        <f>J59</f>
        <v>4.9661399548532659E-2</v>
      </c>
      <c r="X59" s="28">
        <f>K59</f>
        <v>7.0870244919228664E-2</v>
      </c>
      <c r="Y59" s="28">
        <f>L59</f>
        <v>1.8563162970106184E-2</v>
      </c>
    </row>
    <row r="60" spans="6:25" x14ac:dyDescent="0.25">
      <c r="F60" s="30">
        <f>Data1!A191</f>
        <v>34213</v>
      </c>
      <c r="G60" s="31">
        <f>Data1!B191</f>
        <v>42.45</v>
      </c>
      <c r="H60" s="31">
        <f>Data1!BM191</f>
        <v>28.22</v>
      </c>
      <c r="I60" s="31">
        <f>IF(ISBLANK(Data1!BN191),NA(),Data1!BN191)</f>
        <v>20.57</v>
      </c>
      <c r="J60" s="28">
        <f>IFERROR(Data1!BM191/Data1!BM187-1,NA())</f>
        <v>4.0176925912274175E-2</v>
      </c>
      <c r="K60" s="28">
        <f>IFERROR(IF(OR(ISBLANK(Data1!BN191),ISBLANK(Data1!BN187)),NA(),Data1!BN191/Data1!BN187-1),NA())</f>
        <v>6.7462376751427078E-2</v>
      </c>
      <c r="L60" s="28">
        <f>IFERROR(Data1!B191/Data1!B187-1,NA())</f>
        <v>2.2398843930635737E-2</v>
      </c>
      <c r="V60" s="30">
        <f>F60</f>
        <v>34213</v>
      </c>
      <c r="W60" s="28">
        <f>J60</f>
        <v>4.0176925912274175E-2</v>
      </c>
      <c r="X60" s="28">
        <f>K60</f>
        <v>6.7462376751427078E-2</v>
      </c>
      <c r="Y60" s="28">
        <f>L60</f>
        <v>2.2398843930635737E-2</v>
      </c>
    </row>
    <row r="61" spans="6:25" x14ac:dyDescent="0.25">
      <c r="F61" s="30">
        <f>Data1!A192</f>
        <v>34304</v>
      </c>
      <c r="G61" s="31">
        <f>Data1!B192</f>
        <v>42.53</v>
      </c>
      <c r="H61" s="31">
        <f>Data1!BM192</f>
        <v>28.24</v>
      </c>
      <c r="I61" s="31">
        <f>IF(ISBLANK(Data1!BN192),NA(),Data1!BN192)</f>
        <v>20.62</v>
      </c>
      <c r="J61" s="28">
        <f>IFERROR(Data1!BM192/Data1!BM188-1,NA())</f>
        <v>2.1707670043415339E-2</v>
      </c>
      <c r="K61" s="28">
        <f>IFERROR(IF(OR(ISBLANK(Data1!BN192),ISBLANK(Data1!BN188)),NA(),Data1!BN192/Data1!BN188-1),NA())</f>
        <v>3.9838628340897797E-2</v>
      </c>
      <c r="L61" s="28">
        <f>IFERROR(Data1!B192/Data1!B188-1,NA())</f>
        <v>1.9659554063773621E-2</v>
      </c>
      <c r="V61" s="30">
        <f>F61</f>
        <v>34304</v>
      </c>
      <c r="W61" s="28">
        <f>J61</f>
        <v>2.1707670043415339E-2</v>
      </c>
      <c r="X61" s="28">
        <f>K61</f>
        <v>3.9838628340897797E-2</v>
      </c>
      <c r="Y61" s="28">
        <f>L61</f>
        <v>1.9659554063773621E-2</v>
      </c>
    </row>
    <row r="62" spans="6:25" x14ac:dyDescent="0.25">
      <c r="F62" s="30">
        <f>Data1!A193</f>
        <v>34394</v>
      </c>
      <c r="G62" s="31">
        <f>Data1!B193</f>
        <v>42.68</v>
      </c>
      <c r="H62" s="31">
        <f>Data1!BM193</f>
        <v>28.26</v>
      </c>
      <c r="I62" s="31">
        <f>IF(ISBLANK(Data1!BN193),NA(),Data1!BN193)</f>
        <v>20.62</v>
      </c>
      <c r="J62" s="28">
        <f>IFERROR(Data1!BM193/Data1!BM189-1,NA())</f>
        <v>1.3629842180774787E-2</v>
      </c>
      <c r="K62" s="28">
        <f>IFERROR(IF(OR(ISBLANK(Data1!BN193),ISBLANK(Data1!BN189)),NA(),Data1!BN193/Data1!BN189-1),NA())</f>
        <v>2.430724355858116E-3</v>
      </c>
      <c r="L62" s="28">
        <f>IFERROR(Data1!B193/Data1!B189-1,NA())</f>
        <v>1.3776722090261151E-2</v>
      </c>
      <c r="V62" s="30">
        <f>F62</f>
        <v>34394</v>
      </c>
      <c r="W62" s="28">
        <f>J62</f>
        <v>1.3629842180774787E-2</v>
      </c>
      <c r="X62" s="28">
        <f>K62</f>
        <v>2.430724355858116E-3</v>
      </c>
      <c r="Y62" s="28">
        <f>L62</f>
        <v>1.3776722090261151E-2</v>
      </c>
    </row>
    <row r="63" spans="6:25" x14ac:dyDescent="0.25">
      <c r="F63" s="30">
        <f>Data1!A194</f>
        <v>34486</v>
      </c>
      <c r="G63" s="31">
        <f>Data1!B194</f>
        <v>42.99</v>
      </c>
      <c r="H63" s="31">
        <f>Data1!BM194</f>
        <v>28.29</v>
      </c>
      <c r="I63" s="31">
        <f>IF(ISBLANK(Data1!BN194),NA(),Data1!BN194)</f>
        <v>20.55</v>
      </c>
      <c r="J63" s="28">
        <f>IFERROR(Data1!BM194/Data1!BM190-1,NA())</f>
        <v>1.3978494623655857E-2</v>
      </c>
      <c r="K63" s="28">
        <f>IFERROR(IF(OR(ISBLANK(Data1!BN194),ISBLANK(Data1!BN190)),NA(),Data1!BN194/Data1!BN190-1),NA())</f>
        <v>0</v>
      </c>
      <c r="L63" s="28">
        <f>IFERROR(Data1!B194/Data1!B190-1,NA())</f>
        <v>1.7514792899408382E-2</v>
      </c>
      <c r="V63" s="30">
        <f>F63</f>
        <v>34486</v>
      </c>
      <c r="W63" s="28">
        <f>J63</f>
        <v>1.3978494623655857E-2</v>
      </c>
      <c r="X63" s="28">
        <f>K63</f>
        <v>0</v>
      </c>
      <c r="Y63" s="28">
        <f>L63</f>
        <v>1.7514792899408382E-2</v>
      </c>
    </row>
    <row r="64" spans="6:25" x14ac:dyDescent="0.25">
      <c r="F64" s="30">
        <f>Data1!A195</f>
        <v>34578</v>
      </c>
      <c r="G64" s="31">
        <f>Data1!B195</f>
        <v>43.26</v>
      </c>
      <c r="H64" s="31">
        <f>Data1!BM195</f>
        <v>28.26</v>
      </c>
      <c r="I64" s="31">
        <f>IF(ISBLANK(Data1!BN195),NA(),Data1!BN195)</f>
        <v>21.02</v>
      </c>
      <c r="J64" s="28">
        <f>IFERROR(Data1!BM195/Data1!BM191-1,NA())</f>
        <v>1.4174344436570507E-3</v>
      </c>
      <c r="K64" s="28">
        <f>IFERROR(IF(OR(ISBLANK(Data1!BN195),ISBLANK(Data1!BN191)),NA(),Data1!BN195/Data1!BN191-1),NA())</f>
        <v>2.1876519202722378E-2</v>
      </c>
      <c r="L64" s="28">
        <f>IFERROR(Data1!B195/Data1!B191-1,NA())</f>
        <v>1.9081272084805478E-2</v>
      </c>
      <c r="V64" s="30">
        <f>F64</f>
        <v>34578</v>
      </c>
      <c r="W64" s="28">
        <f>J64</f>
        <v>1.4174344436570507E-3</v>
      </c>
      <c r="X64" s="28">
        <f>K64</f>
        <v>2.1876519202722378E-2</v>
      </c>
      <c r="Y64" s="28">
        <f>L64</f>
        <v>1.9081272084805478E-2</v>
      </c>
    </row>
    <row r="65" spans="6:25" x14ac:dyDescent="0.25">
      <c r="F65" s="30">
        <f>Data1!A196</f>
        <v>34669</v>
      </c>
      <c r="G65" s="31">
        <f>Data1!B196</f>
        <v>43.61</v>
      </c>
      <c r="H65" s="31">
        <f>Data1!BM196</f>
        <v>28.26</v>
      </c>
      <c r="I65" s="31">
        <f>IF(ISBLANK(Data1!BN196),NA(),Data1!BN196)</f>
        <v>21.1</v>
      </c>
      <c r="J65" s="28">
        <f>IFERROR(Data1!BM196/Data1!BM192-1,NA())</f>
        <v>7.0821529745046519E-4</v>
      </c>
      <c r="K65" s="28">
        <f>IFERROR(IF(OR(ISBLANK(Data1!BN196),ISBLANK(Data1!BN192)),NA(),Data1!BN196/Data1!BN192-1),NA())</f>
        <v>2.3278370514064006E-2</v>
      </c>
      <c r="L65" s="28">
        <f>IFERROR(Data1!B196/Data1!B192-1,NA())</f>
        <v>2.539383964260522E-2</v>
      </c>
      <c r="V65" s="30">
        <f>F65</f>
        <v>34669</v>
      </c>
      <c r="W65" s="28">
        <f>J65</f>
        <v>7.0821529745046519E-4</v>
      </c>
      <c r="X65" s="28">
        <f>K65</f>
        <v>2.3278370514064006E-2</v>
      </c>
      <c r="Y65" s="28">
        <f>L65</f>
        <v>2.539383964260522E-2</v>
      </c>
    </row>
    <row r="66" spans="6:25" x14ac:dyDescent="0.25">
      <c r="F66" s="30">
        <f>Data1!A197</f>
        <v>34759</v>
      </c>
      <c r="G66" s="31">
        <f>Data1!B197</f>
        <v>44.34</v>
      </c>
      <c r="H66" s="31">
        <f>Data1!BM197</f>
        <v>28.26</v>
      </c>
      <c r="I66" s="31">
        <f>IF(ISBLANK(Data1!BN197),NA(),Data1!BN197)</f>
        <v>21.24</v>
      </c>
      <c r="J66" s="28">
        <f>IFERROR(Data1!BM197/Data1!BM193-1,NA())</f>
        <v>0</v>
      </c>
      <c r="K66" s="28">
        <f>IFERROR(IF(OR(ISBLANK(Data1!BN197),ISBLANK(Data1!BN193)),NA(),Data1!BN197/Data1!BN193-1),NA())</f>
        <v>3.0067895247332554E-2</v>
      </c>
      <c r="L66" s="28">
        <f>IFERROR(Data1!B197/Data1!B193-1,NA())</f>
        <v>3.8894095595126688E-2</v>
      </c>
      <c r="V66" s="30">
        <f>F66</f>
        <v>34759</v>
      </c>
      <c r="W66" s="28">
        <f>J66</f>
        <v>0</v>
      </c>
      <c r="X66" s="28">
        <f>K66</f>
        <v>3.0067895247332554E-2</v>
      </c>
      <c r="Y66" s="28">
        <f>L66</f>
        <v>3.8894095595126688E-2</v>
      </c>
    </row>
    <row r="67" spans="6:25" x14ac:dyDescent="0.25">
      <c r="F67" s="30">
        <f>Data1!A198</f>
        <v>34851</v>
      </c>
      <c r="G67" s="31">
        <f>Data1!B198</f>
        <v>44.92</v>
      </c>
      <c r="H67" s="31">
        <f>Data1!BM198</f>
        <v>28.26</v>
      </c>
      <c r="I67" s="31">
        <f>IF(ISBLANK(Data1!BN198),NA(),Data1!BN198)</f>
        <v>21.28</v>
      </c>
      <c r="J67" s="28">
        <f>IFERROR(Data1!BM198/Data1!BM194-1,NA())</f>
        <v>-1.0604453870625141E-3</v>
      </c>
      <c r="K67" s="28">
        <f>IFERROR(IF(OR(ISBLANK(Data1!BN198),ISBLANK(Data1!BN194)),NA(),Data1!BN198/Data1!BN194-1),NA())</f>
        <v>3.5523114355231256E-2</v>
      </c>
      <c r="L67" s="28">
        <f>IFERROR(Data1!B198/Data1!B194-1,NA())</f>
        <v>4.4894161432891266E-2</v>
      </c>
      <c r="V67" s="30">
        <f>F67</f>
        <v>34851</v>
      </c>
      <c r="W67" s="28">
        <f>J67</f>
        <v>-1.0604453870625141E-3</v>
      </c>
      <c r="X67" s="28">
        <f>K67</f>
        <v>3.5523114355231256E-2</v>
      </c>
      <c r="Y67" s="28">
        <f>L67</f>
        <v>4.4894161432891266E-2</v>
      </c>
    </row>
    <row r="68" spans="6:25" x14ac:dyDescent="0.25">
      <c r="F68" s="30">
        <f>Data1!A199</f>
        <v>34943</v>
      </c>
      <c r="G68" s="31">
        <f>Data1!B199</f>
        <v>45.46</v>
      </c>
      <c r="H68" s="31">
        <f>Data1!BM199</f>
        <v>28.34</v>
      </c>
      <c r="I68" s="31">
        <f>IF(ISBLANK(Data1!BN199),NA(),Data1!BN199)</f>
        <v>21.48</v>
      </c>
      <c r="J68" s="28">
        <f>IFERROR(Data1!BM199/Data1!BM195-1,NA())</f>
        <v>2.8308563340408988E-3</v>
      </c>
      <c r="K68" s="28">
        <f>IFERROR(IF(OR(ISBLANK(Data1!BN199),ISBLANK(Data1!BN195)),NA(),Data1!BN199/Data1!BN195-1),NA())</f>
        <v>2.1883920076118057E-2</v>
      </c>
      <c r="L68" s="28">
        <f>IFERROR(Data1!B199/Data1!B195-1,NA())</f>
        <v>5.0855293573740301E-2</v>
      </c>
      <c r="V68" s="30">
        <f>F68</f>
        <v>34943</v>
      </c>
      <c r="W68" s="28">
        <f>J68</f>
        <v>2.8308563340408988E-3</v>
      </c>
      <c r="X68" s="28">
        <f>K68</f>
        <v>2.1883920076118057E-2</v>
      </c>
      <c r="Y68" s="28">
        <f>L68</f>
        <v>5.0855293573740301E-2</v>
      </c>
    </row>
    <row r="69" spans="6:25" x14ac:dyDescent="0.25">
      <c r="F69" s="30">
        <f>Data1!A200</f>
        <v>35034</v>
      </c>
      <c r="G69" s="31">
        <f>Data1!B200</f>
        <v>45.81</v>
      </c>
      <c r="H69" s="31">
        <f>Data1!BM200</f>
        <v>28.34</v>
      </c>
      <c r="I69" s="31">
        <f>IF(ISBLANK(Data1!BN200),NA(),Data1!BN200)</f>
        <v>21.48</v>
      </c>
      <c r="J69" s="28">
        <f>IFERROR(Data1!BM200/Data1!BM196-1,NA())</f>
        <v>2.8308563340408988E-3</v>
      </c>
      <c r="K69" s="28">
        <f>IFERROR(IF(OR(ISBLANK(Data1!BN200),ISBLANK(Data1!BN196)),NA(),Data1!BN200/Data1!BN196-1),NA())</f>
        <v>1.8009478672985635E-2</v>
      </c>
      <c r="L69" s="28">
        <f>IFERROR(Data1!B200/Data1!B196-1,NA())</f>
        <v>5.0447145150194883E-2</v>
      </c>
      <c r="V69" s="30">
        <f>F69</f>
        <v>35034</v>
      </c>
      <c r="W69" s="28">
        <f>J69</f>
        <v>2.8308563340408988E-3</v>
      </c>
      <c r="X69" s="28">
        <f>K69</f>
        <v>1.8009478672985635E-2</v>
      </c>
      <c r="Y69" s="28">
        <f>L69</f>
        <v>5.0447145150194883E-2</v>
      </c>
    </row>
    <row r="70" spans="6:25" x14ac:dyDescent="0.25">
      <c r="F70" s="30">
        <f>Data1!A201</f>
        <v>35125</v>
      </c>
      <c r="G70" s="31">
        <f>Data1!B201</f>
        <v>46</v>
      </c>
      <c r="H70" s="31">
        <f>Data1!BM201</f>
        <v>28.34</v>
      </c>
      <c r="I70" s="31">
        <f>IF(ISBLANK(Data1!BN201),NA(),Data1!BN201)</f>
        <v>21.54</v>
      </c>
      <c r="J70" s="28">
        <f>IFERROR(Data1!BM201/Data1!BM197-1,NA())</f>
        <v>2.8308563340408988E-3</v>
      </c>
      <c r="K70" s="28">
        <f>IFERROR(IF(OR(ISBLANK(Data1!BN201),ISBLANK(Data1!BN197)),NA(),Data1!BN201/Data1!BN197-1),NA())</f>
        <v>1.4124293785310771E-2</v>
      </c>
      <c r="L70" s="28">
        <f>IFERROR(Data1!B201/Data1!B197-1,NA())</f>
        <v>3.7437979251240261E-2</v>
      </c>
      <c r="V70" s="30">
        <f>F70</f>
        <v>35125</v>
      </c>
      <c r="W70" s="28">
        <f>J70</f>
        <v>2.8308563340408988E-3</v>
      </c>
      <c r="X70" s="28">
        <f>K70</f>
        <v>1.4124293785310771E-2</v>
      </c>
      <c r="Y70" s="28">
        <f>L70</f>
        <v>3.7437979251240261E-2</v>
      </c>
    </row>
    <row r="71" spans="6:25" x14ac:dyDescent="0.25">
      <c r="F71" s="30">
        <f>Data1!A202</f>
        <v>35217</v>
      </c>
      <c r="G71" s="31">
        <f>Data1!B202</f>
        <v>46.31</v>
      </c>
      <c r="H71" s="31">
        <f>Data1!BM202</f>
        <v>28.34</v>
      </c>
      <c r="I71" s="31">
        <f>IF(ISBLANK(Data1!BN202),NA(),Data1!BN202)</f>
        <v>21.55</v>
      </c>
      <c r="J71" s="28">
        <f>IFERROR(Data1!BM202/Data1!BM198-1,NA())</f>
        <v>2.8308563340408988E-3</v>
      </c>
      <c r="K71" s="28">
        <f>IFERROR(IF(OR(ISBLANK(Data1!BN202),ISBLANK(Data1!BN198)),NA(),Data1!BN202/Data1!BN198-1),NA())</f>
        <v>1.2687969924811915E-2</v>
      </c>
      <c r="L71" s="28">
        <f>IFERROR(Data1!B202/Data1!B198-1,NA())</f>
        <v>3.0943900267141666E-2</v>
      </c>
      <c r="V71" s="30">
        <f>F71</f>
        <v>35217</v>
      </c>
      <c r="W71" s="28">
        <f>J71</f>
        <v>2.8308563340408988E-3</v>
      </c>
      <c r="X71" s="28">
        <f>K71</f>
        <v>1.2687969924811915E-2</v>
      </c>
      <c r="Y71" s="28">
        <f>L71</f>
        <v>3.0943900267141666E-2</v>
      </c>
    </row>
    <row r="72" spans="6:25" x14ac:dyDescent="0.25">
      <c r="F72" s="30">
        <f>Data1!A203</f>
        <v>35309</v>
      </c>
      <c r="G72" s="31">
        <f>Data1!B203</f>
        <v>46.43</v>
      </c>
      <c r="H72" s="31">
        <f>Data1!BM203</f>
        <v>28.7</v>
      </c>
      <c r="I72" s="31">
        <f>IF(ISBLANK(Data1!BN203),NA(),Data1!BN203)</f>
        <v>21.85</v>
      </c>
      <c r="J72" s="28">
        <f>IFERROR(Data1!BM203/Data1!BM199-1,NA())</f>
        <v>1.2702893436838281E-2</v>
      </c>
      <c r="K72" s="28">
        <f>IFERROR(IF(OR(ISBLANK(Data1!BN203),ISBLANK(Data1!BN199)),NA(),Data1!BN203/Data1!BN199-1),NA())</f>
        <v>1.7225325884543841E-2</v>
      </c>
      <c r="L72" s="28">
        <f>IFERROR(Data1!B203/Data1!B199-1,NA())</f>
        <v>2.1337439507259193E-2</v>
      </c>
      <c r="V72" s="30">
        <f>F72</f>
        <v>35309</v>
      </c>
      <c r="W72" s="28">
        <f>J72</f>
        <v>1.2702893436838281E-2</v>
      </c>
      <c r="X72" s="28">
        <f>K72</f>
        <v>1.7225325884543841E-2</v>
      </c>
      <c r="Y72" s="28">
        <f>L72</f>
        <v>2.1337439507259193E-2</v>
      </c>
    </row>
    <row r="73" spans="6:25" x14ac:dyDescent="0.25">
      <c r="F73" s="30">
        <f>Data1!A204</f>
        <v>35400</v>
      </c>
      <c r="G73" s="31">
        <f>Data1!B204</f>
        <v>46.51</v>
      </c>
      <c r="H73" s="31">
        <f>Data1!BM204</f>
        <v>28.7</v>
      </c>
      <c r="I73" s="31">
        <f>IF(ISBLANK(Data1!BN204),NA(),Data1!BN204)</f>
        <v>21.95</v>
      </c>
      <c r="J73" s="28">
        <f>IFERROR(Data1!BM204/Data1!BM200-1,NA())</f>
        <v>1.2702893436838281E-2</v>
      </c>
      <c r="K73" s="28">
        <f>IFERROR(IF(OR(ISBLANK(Data1!BN204),ISBLANK(Data1!BN200)),NA(),Data1!BN204/Data1!BN200-1),NA())</f>
        <v>2.1880819366852933E-2</v>
      </c>
      <c r="L73" s="28">
        <f>IFERROR(Data1!B204/Data1!B200-1,NA())</f>
        <v>1.5280506439641961E-2</v>
      </c>
      <c r="V73" s="30">
        <f>F73</f>
        <v>35400</v>
      </c>
      <c r="W73" s="28">
        <f>J73</f>
        <v>1.2702893436838281E-2</v>
      </c>
      <c r="X73" s="28">
        <f>K73</f>
        <v>2.1880819366852933E-2</v>
      </c>
      <c r="Y73" s="28">
        <f>L73</f>
        <v>1.5280506439641961E-2</v>
      </c>
    </row>
    <row r="74" spans="6:25" x14ac:dyDescent="0.25">
      <c r="F74" s="30">
        <f>Data1!A205</f>
        <v>35490</v>
      </c>
      <c r="G74" s="31">
        <f>Data1!B205</f>
        <v>46.58</v>
      </c>
      <c r="H74" s="31">
        <f>Data1!BM205</f>
        <v>28.75</v>
      </c>
      <c r="I74" s="31">
        <f>IF(ISBLANK(Data1!BN205),NA(),Data1!BN205)</f>
        <v>22.04</v>
      </c>
      <c r="J74" s="28">
        <f>IFERROR(Data1!BM205/Data1!BM201-1,NA())</f>
        <v>1.4467184191954807E-2</v>
      </c>
      <c r="K74" s="28">
        <f>IFERROR(IF(OR(ISBLANK(Data1!BN205),ISBLANK(Data1!BN201)),NA(),Data1!BN205/Data1!BN201-1),NA())</f>
        <v>2.3212627669452202E-2</v>
      </c>
      <c r="L74" s="28">
        <f>IFERROR(Data1!B205/Data1!B201-1,NA())</f>
        <v>1.2608695652173818E-2</v>
      </c>
      <c r="V74" s="30">
        <f>F74</f>
        <v>35490</v>
      </c>
      <c r="W74" s="28">
        <f>J74</f>
        <v>1.4467184191954807E-2</v>
      </c>
      <c r="X74" s="28">
        <f>K74</f>
        <v>2.3212627669452202E-2</v>
      </c>
      <c r="Y74" s="28">
        <f>L74</f>
        <v>1.2608695652173818E-2</v>
      </c>
    </row>
    <row r="75" spans="6:25" x14ac:dyDescent="0.25">
      <c r="F75" s="30">
        <f>Data1!A206</f>
        <v>35582</v>
      </c>
      <c r="G75" s="31">
        <f>Data1!B206</f>
        <v>46.47</v>
      </c>
      <c r="H75" s="31">
        <f>Data1!BM206</f>
        <v>28.75</v>
      </c>
      <c r="I75" s="31">
        <f>IF(ISBLANK(Data1!BN206),NA(),Data1!BN206)</f>
        <v>22</v>
      </c>
      <c r="J75" s="28">
        <f>IFERROR(Data1!BM206/Data1!BM202-1,NA())</f>
        <v>1.4467184191954807E-2</v>
      </c>
      <c r="K75" s="28">
        <f>IFERROR(IF(OR(ISBLANK(Data1!BN206),ISBLANK(Data1!BN202)),NA(),Data1!BN206/Data1!BN202-1),NA())</f>
        <v>2.088167053364276E-2</v>
      </c>
      <c r="L75" s="28">
        <f>IFERROR(Data1!B206/Data1!B202-1,NA())</f>
        <v>3.4549773267111838E-3</v>
      </c>
      <c r="V75" s="30">
        <f>F75</f>
        <v>35582</v>
      </c>
      <c r="W75" s="28">
        <f>J75</f>
        <v>1.4467184191954807E-2</v>
      </c>
      <c r="X75" s="28">
        <f>K75</f>
        <v>2.088167053364276E-2</v>
      </c>
      <c r="Y75" s="28">
        <f>L75</f>
        <v>3.4549773267111838E-3</v>
      </c>
    </row>
    <row r="76" spans="6:25" x14ac:dyDescent="0.25">
      <c r="F76" s="30">
        <f>Data1!A207</f>
        <v>35674</v>
      </c>
      <c r="G76" s="31">
        <f>Data1!B207</f>
        <v>46.28</v>
      </c>
      <c r="H76" s="31">
        <f>Data1!BM207</f>
        <v>28.94</v>
      </c>
      <c r="I76" s="31">
        <f>IF(ISBLANK(Data1!BN207),NA(),Data1!BN207)</f>
        <v>22.38</v>
      </c>
      <c r="J76" s="28">
        <f>IFERROR(Data1!BM207/Data1!BM203-1,NA())</f>
        <v>8.3623693379790698E-3</v>
      </c>
      <c r="K76" s="28">
        <f>IFERROR(IF(OR(ISBLANK(Data1!BN207),ISBLANK(Data1!BN203)),NA(),Data1!BN207/Data1!BN203-1),NA())</f>
        <v>2.4256292906178478E-2</v>
      </c>
      <c r="L76" s="28">
        <f>IFERROR(Data1!B207/Data1!B203-1,NA())</f>
        <v>-3.2306698255437638E-3</v>
      </c>
      <c r="V76" s="30">
        <f>F76</f>
        <v>35674</v>
      </c>
      <c r="W76" s="28">
        <f>J76</f>
        <v>8.3623693379790698E-3</v>
      </c>
      <c r="X76" s="28">
        <f>K76</f>
        <v>2.4256292906178478E-2</v>
      </c>
      <c r="Y76" s="28">
        <f>L76</f>
        <v>-3.2306698255437638E-3</v>
      </c>
    </row>
    <row r="77" spans="6:25" x14ac:dyDescent="0.25">
      <c r="F77" s="30">
        <f>Data1!A208</f>
        <v>35765</v>
      </c>
      <c r="G77" s="31">
        <f>Data1!B208</f>
        <v>46.39</v>
      </c>
      <c r="H77" s="31">
        <f>Data1!BM208</f>
        <v>28.94</v>
      </c>
      <c r="I77" s="31">
        <f>IF(ISBLANK(Data1!BN208),NA(),Data1!BN208)</f>
        <v>22.36</v>
      </c>
      <c r="J77" s="28">
        <f>IFERROR(Data1!BM208/Data1!BM204-1,NA())</f>
        <v>8.3623693379790698E-3</v>
      </c>
      <c r="K77" s="28">
        <f>IFERROR(IF(OR(ISBLANK(Data1!BN208),ISBLANK(Data1!BN204)),NA(),Data1!BN208/Data1!BN204-1),NA())</f>
        <v>1.8678815489749478E-2</v>
      </c>
      <c r="L77" s="28">
        <f>IFERROR(Data1!B208/Data1!B204-1,NA())</f>
        <v>-2.5800903031605316E-3</v>
      </c>
      <c r="V77" s="30">
        <f>F77</f>
        <v>35765</v>
      </c>
      <c r="W77" s="28">
        <f>J77</f>
        <v>8.3623693379790698E-3</v>
      </c>
      <c r="X77" s="28">
        <f>K77</f>
        <v>1.8678815489749478E-2</v>
      </c>
      <c r="Y77" s="28">
        <f>L77</f>
        <v>-2.5800903031605316E-3</v>
      </c>
    </row>
    <row r="78" spans="6:25" x14ac:dyDescent="0.25">
      <c r="F78" s="30">
        <f>Data1!A209</f>
        <v>35855</v>
      </c>
      <c r="G78" s="31">
        <f>Data1!B209</f>
        <v>46.51</v>
      </c>
      <c r="H78" s="31">
        <f>Data1!BM209</f>
        <v>28.94</v>
      </c>
      <c r="I78" s="31">
        <f>IF(ISBLANK(Data1!BN209),NA(),Data1!BN209)</f>
        <v>22.36</v>
      </c>
      <c r="J78" s="28">
        <f>IFERROR(Data1!BM209/Data1!BM205-1,NA())</f>
        <v>6.6086956521740348E-3</v>
      </c>
      <c r="K78" s="28">
        <f>IFERROR(IF(OR(ISBLANK(Data1!BN209),ISBLANK(Data1!BN205)),NA(),Data1!BN209/Data1!BN205-1),NA())</f>
        <v>1.4519056261343088E-2</v>
      </c>
      <c r="L78" s="28">
        <f>IFERROR(Data1!B209/Data1!B205-1,NA())</f>
        <v>-1.5027908973808124E-3</v>
      </c>
      <c r="V78" s="30">
        <f>F78</f>
        <v>35855</v>
      </c>
      <c r="W78" s="28">
        <f>J78</f>
        <v>6.6086956521740348E-3</v>
      </c>
      <c r="X78" s="28">
        <f>K78</f>
        <v>1.4519056261343088E-2</v>
      </c>
      <c r="Y78" s="28">
        <f>L78</f>
        <v>-1.5027908973808124E-3</v>
      </c>
    </row>
    <row r="79" spans="6:25" x14ac:dyDescent="0.25">
      <c r="F79" s="30">
        <f>Data1!A210</f>
        <v>35947</v>
      </c>
      <c r="G79" s="31">
        <f>Data1!B210</f>
        <v>46.78</v>
      </c>
      <c r="H79" s="31">
        <f>Data1!BM210</f>
        <v>28.94</v>
      </c>
      <c r="I79" s="31">
        <f>IF(ISBLANK(Data1!BN210),NA(),Data1!BN210)</f>
        <v>22.38</v>
      </c>
      <c r="J79" s="28">
        <f>IFERROR(Data1!BM210/Data1!BM206-1,NA())</f>
        <v>6.6086956521740348E-3</v>
      </c>
      <c r="K79" s="28">
        <f>IFERROR(IF(OR(ISBLANK(Data1!BN210),ISBLANK(Data1!BN206)),NA(),Data1!BN210/Data1!BN206-1),NA())</f>
        <v>1.7272727272727328E-2</v>
      </c>
      <c r="L79" s="28">
        <f>IFERROR(Data1!B210/Data1!B206-1,NA())</f>
        <v>6.6709705186143164E-3</v>
      </c>
      <c r="V79" s="30">
        <f>F79</f>
        <v>35947</v>
      </c>
      <c r="W79" s="28">
        <f>J79</f>
        <v>6.6086956521740348E-3</v>
      </c>
      <c r="X79" s="28">
        <f>K79</f>
        <v>1.7272727272727328E-2</v>
      </c>
      <c r="Y79" s="28">
        <f>L79</f>
        <v>6.6709705186143164E-3</v>
      </c>
    </row>
    <row r="80" spans="6:25" x14ac:dyDescent="0.25">
      <c r="F80" s="30">
        <f>Data1!A211</f>
        <v>36039</v>
      </c>
      <c r="G80" s="31">
        <f>Data1!B211</f>
        <v>46.91</v>
      </c>
      <c r="H80" s="31">
        <f>Data1!BM211</f>
        <v>27.8</v>
      </c>
      <c r="I80" s="31">
        <f>IF(ISBLANK(Data1!BN211),NA(),Data1!BN211)</f>
        <v>21.98</v>
      </c>
      <c r="J80" s="28">
        <f>IFERROR(Data1!BM211/Data1!BM207-1,NA())</f>
        <v>-3.9391845196959263E-2</v>
      </c>
      <c r="K80" s="28">
        <f>IFERROR(IF(OR(ISBLANK(Data1!BN211),ISBLANK(Data1!BN207)),NA(),Data1!BN211/Data1!BN207-1),NA())</f>
        <v>-1.7873100983020529E-2</v>
      </c>
      <c r="L80" s="28">
        <f>IFERROR(Data1!B211/Data1!B207-1,NA())</f>
        <v>1.361279170267915E-2</v>
      </c>
      <c r="V80" s="30">
        <f>F80</f>
        <v>36039</v>
      </c>
      <c r="W80" s="28">
        <f>J80</f>
        <v>-3.9391845196959263E-2</v>
      </c>
      <c r="X80" s="28">
        <f>K80</f>
        <v>-1.7873100983020529E-2</v>
      </c>
      <c r="Y80" s="28">
        <f>L80</f>
        <v>1.361279170267915E-2</v>
      </c>
    </row>
    <row r="81" spans="6:25" x14ac:dyDescent="0.25">
      <c r="F81" s="30">
        <f>Data1!A212</f>
        <v>36130</v>
      </c>
      <c r="G81" s="31">
        <f>Data1!B212</f>
        <v>47.11</v>
      </c>
      <c r="H81" s="31">
        <f>Data1!BM212</f>
        <v>27.95</v>
      </c>
      <c r="I81" s="31">
        <f>IF(ISBLANK(Data1!BN212),NA(),Data1!BN212)</f>
        <v>22.36</v>
      </c>
      <c r="J81" s="28">
        <f>IFERROR(Data1!BM212/Data1!BM208-1,NA())</f>
        <v>-3.4208707671043559E-2</v>
      </c>
      <c r="K81" s="28">
        <f>IFERROR(IF(OR(ISBLANK(Data1!BN212),ISBLANK(Data1!BN208)),NA(),Data1!BN212/Data1!BN208-1),NA())</f>
        <v>0</v>
      </c>
      <c r="L81" s="28">
        <f>IFERROR(Data1!B212/Data1!B208-1,NA())</f>
        <v>1.5520586333261477E-2</v>
      </c>
      <c r="V81" s="30">
        <f>F81</f>
        <v>36130</v>
      </c>
      <c r="W81" s="28">
        <f>J81</f>
        <v>-3.4208707671043559E-2</v>
      </c>
      <c r="X81" s="28">
        <f>K81</f>
        <v>0</v>
      </c>
      <c r="Y81" s="28">
        <f>L81</f>
        <v>1.5520586333261477E-2</v>
      </c>
    </row>
    <row r="82" spans="6:25" x14ac:dyDescent="0.25">
      <c r="F82" s="30">
        <f>Data1!A213</f>
        <v>36220</v>
      </c>
      <c r="G82" s="31">
        <f>Data1!B213</f>
        <v>47.08</v>
      </c>
      <c r="H82" s="31">
        <f>Data1!BM213</f>
        <v>28.28</v>
      </c>
      <c r="I82" s="31">
        <f>IF(ISBLANK(Data1!BN213),NA(),Data1!BN213)</f>
        <v>22</v>
      </c>
      <c r="J82" s="28">
        <f>IFERROR(Data1!BM213/Data1!BM209-1,NA())</f>
        <v>-2.2805805114029076E-2</v>
      </c>
      <c r="K82" s="28">
        <f>IFERROR(IF(OR(ISBLANK(Data1!BN213),ISBLANK(Data1!BN209)),NA(),Data1!BN213/Data1!BN209-1),NA())</f>
        <v>-1.610017889087656E-2</v>
      </c>
      <c r="L82" s="28">
        <f>IFERROR(Data1!B213/Data1!B209-1,NA())</f>
        <v>1.2255428940012969E-2</v>
      </c>
      <c r="V82" s="30">
        <f>F82</f>
        <v>36220</v>
      </c>
      <c r="W82" s="28">
        <f>J82</f>
        <v>-2.2805805114029076E-2</v>
      </c>
      <c r="X82" s="28">
        <f>K82</f>
        <v>-1.610017889087656E-2</v>
      </c>
      <c r="Y82" s="28">
        <f>L82</f>
        <v>1.2255428940012969E-2</v>
      </c>
    </row>
    <row r="83" spans="6:25" x14ac:dyDescent="0.25">
      <c r="F83" s="30">
        <f>Data1!A214</f>
        <v>36312</v>
      </c>
      <c r="G83" s="31">
        <f>Data1!B214</f>
        <v>47.29</v>
      </c>
      <c r="H83" s="31">
        <f>Data1!BM214</f>
        <v>27.99</v>
      </c>
      <c r="I83" s="31">
        <f>IF(ISBLANK(Data1!BN214),NA(),Data1!BN214)</f>
        <v>21.91</v>
      </c>
      <c r="J83" s="28">
        <f>IFERROR(Data1!BM214/Data1!BM210-1,NA())</f>
        <v>-3.2826537664132793E-2</v>
      </c>
      <c r="K83" s="28">
        <f>IFERROR(IF(OR(ISBLANK(Data1!BN214),ISBLANK(Data1!BN210)),NA(),Data1!BN214/Data1!BN210-1),NA())</f>
        <v>-2.1000893655049091E-2</v>
      </c>
      <c r="L83" s="28">
        <f>IFERROR(Data1!B214/Data1!B210-1,NA())</f>
        <v>1.090209491235572E-2</v>
      </c>
      <c r="V83" s="30">
        <f>F83</f>
        <v>36312</v>
      </c>
      <c r="W83" s="28">
        <f>J83</f>
        <v>-3.2826537664132793E-2</v>
      </c>
      <c r="X83" s="28">
        <f>K83</f>
        <v>-2.1000893655049091E-2</v>
      </c>
      <c r="Y83" s="28">
        <f>L83</f>
        <v>1.090209491235572E-2</v>
      </c>
    </row>
    <row r="84" spans="6:25" x14ac:dyDescent="0.25">
      <c r="F84" s="30">
        <f>Data1!A215</f>
        <v>36404</v>
      </c>
      <c r="G84" s="31">
        <f>Data1!B215</f>
        <v>47.72</v>
      </c>
      <c r="H84" s="31">
        <f>Data1!BM215</f>
        <v>27.93</v>
      </c>
      <c r="I84" s="31">
        <f>IF(ISBLANK(Data1!BN215),NA(),Data1!BN215)</f>
        <v>21.93</v>
      </c>
      <c r="J84" s="28">
        <f>IFERROR(Data1!BM215/Data1!BM211-1,NA())</f>
        <v>4.6762589928057707E-3</v>
      </c>
      <c r="K84" s="28">
        <f>IFERROR(IF(OR(ISBLANK(Data1!BN215),ISBLANK(Data1!BN211)),NA(),Data1!BN215/Data1!BN211-1),NA())</f>
        <v>-2.2747952684258888E-3</v>
      </c>
      <c r="L84" s="28">
        <f>IFERROR(Data1!B215/Data1!B211-1,NA())</f>
        <v>1.7267107226604184E-2</v>
      </c>
      <c r="V84" s="30">
        <f>F84</f>
        <v>36404</v>
      </c>
      <c r="W84" s="28">
        <f>J84</f>
        <v>4.6762589928057707E-3</v>
      </c>
      <c r="X84" s="28">
        <f>K84</f>
        <v>-2.2747952684258888E-3</v>
      </c>
      <c r="Y84" s="28">
        <f>L84</f>
        <v>1.7267107226604184E-2</v>
      </c>
    </row>
    <row r="85" spans="6:25" x14ac:dyDescent="0.25">
      <c r="F85" s="30">
        <f>Data1!A216</f>
        <v>36495</v>
      </c>
      <c r="G85" s="31">
        <f>Data1!B216</f>
        <v>47.97</v>
      </c>
      <c r="H85" s="31">
        <f>Data1!BM216</f>
        <v>28.26</v>
      </c>
      <c r="I85" s="31">
        <f>IF(ISBLANK(Data1!BN216),NA(),Data1!BN216)</f>
        <v>21.9</v>
      </c>
      <c r="J85" s="28">
        <f>IFERROR(Data1!BM216/Data1!BM212-1,NA())</f>
        <v>1.1091234347048395E-2</v>
      </c>
      <c r="K85" s="28">
        <f>IFERROR(IF(OR(ISBLANK(Data1!BN216),ISBLANK(Data1!BN212)),NA(),Data1!BN216/Data1!BN212-1),NA())</f>
        <v>-2.0572450805009024E-2</v>
      </c>
      <c r="L85" s="28">
        <f>IFERROR(Data1!B216/Data1!B212-1,NA())</f>
        <v>1.8255147527064253E-2</v>
      </c>
      <c r="V85" s="30">
        <f>F85</f>
        <v>36495</v>
      </c>
      <c r="W85" s="28">
        <f>J85</f>
        <v>1.1091234347048395E-2</v>
      </c>
      <c r="X85" s="28">
        <f>K85</f>
        <v>-2.0572450805009024E-2</v>
      </c>
      <c r="Y85" s="28">
        <f>L85</f>
        <v>1.8255147527064253E-2</v>
      </c>
    </row>
    <row r="86" spans="6:25" x14ac:dyDescent="0.25">
      <c r="F86" s="30">
        <f>Data1!A217</f>
        <v>36586</v>
      </c>
      <c r="G86" s="31">
        <f>Data1!B217</f>
        <v>48.4</v>
      </c>
      <c r="H86" s="31">
        <f>Data1!BM217</f>
        <v>28.49</v>
      </c>
      <c r="I86" s="31">
        <f>IF(ISBLANK(Data1!BN217),NA(),Data1!BN217)</f>
        <v>21.71</v>
      </c>
      <c r="J86" s="28">
        <f>IFERROR(Data1!BM217/Data1!BM213-1,NA())</f>
        <v>7.4257425742574323E-3</v>
      </c>
      <c r="K86" s="28">
        <f>IFERROR(IF(OR(ISBLANK(Data1!BN217),ISBLANK(Data1!BN213)),NA(),Data1!BN217/Data1!BN213-1),NA())</f>
        <v>-1.3181818181818183E-2</v>
      </c>
      <c r="L86" s="28">
        <f>IFERROR(Data1!B217/Data1!B213-1,NA())</f>
        <v>2.8037383177570208E-2</v>
      </c>
      <c r="V86" s="30">
        <f>F86</f>
        <v>36586</v>
      </c>
      <c r="W86" s="28">
        <f>J86</f>
        <v>7.4257425742574323E-3</v>
      </c>
      <c r="X86" s="28">
        <f>K86</f>
        <v>-1.3181818181818183E-2</v>
      </c>
      <c r="Y86" s="28">
        <f>L86</f>
        <v>2.8037383177570208E-2</v>
      </c>
    </row>
    <row r="87" spans="6:25" x14ac:dyDescent="0.25">
      <c r="F87" s="30">
        <f>Data1!A218</f>
        <v>36678</v>
      </c>
      <c r="G87" s="31">
        <f>Data1!B218</f>
        <v>48.77</v>
      </c>
      <c r="H87" s="31">
        <f>Data1!BM218</f>
        <v>28.17</v>
      </c>
      <c r="I87" s="31">
        <f>IF(ISBLANK(Data1!BN218),NA(),Data1!BN218)</f>
        <v>21.86</v>
      </c>
      <c r="J87" s="28">
        <f>IFERROR(Data1!BM218/Data1!BM214-1,NA())</f>
        <v>6.4308681672027301E-3</v>
      </c>
      <c r="K87" s="28">
        <f>IFERROR(IF(OR(ISBLANK(Data1!BN218),ISBLANK(Data1!BN214)),NA(),Data1!BN218/Data1!BN214-1),NA())</f>
        <v>-2.2820629849383822E-3</v>
      </c>
      <c r="L87" s="28">
        <f>IFERROR(Data1!B218/Data1!B214-1,NA())</f>
        <v>3.1296257136815386E-2</v>
      </c>
      <c r="V87" s="30">
        <f>F87</f>
        <v>36678</v>
      </c>
      <c r="W87" s="28">
        <f>J87</f>
        <v>6.4308681672027301E-3</v>
      </c>
      <c r="X87" s="28">
        <f>K87</f>
        <v>-2.2820629849383822E-3</v>
      </c>
      <c r="Y87" s="28">
        <f>L87</f>
        <v>3.1296257136815386E-2</v>
      </c>
    </row>
    <row r="88" spans="6:25" x14ac:dyDescent="0.25">
      <c r="F88" s="30">
        <f>Data1!A219</f>
        <v>36770</v>
      </c>
      <c r="G88" s="31">
        <f>Data1!B219</f>
        <v>50.59</v>
      </c>
      <c r="H88" s="31">
        <f>Data1!BM219</f>
        <v>31.25</v>
      </c>
      <c r="I88" s="31">
        <f>IF(ISBLANK(Data1!BN219),NA(),Data1!BN219)</f>
        <v>24.6</v>
      </c>
      <c r="J88" s="28">
        <f>IFERROR(Data1!BM219/Data1!BM215-1,NA())</f>
        <v>0.11886860007160771</v>
      </c>
      <c r="K88" s="28">
        <f>IFERROR(IF(OR(ISBLANK(Data1!BN219),ISBLANK(Data1!BN215)),NA(),Data1!BN219/Data1!BN215-1),NA())</f>
        <v>0.12175102599179222</v>
      </c>
      <c r="L88" s="28">
        <f>IFERROR(Data1!B219/Data1!B215-1,NA())</f>
        <v>6.0142497904442704E-2</v>
      </c>
      <c r="V88" s="30">
        <f>F88</f>
        <v>36770</v>
      </c>
      <c r="W88" s="28">
        <f>J88</f>
        <v>0.11886860007160771</v>
      </c>
      <c r="X88" s="28">
        <f>K88</f>
        <v>0.12175102599179222</v>
      </c>
      <c r="Y88" s="28">
        <f>L88</f>
        <v>6.0142497904442704E-2</v>
      </c>
    </row>
    <row r="89" spans="6:25" x14ac:dyDescent="0.25">
      <c r="F89" s="30">
        <f>Data1!A220</f>
        <v>36861</v>
      </c>
      <c r="G89" s="31">
        <f>Data1!B220</f>
        <v>50.76</v>
      </c>
      <c r="H89" s="31">
        <f>Data1!BM220</f>
        <v>31.4</v>
      </c>
      <c r="I89" s="31">
        <f>IF(ISBLANK(Data1!BN220),NA(),Data1!BN220)</f>
        <v>24.12</v>
      </c>
      <c r="J89" s="28">
        <f>IFERROR(Data1!BM220/Data1!BM216-1,NA())</f>
        <v>0.11111111111111094</v>
      </c>
      <c r="K89" s="28">
        <f>IFERROR(IF(OR(ISBLANK(Data1!BN220),ISBLANK(Data1!BN216)),NA(),Data1!BN220/Data1!BN216-1),NA())</f>
        <v>0.10136986301369877</v>
      </c>
      <c r="L89" s="28">
        <f>IFERROR(Data1!B220/Data1!B216-1,NA())</f>
        <v>5.8161350844277759E-2</v>
      </c>
      <c r="V89" s="30">
        <f>F89</f>
        <v>36861</v>
      </c>
      <c r="W89" s="28">
        <f>J89</f>
        <v>0.11111111111111094</v>
      </c>
      <c r="X89" s="28">
        <f>K89</f>
        <v>0.10136986301369877</v>
      </c>
      <c r="Y89" s="28">
        <f>L89</f>
        <v>5.8161350844277759E-2</v>
      </c>
    </row>
    <row r="90" spans="6:25" x14ac:dyDescent="0.25">
      <c r="F90" s="30">
        <f>Data1!A221</f>
        <v>36951</v>
      </c>
      <c r="G90" s="31">
        <f>Data1!B221</f>
        <v>51.3</v>
      </c>
      <c r="H90" s="31">
        <f>Data1!BM221</f>
        <v>31.58</v>
      </c>
      <c r="I90" s="31">
        <f>IF(ISBLANK(Data1!BN221),NA(),Data1!BN221)</f>
        <v>24.13</v>
      </c>
      <c r="J90" s="28">
        <f>IFERROR(Data1!BM221/Data1!BM217-1,NA())</f>
        <v>0.10845910845910844</v>
      </c>
      <c r="K90" s="28">
        <f>IFERROR(IF(OR(ISBLANK(Data1!BN221),ISBLANK(Data1!BN217)),NA(),Data1!BN221/Data1!BN217-1),NA())</f>
        <v>0.11146936895439885</v>
      </c>
      <c r="L90" s="28">
        <f>IFERROR(Data1!B221/Data1!B217-1,NA())</f>
        <v>5.9917355371900793E-2</v>
      </c>
      <c r="V90" s="30">
        <f>F90</f>
        <v>36951</v>
      </c>
      <c r="W90" s="28">
        <f>J90</f>
        <v>0.10845910845910844</v>
      </c>
      <c r="X90" s="28">
        <f>K90</f>
        <v>0.11146936895439885</v>
      </c>
      <c r="Y90" s="28">
        <f>L90</f>
        <v>5.9917355371900793E-2</v>
      </c>
    </row>
    <row r="91" spans="6:25" x14ac:dyDescent="0.25">
      <c r="F91" s="30">
        <f>Data1!A222</f>
        <v>37043</v>
      </c>
      <c r="G91" s="31">
        <f>Data1!B222</f>
        <v>51.73</v>
      </c>
      <c r="H91" s="31">
        <f>Data1!BM222</f>
        <v>31.3</v>
      </c>
      <c r="I91" s="31">
        <f>IF(ISBLANK(Data1!BN222),NA(),Data1!BN222)</f>
        <v>24.44</v>
      </c>
      <c r="J91" s="28">
        <f>IFERROR(Data1!BM222/Data1!BM218-1,NA())</f>
        <v>0.11111111111111116</v>
      </c>
      <c r="K91" s="28">
        <f>IFERROR(IF(OR(ISBLANK(Data1!BN222),ISBLANK(Data1!BN218)),NA(),Data1!BN222/Data1!BN218-1),NA())</f>
        <v>0.11802378774016486</v>
      </c>
      <c r="L91" s="28">
        <f>IFERROR(Data1!B222/Data1!B218-1,NA())</f>
        <v>6.0693049005535959E-2</v>
      </c>
      <c r="V91" s="30">
        <f>F91</f>
        <v>37043</v>
      </c>
      <c r="W91" s="28">
        <f>J91</f>
        <v>0.11111111111111116</v>
      </c>
      <c r="X91" s="28">
        <f>K91</f>
        <v>0.11802378774016486</v>
      </c>
      <c r="Y91" s="28">
        <f>L91</f>
        <v>6.0693049005535959E-2</v>
      </c>
    </row>
    <row r="92" spans="6:25" x14ac:dyDescent="0.25">
      <c r="F92" s="30">
        <f>Data1!A223</f>
        <v>37135</v>
      </c>
      <c r="G92" s="31">
        <f>Data1!B223</f>
        <v>51.87</v>
      </c>
      <c r="H92" s="31">
        <f>Data1!BM223</f>
        <v>32.229999999999997</v>
      </c>
      <c r="I92" s="31">
        <f>IF(ISBLANK(Data1!BN223),NA(),Data1!BN223)</f>
        <v>25.49</v>
      </c>
      <c r="J92" s="28">
        <f>IFERROR(Data1!BM223/Data1!BM219-1,NA())</f>
        <v>3.1359999999999832E-2</v>
      </c>
      <c r="K92" s="28">
        <f>IFERROR(IF(OR(ISBLANK(Data1!BN223),ISBLANK(Data1!BN219)),NA(),Data1!BN223/Data1!BN219-1),NA())</f>
        <v>3.6178861788617844E-2</v>
      </c>
      <c r="L92" s="28">
        <f>IFERROR(Data1!B223/Data1!B219-1,NA())</f>
        <v>2.5301442972919475E-2</v>
      </c>
      <c r="V92" s="30">
        <f>F92</f>
        <v>37135</v>
      </c>
      <c r="W92" s="28">
        <f>J92</f>
        <v>3.1359999999999832E-2</v>
      </c>
      <c r="X92" s="28">
        <f>K92</f>
        <v>3.6178861788617844E-2</v>
      </c>
      <c r="Y92" s="28">
        <f>L92</f>
        <v>2.5301442972919475E-2</v>
      </c>
    </row>
    <row r="93" spans="6:25" x14ac:dyDescent="0.25">
      <c r="F93" s="30">
        <f>Data1!A224</f>
        <v>37226</v>
      </c>
      <c r="G93" s="31">
        <f>Data1!B224</f>
        <v>52.35</v>
      </c>
      <c r="H93" s="31">
        <f>Data1!BM224</f>
        <v>32.5</v>
      </c>
      <c r="I93" s="31">
        <f>IF(ISBLANK(Data1!BN224),NA(),Data1!BN224)</f>
        <v>24.41</v>
      </c>
      <c r="J93" s="28">
        <f>IFERROR(Data1!BM224/Data1!BM220-1,NA())</f>
        <v>3.5031847133758065E-2</v>
      </c>
      <c r="K93" s="28">
        <f>IFERROR(IF(OR(ISBLANK(Data1!BN224),ISBLANK(Data1!BN220)),NA(),Data1!BN224/Data1!BN220-1),NA())</f>
        <v>1.2023217247097762E-2</v>
      </c>
      <c r="L93" s="28">
        <f>IFERROR(Data1!B224/Data1!B220-1,NA())</f>
        <v>3.1323877068557993E-2</v>
      </c>
      <c r="V93" s="30">
        <f>F93</f>
        <v>37226</v>
      </c>
      <c r="W93" s="28">
        <f>J93</f>
        <v>3.5031847133758065E-2</v>
      </c>
      <c r="X93" s="28">
        <f>K93</f>
        <v>1.2023217247097762E-2</v>
      </c>
      <c r="Y93" s="28">
        <f>L93</f>
        <v>3.1323877068557993E-2</v>
      </c>
    </row>
    <row r="94" spans="6:25" x14ac:dyDescent="0.25">
      <c r="F94" s="30">
        <f>Data1!A225</f>
        <v>37316</v>
      </c>
      <c r="G94" s="31">
        <f>Data1!B225</f>
        <v>52.82</v>
      </c>
      <c r="H94" s="31">
        <f>Data1!BM225</f>
        <v>33</v>
      </c>
      <c r="I94" s="31">
        <f>IF(ISBLANK(Data1!BN225),NA(),Data1!BN225)</f>
        <v>25.5</v>
      </c>
      <c r="J94" s="28">
        <f>IFERROR(Data1!BM225/Data1!BM221-1,NA())</f>
        <v>4.4965167827739183E-2</v>
      </c>
      <c r="K94" s="28">
        <f>IFERROR(IF(OR(ISBLANK(Data1!BN225),ISBLANK(Data1!BN221)),NA(),Data1!BN225/Data1!BN221-1),NA())</f>
        <v>5.6775797762121938E-2</v>
      </c>
      <c r="L94" s="28">
        <f>IFERROR(Data1!B225/Data1!B221-1,NA())</f>
        <v>2.9629629629629672E-2</v>
      </c>
      <c r="V94" s="30">
        <f>F94</f>
        <v>37316</v>
      </c>
      <c r="W94" s="28">
        <f>J94</f>
        <v>4.4965167827739183E-2</v>
      </c>
      <c r="X94" s="28">
        <f>K94</f>
        <v>5.6775797762121938E-2</v>
      </c>
      <c r="Y94" s="28">
        <f>L94</f>
        <v>2.9629629629629672E-2</v>
      </c>
    </row>
    <row r="95" spans="6:25" x14ac:dyDescent="0.25">
      <c r="F95" s="30">
        <f>Data1!A226</f>
        <v>37408</v>
      </c>
      <c r="G95" s="31">
        <f>Data1!B226</f>
        <v>53.2</v>
      </c>
      <c r="H95" s="31">
        <f>Data1!BM226</f>
        <v>32.700000000000003</v>
      </c>
      <c r="I95" s="31">
        <f>IF(ISBLANK(Data1!BN226),NA(),Data1!BN226)</f>
        <v>25.71</v>
      </c>
      <c r="J95" s="28">
        <f>IFERROR(Data1!BM226/Data1!BM222-1,NA())</f>
        <v>4.4728434504792469E-2</v>
      </c>
      <c r="K95" s="28">
        <f>IFERROR(IF(OR(ISBLANK(Data1!BN226),ISBLANK(Data1!BN222)),NA(),Data1!BN226/Data1!BN222-1),NA())</f>
        <v>5.1963993453355117E-2</v>
      </c>
      <c r="L95" s="28">
        <f>IFERROR(Data1!B226/Data1!B222-1,NA())</f>
        <v>2.8416779431664541E-2</v>
      </c>
      <c r="V95" s="30">
        <f>F95</f>
        <v>37408</v>
      </c>
      <c r="W95" s="28">
        <f>J95</f>
        <v>4.4728434504792469E-2</v>
      </c>
      <c r="X95" s="28">
        <f>K95</f>
        <v>5.1963993453355117E-2</v>
      </c>
      <c r="Y95" s="28">
        <f>L95</f>
        <v>2.8416779431664541E-2</v>
      </c>
    </row>
    <row r="96" spans="6:25" x14ac:dyDescent="0.25">
      <c r="F96" s="30">
        <f>Data1!A227</f>
        <v>37500</v>
      </c>
      <c r="G96" s="31">
        <f>Data1!B227</f>
        <v>53.56</v>
      </c>
      <c r="H96" s="31">
        <f>Data1!BM227</f>
        <v>33.08</v>
      </c>
      <c r="I96" s="31">
        <f>IF(ISBLANK(Data1!BN227),NA(),Data1!BN227)</f>
        <v>26.86</v>
      </c>
      <c r="J96" s="28">
        <f>IFERROR(Data1!BM227/Data1!BM223-1,NA())</f>
        <v>2.6372944461681813E-2</v>
      </c>
      <c r="K96" s="28">
        <f>IFERROR(IF(OR(ISBLANK(Data1!BN227),ISBLANK(Data1!BN223)),NA(),Data1!BN227/Data1!BN223-1),NA())</f>
        <v>5.3746567281286906E-2</v>
      </c>
      <c r="L96" s="28">
        <f>IFERROR(Data1!B227/Data1!B223-1,NA())</f>
        <v>3.2581453634085378E-2</v>
      </c>
      <c r="V96" s="30">
        <f>F96</f>
        <v>37500</v>
      </c>
      <c r="W96" s="28">
        <f>J96</f>
        <v>2.6372944461681813E-2</v>
      </c>
      <c r="X96" s="28">
        <f>K96</f>
        <v>5.3746567281286906E-2</v>
      </c>
      <c r="Y96" s="28">
        <f>L96</f>
        <v>3.2581453634085378E-2</v>
      </c>
    </row>
    <row r="97" spans="6:25" x14ac:dyDescent="0.25">
      <c r="F97" s="30">
        <f>Data1!A228</f>
        <v>37591</v>
      </c>
      <c r="G97" s="31">
        <f>Data1!B228</f>
        <v>53.92</v>
      </c>
      <c r="H97" s="31">
        <f>Data1!BM228</f>
        <v>33.36</v>
      </c>
      <c r="I97" s="31">
        <f>IF(ISBLANK(Data1!BN228),NA(),Data1!BN228)</f>
        <v>25.81</v>
      </c>
      <c r="J97" s="28">
        <f>IFERROR(Data1!BM228/Data1!BM224-1,NA())</f>
        <v>2.6461538461538536E-2</v>
      </c>
      <c r="K97" s="28">
        <f>IFERROR(IF(OR(ISBLANK(Data1!BN228),ISBLANK(Data1!BN224)),NA(),Data1!BN228/Data1!BN224-1),NA())</f>
        <v>5.7353543629659942E-2</v>
      </c>
      <c r="L97" s="28">
        <f>IFERROR(Data1!B228/Data1!B224-1,NA())</f>
        <v>2.9990448901623612E-2</v>
      </c>
      <c r="V97" s="30">
        <f>F97</f>
        <v>37591</v>
      </c>
      <c r="W97" s="28">
        <f>J97</f>
        <v>2.6461538461538536E-2</v>
      </c>
      <c r="X97" s="28">
        <f>K97</f>
        <v>5.7353543629659942E-2</v>
      </c>
      <c r="Y97" s="28">
        <f>L97</f>
        <v>2.9990448901623612E-2</v>
      </c>
    </row>
    <row r="98" spans="6:25" x14ac:dyDescent="0.25">
      <c r="F98" s="30">
        <f>Data1!A229</f>
        <v>37681</v>
      </c>
      <c r="G98" s="31">
        <f>Data1!B229</f>
        <v>54.62</v>
      </c>
      <c r="H98" s="31">
        <f>Data1!BM229</f>
        <v>35.1</v>
      </c>
      <c r="I98" s="31">
        <f>IF(ISBLANK(Data1!BN229),NA(),Data1!BN229)</f>
        <v>27.09</v>
      </c>
      <c r="J98" s="28">
        <f>IFERROR(Data1!BM229/Data1!BM225-1,NA())</f>
        <v>6.3636363636363713E-2</v>
      </c>
      <c r="K98" s="28">
        <f>IFERROR(IF(OR(ISBLANK(Data1!BN229),ISBLANK(Data1!BN225)),NA(),Data1!BN229/Data1!BN225-1),NA())</f>
        <v>6.23529411764705E-2</v>
      </c>
      <c r="L98" s="28">
        <f>IFERROR(Data1!B229/Data1!B225-1,NA())</f>
        <v>3.4078000757288951E-2</v>
      </c>
      <c r="V98" s="30">
        <f>F98</f>
        <v>37681</v>
      </c>
      <c r="W98" s="28">
        <f>J98</f>
        <v>6.3636363636363713E-2</v>
      </c>
      <c r="X98" s="28">
        <f>K98</f>
        <v>6.23529411764705E-2</v>
      </c>
      <c r="Y98" s="28">
        <f>L98</f>
        <v>3.4078000757288951E-2</v>
      </c>
    </row>
    <row r="99" spans="6:25" x14ac:dyDescent="0.25">
      <c r="F99" s="30">
        <f>Data1!A230</f>
        <v>37773</v>
      </c>
      <c r="G99" s="31">
        <f>Data1!B230</f>
        <v>54.62</v>
      </c>
      <c r="H99" s="31">
        <f>Data1!BM230</f>
        <v>34.58</v>
      </c>
      <c r="I99" s="31">
        <f>IF(ISBLANK(Data1!BN230),NA(),Data1!BN230)</f>
        <v>27.33</v>
      </c>
      <c r="J99" s="28">
        <f>IFERROR(Data1!BM230/Data1!BM226-1,NA())</f>
        <v>5.749235474006098E-2</v>
      </c>
      <c r="K99" s="28">
        <f>IFERROR(IF(OR(ISBLANK(Data1!BN230),ISBLANK(Data1!BN226)),NA(),Data1!BN230/Data1!BN226-1),NA())</f>
        <v>6.3010501750291548E-2</v>
      </c>
      <c r="L99" s="28">
        <f>IFERROR(Data1!B230/Data1!B226-1,NA())</f>
        <v>2.6691729323308211E-2</v>
      </c>
      <c r="V99" s="30">
        <f>F99</f>
        <v>37773</v>
      </c>
      <c r="W99" s="28">
        <f>J99</f>
        <v>5.749235474006098E-2</v>
      </c>
      <c r="X99" s="28">
        <f>K99</f>
        <v>6.3010501750291548E-2</v>
      </c>
      <c r="Y99" s="28">
        <f>L99</f>
        <v>2.6691729323308211E-2</v>
      </c>
    </row>
    <row r="100" spans="6:25" x14ac:dyDescent="0.25">
      <c r="F100" s="30">
        <f>Data1!A231</f>
        <v>37865</v>
      </c>
      <c r="G100" s="31">
        <f>Data1!B231</f>
        <v>54.93</v>
      </c>
      <c r="H100" s="31">
        <f>Data1!BM231</f>
        <v>35.06</v>
      </c>
      <c r="I100" s="31">
        <f>IF(ISBLANK(Data1!BN231),NA(),Data1!BN231)</f>
        <v>28.18</v>
      </c>
      <c r="J100" s="28">
        <f>IFERROR(Data1!BM231/Data1!BM227-1,NA())</f>
        <v>5.9854897218863501E-2</v>
      </c>
      <c r="K100" s="28">
        <f>IFERROR(IF(OR(ISBLANK(Data1!BN231),ISBLANK(Data1!BN227)),NA(),Data1!BN231/Data1!BN227-1),NA())</f>
        <v>4.9143708116157869E-2</v>
      </c>
      <c r="L100" s="28">
        <f>IFERROR(Data1!B231/Data1!B227-1,NA())</f>
        <v>2.5578790141896901E-2</v>
      </c>
      <c r="V100" s="30">
        <f>F100</f>
        <v>37865</v>
      </c>
      <c r="W100" s="28">
        <f>J100</f>
        <v>5.9854897218863501E-2</v>
      </c>
      <c r="X100" s="28">
        <f>K100</f>
        <v>4.9143708116157869E-2</v>
      </c>
      <c r="Y100" s="28">
        <f>L100</f>
        <v>2.5578790141896901E-2</v>
      </c>
    </row>
    <row r="101" spans="6:25" x14ac:dyDescent="0.25">
      <c r="F101" s="30">
        <f>Data1!A232</f>
        <v>37956</v>
      </c>
      <c r="G101" s="31">
        <f>Data1!B232</f>
        <v>55.22</v>
      </c>
      <c r="H101" s="31">
        <f>Data1!BM232</f>
        <v>35.07</v>
      </c>
      <c r="I101" s="31">
        <f>IF(ISBLANK(Data1!BN232),NA(),Data1!BN232)</f>
        <v>27.66</v>
      </c>
      <c r="J101" s="28">
        <f>IFERROR(Data1!BM232/Data1!BM228-1,NA())</f>
        <v>5.125899280575541E-2</v>
      </c>
      <c r="K101" s="28">
        <f>IFERROR(IF(OR(ISBLANK(Data1!BN232),ISBLANK(Data1!BN228)),NA(),Data1!BN232/Data1!BN228-1),NA())</f>
        <v>7.1677644323905554E-2</v>
      </c>
      <c r="L101" s="28">
        <f>IFERROR(Data1!B232/Data1!B228-1,NA())</f>
        <v>2.4109792284866316E-2</v>
      </c>
      <c r="V101" s="30">
        <f>F101</f>
        <v>37956</v>
      </c>
      <c r="W101" s="28">
        <f>J101</f>
        <v>5.125899280575541E-2</v>
      </c>
      <c r="X101" s="28">
        <f>K101</f>
        <v>7.1677644323905554E-2</v>
      </c>
      <c r="Y101" s="28">
        <f>L101</f>
        <v>2.4109792284866316E-2</v>
      </c>
    </row>
    <row r="102" spans="6:25" x14ac:dyDescent="0.25">
      <c r="F102" s="30">
        <f>Data1!A233</f>
        <v>38047</v>
      </c>
      <c r="G102" s="31">
        <f>Data1!B233</f>
        <v>55.71</v>
      </c>
      <c r="H102" s="31">
        <f>Data1!BM233</f>
        <v>35.53</v>
      </c>
      <c r="I102" s="31">
        <f>IF(ISBLANK(Data1!BN233),NA(),Data1!BN233)</f>
        <v>28.99</v>
      </c>
      <c r="J102" s="28">
        <f>IFERROR(Data1!BM233/Data1!BM229-1,NA())</f>
        <v>1.2250712250712281E-2</v>
      </c>
      <c r="K102" s="28">
        <f>IFERROR(IF(OR(ISBLANK(Data1!BN233),ISBLANK(Data1!BN229)),NA(),Data1!BN233/Data1!BN229-1),NA())</f>
        <v>7.0136581764488781E-2</v>
      </c>
      <c r="L102" s="28">
        <f>IFERROR(Data1!B233/Data1!B229-1,NA())</f>
        <v>1.995606005126338E-2</v>
      </c>
      <c r="V102" s="30">
        <f>F102</f>
        <v>38047</v>
      </c>
      <c r="W102" s="28">
        <f>J102</f>
        <v>1.2250712250712281E-2</v>
      </c>
      <c r="X102" s="28">
        <f>K102</f>
        <v>7.0136581764488781E-2</v>
      </c>
      <c r="Y102" s="28">
        <f>L102</f>
        <v>1.995606005126338E-2</v>
      </c>
    </row>
    <row r="103" spans="6:25" x14ac:dyDescent="0.25">
      <c r="F103" s="30">
        <f>Data1!A234</f>
        <v>38139</v>
      </c>
      <c r="G103" s="31">
        <f>Data1!B234</f>
        <v>55.97</v>
      </c>
      <c r="H103" s="31">
        <f>Data1!BM234</f>
        <v>35.049999999999997</v>
      </c>
      <c r="I103" s="31">
        <f>IF(ISBLANK(Data1!BN234),NA(),Data1!BN234)</f>
        <v>28.78</v>
      </c>
      <c r="J103" s="28">
        <f>IFERROR(Data1!BM234/Data1!BM230-1,NA())</f>
        <v>1.3591671486408385E-2</v>
      </c>
      <c r="K103" s="28">
        <f>IFERROR(IF(OR(ISBLANK(Data1!BN234),ISBLANK(Data1!BN230)),NA(),Data1!BN234/Data1!BN230-1),NA())</f>
        <v>5.3055250640322127E-2</v>
      </c>
      <c r="L103" s="28">
        <f>IFERROR(Data1!B234/Data1!B230-1,NA())</f>
        <v>2.4716221164408747E-2</v>
      </c>
      <c r="V103" s="30">
        <f>F103</f>
        <v>38139</v>
      </c>
      <c r="W103" s="28">
        <f>J103</f>
        <v>1.3591671486408385E-2</v>
      </c>
      <c r="X103" s="28">
        <f>K103</f>
        <v>5.3055250640322127E-2</v>
      </c>
      <c r="Y103" s="28">
        <f>L103</f>
        <v>2.4716221164408747E-2</v>
      </c>
    </row>
    <row r="104" spans="6:25" x14ac:dyDescent="0.25">
      <c r="F104" s="30">
        <f>Data1!A235</f>
        <v>38231</v>
      </c>
      <c r="G104" s="31">
        <f>Data1!B235</f>
        <v>56.2</v>
      </c>
      <c r="H104" s="31">
        <f>Data1!BM235</f>
        <v>35.840000000000003</v>
      </c>
      <c r="I104" s="31">
        <f>IF(ISBLANK(Data1!BN235),NA(),Data1!BN235)</f>
        <v>29.31</v>
      </c>
      <c r="J104" s="28">
        <f>IFERROR(Data1!BM235/Data1!BM231-1,NA())</f>
        <v>2.224757558471202E-2</v>
      </c>
      <c r="K104" s="28">
        <f>IFERROR(IF(OR(ISBLANK(Data1!BN235),ISBLANK(Data1!BN231)),NA(),Data1!BN235/Data1!BN231-1),NA())</f>
        <v>4.009936124911273E-2</v>
      </c>
      <c r="L104" s="28">
        <f>IFERROR(Data1!B235/Data1!B231-1,NA())</f>
        <v>2.3120334971782341E-2</v>
      </c>
      <c r="V104" s="30">
        <f>F104</f>
        <v>38231</v>
      </c>
      <c r="W104" s="28">
        <f>J104</f>
        <v>2.224757558471202E-2</v>
      </c>
      <c r="X104" s="28">
        <f>K104</f>
        <v>4.009936124911273E-2</v>
      </c>
      <c r="Y104" s="28">
        <f>L104</f>
        <v>2.3120334971782341E-2</v>
      </c>
    </row>
    <row r="105" spans="6:25" x14ac:dyDescent="0.25">
      <c r="F105" s="30">
        <f>Data1!A236</f>
        <v>38322</v>
      </c>
      <c r="G105" s="31">
        <f>Data1!B236</f>
        <v>56.63</v>
      </c>
      <c r="H105" s="31">
        <f>Data1!BM236</f>
        <v>36.04</v>
      </c>
      <c r="I105" s="31">
        <f>IF(ISBLANK(Data1!BN236),NA(),Data1!BN236)</f>
        <v>29.43</v>
      </c>
      <c r="J105" s="28">
        <f>IFERROR(Data1!BM236/Data1!BM232-1,NA())</f>
        <v>2.7658967778728227E-2</v>
      </c>
      <c r="K105" s="28">
        <f>IFERROR(IF(OR(ISBLANK(Data1!BN236),ISBLANK(Data1!BN232)),NA(),Data1!BN236/Data1!BN232-1),NA())</f>
        <v>6.3991323210412121E-2</v>
      </c>
      <c r="L105" s="28">
        <f>IFERROR(Data1!B236/Data1!B232-1,NA())</f>
        <v>2.553422672944583E-2</v>
      </c>
      <c r="V105" s="30">
        <f>F105</f>
        <v>38322</v>
      </c>
      <c r="W105" s="28">
        <f>J105</f>
        <v>2.7658967778728227E-2</v>
      </c>
      <c r="X105" s="28">
        <f>K105</f>
        <v>6.3991323210412121E-2</v>
      </c>
      <c r="Y105" s="28">
        <f>L105</f>
        <v>2.553422672944583E-2</v>
      </c>
    </row>
    <row r="106" spans="6:25" x14ac:dyDescent="0.25">
      <c r="F106" s="30">
        <f>Data1!A237</f>
        <v>38412</v>
      </c>
      <c r="G106" s="31">
        <f>Data1!B237</f>
        <v>57.01</v>
      </c>
      <c r="H106" s="31">
        <f>Data1!BM237</f>
        <v>36.619999999999997</v>
      </c>
      <c r="I106" s="31">
        <f>IF(ISBLANK(Data1!BN237),NA(),Data1!BN237)</f>
        <v>30.24</v>
      </c>
      <c r="J106" s="28">
        <f>IFERROR(Data1!BM237/Data1!BM233-1,NA())</f>
        <v>3.06783000281452E-2</v>
      </c>
      <c r="K106" s="28">
        <f>IFERROR(IF(OR(ISBLANK(Data1!BN237),ISBLANK(Data1!BN233)),NA(),Data1!BN237/Data1!BN233-1),NA())</f>
        <v>4.3118316660917477E-2</v>
      </c>
      <c r="L106" s="28">
        <f>IFERROR(Data1!B237/Data1!B233-1,NA())</f>
        <v>2.3335128343205946E-2</v>
      </c>
      <c r="V106" s="30">
        <f>F106</f>
        <v>38412</v>
      </c>
      <c r="W106" s="28">
        <f>J106</f>
        <v>3.06783000281452E-2</v>
      </c>
      <c r="X106" s="28">
        <f>K106</f>
        <v>4.3118316660917477E-2</v>
      </c>
      <c r="Y106" s="28">
        <f>L106</f>
        <v>2.3335128343205946E-2</v>
      </c>
    </row>
    <row r="107" spans="6:25" x14ac:dyDescent="0.25">
      <c r="F107" s="30">
        <f>Data1!A238</f>
        <v>38504</v>
      </c>
      <c r="G107" s="31">
        <f>Data1!B238</f>
        <v>57.35</v>
      </c>
      <c r="H107" s="31">
        <f>Data1!BM238</f>
        <v>36.14</v>
      </c>
      <c r="I107" s="31">
        <f>IF(ISBLANK(Data1!BN238),NA(),Data1!BN238)</f>
        <v>30.38</v>
      </c>
      <c r="J107" s="28">
        <f>IFERROR(Data1!BM238/Data1!BM234-1,NA())</f>
        <v>3.1098430813124134E-2</v>
      </c>
      <c r="K107" s="28">
        <f>IFERROR(IF(OR(ISBLANK(Data1!BN238),ISBLANK(Data1!BN234)),NA(),Data1!BN238/Data1!BN234-1),NA())</f>
        <v>5.5594162612925491E-2</v>
      </c>
      <c r="L107" s="28">
        <f>IFERROR(Data1!B238/Data1!B234-1,NA())</f>
        <v>2.4656065749508738E-2</v>
      </c>
      <c r="V107" s="30">
        <f>F107</f>
        <v>38504</v>
      </c>
      <c r="W107" s="28">
        <f>J107</f>
        <v>3.1098430813124134E-2</v>
      </c>
      <c r="X107" s="28">
        <f>K107</f>
        <v>5.5594162612925491E-2</v>
      </c>
      <c r="Y107" s="28">
        <f>L107</f>
        <v>2.4656065749508738E-2</v>
      </c>
    </row>
    <row r="108" spans="6:25" x14ac:dyDescent="0.25">
      <c r="F108" s="30">
        <f>Data1!A239</f>
        <v>38596</v>
      </c>
      <c r="G108" s="31">
        <f>Data1!B239</f>
        <v>57.92</v>
      </c>
      <c r="H108" s="31">
        <f>Data1!BM239</f>
        <v>36.76</v>
      </c>
      <c r="I108" s="31">
        <f>IF(ISBLANK(Data1!BN239),NA(),Data1!BN239)</f>
        <v>31</v>
      </c>
      <c r="J108" s="28">
        <f>IFERROR(Data1!BM239/Data1!BM235-1,NA())</f>
        <v>2.5669642857142794E-2</v>
      </c>
      <c r="K108" s="28">
        <f>IFERROR(IF(OR(ISBLANK(Data1!BN239),ISBLANK(Data1!BN235)),NA(),Data1!BN239/Data1!BN235-1),NA())</f>
        <v>5.7659501876492714E-2</v>
      </c>
      <c r="L108" s="28">
        <f>IFERROR(Data1!B239/Data1!B235-1,NA())</f>
        <v>3.0604982206405618E-2</v>
      </c>
      <c r="V108" s="30">
        <f>F108</f>
        <v>38596</v>
      </c>
      <c r="W108" s="28">
        <f>J108</f>
        <v>2.5669642857142794E-2</v>
      </c>
      <c r="X108" s="28">
        <f>K108</f>
        <v>5.7659501876492714E-2</v>
      </c>
      <c r="Y108" s="28">
        <f>L108</f>
        <v>3.0604982206405618E-2</v>
      </c>
    </row>
    <row r="109" spans="6:25" x14ac:dyDescent="0.25">
      <c r="F109" s="30">
        <f>Data1!A240</f>
        <v>38687</v>
      </c>
      <c r="G109" s="31">
        <f>Data1!B240</f>
        <v>58.22</v>
      </c>
      <c r="H109" s="31">
        <f>Data1!BM240</f>
        <v>37.020000000000003</v>
      </c>
      <c r="I109" s="31">
        <f>IF(ISBLANK(Data1!BN240),NA(),Data1!BN240)</f>
        <v>30.89</v>
      </c>
      <c r="J109" s="28">
        <f>IFERROR(Data1!BM240/Data1!BM236-1,NA())</f>
        <v>2.7192008879023399E-2</v>
      </c>
      <c r="K109" s="28">
        <f>IFERROR(IF(OR(ISBLANK(Data1!BN240),ISBLANK(Data1!BN236)),NA(),Data1!BN240/Data1!BN236-1),NA())</f>
        <v>4.9609242269792686E-2</v>
      </c>
      <c r="L109" s="28">
        <f>IFERROR(Data1!B240/Data1!B236-1,NA())</f>
        <v>2.8076990994172712E-2</v>
      </c>
      <c r="V109" s="30">
        <f>F109</f>
        <v>38687</v>
      </c>
      <c r="W109" s="28">
        <f>J109</f>
        <v>2.7192008879023399E-2</v>
      </c>
      <c r="X109" s="28">
        <f>K109</f>
        <v>4.9609242269792686E-2</v>
      </c>
      <c r="Y109" s="28">
        <f>L109</f>
        <v>2.8076990994172712E-2</v>
      </c>
    </row>
    <row r="110" spans="6:25" x14ac:dyDescent="0.25">
      <c r="F110" s="30">
        <f>Data1!A241</f>
        <v>38777</v>
      </c>
      <c r="G110" s="31">
        <f>Data1!B241</f>
        <v>58.72</v>
      </c>
      <c r="H110" s="31">
        <f>Data1!BM241</f>
        <v>37.57</v>
      </c>
      <c r="I110" s="31">
        <f>IF(ISBLANK(Data1!BN241),NA(),Data1!BN241)</f>
        <v>31.64</v>
      </c>
      <c r="J110" s="28">
        <f>IFERROR(Data1!BM241/Data1!BM237-1,NA())</f>
        <v>2.5942108137629871E-2</v>
      </c>
      <c r="K110" s="28">
        <f>IFERROR(IF(OR(ISBLANK(Data1!BN241),ISBLANK(Data1!BN237)),NA(),Data1!BN241/Data1!BN237-1),NA())</f>
        <v>4.629629629629628E-2</v>
      </c>
      <c r="L110" s="28">
        <f>IFERROR(Data1!B241/Data1!B237-1,NA())</f>
        <v>2.9994737765304258E-2</v>
      </c>
      <c r="V110" s="30">
        <f>F110</f>
        <v>38777</v>
      </c>
      <c r="W110" s="28">
        <f>J110</f>
        <v>2.5942108137629871E-2</v>
      </c>
      <c r="X110" s="28">
        <f>K110</f>
        <v>4.629629629629628E-2</v>
      </c>
      <c r="Y110" s="28">
        <f>L110</f>
        <v>2.9994737765304258E-2</v>
      </c>
    </row>
    <row r="111" spans="6:25" x14ac:dyDescent="0.25">
      <c r="F111" s="30">
        <f>Data1!A242</f>
        <v>38869</v>
      </c>
      <c r="G111" s="31">
        <f>Data1!B242</f>
        <v>59.65</v>
      </c>
      <c r="H111" s="31">
        <f>Data1!BM242</f>
        <v>37.119999999999997</v>
      </c>
      <c r="I111" s="31">
        <f>IF(ISBLANK(Data1!BN242),NA(),Data1!BN242)</f>
        <v>31.73</v>
      </c>
      <c r="J111" s="28">
        <f>IFERROR(Data1!BM242/Data1!BM238-1,NA())</f>
        <v>2.7116768123962354E-2</v>
      </c>
      <c r="K111" s="28">
        <f>IFERROR(IF(OR(ISBLANK(Data1!BN242),ISBLANK(Data1!BN238)),NA(),Data1!BN242/Data1!BN238-1),NA())</f>
        <v>4.4437129690585886E-2</v>
      </c>
      <c r="L111" s="28">
        <f>IFERROR(Data1!B242/Data1!B238-1,NA())</f>
        <v>4.0104620749781938E-2</v>
      </c>
      <c r="V111" s="30">
        <f>F111</f>
        <v>38869</v>
      </c>
      <c r="W111" s="28">
        <f>J111</f>
        <v>2.7116768123962354E-2</v>
      </c>
      <c r="X111" s="28">
        <f>K111</f>
        <v>4.4437129690585886E-2</v>
      </c>
      <c r="Y111" s="28">
        <f>L111</f>
        <v>4.0104620749781938E-2</v>
      </c>
    </row>
    <row r="112" spans="6:25" x14ac:dyDescent="0.25">
      <c r="F112" s="30">
        <f>Data1!A243</f>
        <v>38961</v>
      </c>
      <c r="G112" s="31">
        <f>Data1!B243</f>
        <v>60.18</v>
      </c>
      <c r="H112" s="31">
        <f>Data1!BM243</f>
        <v>37.94</v>
      </c>
      <c r="I112" s="31">
        <f>IF(ISBLANK(Data1!BN243),NA(),Data1!BN243)</f>
        <v>32.54</v>
      </c>
      <c r="J112" s="28">
        <f>IFERROR(Data1!BM243/Data1!BM239-1,NA())</f>
        <v>3.2100108813928108E-2</v>
      </c>
      <c r="K112" s="28">
        <f>IFERROR(IF(OR(ISBLANK(Data1!BN243),ISBLANK(Data1!BN239)),NA(),Data1!BN243/Data1!BN239-1),NA())</f>
        <v>4.9677419354838603E-2</v>
      </c>
      <c r="L112" s="28">
        <f>IFERROR(Data1!B243/Data1!B239-1,NA())</f>
        <v>3.9019337016574562E-2</v>
      </c>
      <c r="V112" s="30">
        <f>F112</f>
        <v>38961</v>
      </c>
      <c r="W112" s="28">
        <f>J112</f>
        <v>3.2100108813928108E-2</v>
      </c>
      <c r="X112" s="28">
        <f>K112</f>
        <v>4.9677419354838603E-2</v>
      </c>
      <c r="Y112" s="28">
        <f>L112</f>
        <v>3.9019337016574562E-2</v>
      </c>
    </row>
    <row r="113" spans="6:25" x14ac:dyDescent="0.25">
      <c r="F113" s="30">
        <f>Data1!A244</f>
        <v>39052</v>
      </c>
      <c r="G113" s="31">
        <f>Data1!B244</f>
        <v>60.11</v>
      </c>
      <c r="H113" s="31">
        <f>Data1!BM244</f>
        <v>38.130000000000003</v>
      </c>
      <c r="I113" s="31">
        <f>IF(ISBLANK(Data1!BN244),NA(),Data1!BN244)</f>
        <v>32.33</v>
      </c>
      <c r="J113" s="28">
        <f>IFERROR(Data1!BM244/Data1!BM240-1,NA())</f>
        <v>2.9983792544570509E-2</v>
      </c>
      <c r="K113" s="28">
        <f>IFERROR(IF(OR(ISBLANK(Data1!BN244),ISBLANK(Data1!BN240)),NA(),Data1!BN244/Data1!BN240-1),NA())</f>
        <v>4.6617028164454455E-2</v>
      </c>
      <c r="L113" s="28">
        <f>IFERROR(Data1!B244/Data1!B240-1,NA())</f>
        <v>3.2463071109584352E-2</v>
      </c>
      <c r="V113" s="30">
        <f>F113</f>
        <v>39052</v>
      </c>
      <c r="W113" s="28">
        <f>J113</f>
        <v>2.9983792544570509E-2</v>
      </c>
      <c r="X113" s="28">
        <f>K113</f>
        <v>4.6617028164454455E-2</v>
      </c>
      <c r="Y113" s="28">
        <f>L113</f>
        <v>3.2463071109584352E-2</v>
      </c>
    </row>
    <row r="114" spans="6:25" x14ac:dyDescent="0.25">
      <c r="F114" s="30">
        <f>Data1!A245</f>
        <v>39142</v>
      </c>
      <c r="G114" s="31">
        <f>Data1!B245</f>
        <v>60.16</v>
      </c>
      <c r="H114" s="31">
        <f>Data1!BM245</f>
        <v>38.85</v>
      </c>
      <c r="I114" s="31">
        <f>IF(ISBLANK(Data1!BN245),NA(),Data1!BN245)</f>
        <v>32.840000000000003</v>
      </c>
      <c r="J114" s="28">
        <f>IFERROR(Data1!BM245/Data1!BM241-1,NA())</f>
        <v>3.406973649188183E-2</v>
      </c>
      <c r="K114" s="28">
        <f>IFERROR(IF(OR(ISBLANK(Data1!BN245),ISBLANK(Data1!BN241)),NA(),Data1!BN245/Data1!BN241-1),NA())</f>
        <v>3.7926675094816842E-2</v>
      </c>
      <c r="L114" s="28">
        <f>IFERROR(Data1!B245/Data1!B241-1,NA())</f>
        <v>2.4523160762942808E-2</v>
      </c>
      <c r="V114" s="30">
        <f>F114</f>
        <v>39142</v>
      </c>
      <c r="W114" s="28">
        <f>J114</f>
        <v>3.406973649188183E-2</v>
      </c>
      <c r="X114" s="28">
        <f>K114</f>
        <v>3.7926675094816842E-2</v>
      </c>
      <c r="Y114" s="28">
        <f>L114</f>
        <v>2.4523160762942808E-2</v>
      </c>
    </row>
    <row r="115" spans="6:25" x14ac:dyDescent="0.25">
      <c r="F115" s="30">
        <f>Data1!A246</f>
        <v>39234</v>
      </c>
      <c r="G115" s="31">
        <f>Data1!B246</f>
        <v>60.9</v>
      </c>
      <c r="H115" s="31">
        <f>Data1!BM246</f>
        <v>38.409999999999997</v>
      </c>
      <c r="I115" s="31">
        <f>IF(ISBLANK(Data1!BN246),NA(),Data1!BN246)</f>
        <v>32.94</v>
      </c>
      <c r="J115" s="28">
        <f>IFERROR(Data1!BM246/Data1!BM242-1,NA())</f>
        <v>3.4752155172413701E-2</v>
      </c>
      <c r="K115" s="28">
        <f>IFERROR(IF(OR(ISBLANK(Data1!BN246),ISBLANK(Data1!BN242)),NA(),Data1!BN246/Data1!BN242-1),NA())</f>
        <v>3.8134257800189086E-2</v>
      </c>
      <c r="L115" s="28">
        <f>IFERROR(Data1!B246/Data1!B242-1,NA())</f>
        <v>2.0955574182732528E-2</v>
      </c>
      <c r="V115" s="30">
        <f>F115</f>
        <v>39234</v>
      </c>
      <c r="W115" s="28">
        <f>J115</f>
        <v>3.4752155172413701E-2</v>
      </c>
      <c r="X115" s="28">
        <f>K115</f>
        <v>3.8134257800189086E-2</v>
      </c>
      <c r="Y115" s="28">
        <f>L115</f>
        <v>2.0955574182732528E-2</v>
      </c>
    </row>
    <row r="116" spans="6:25" x14ac:dyDescent="0.25">
      <c r="F116" s="30">
        <f>Data1!A247</f>
        <v>39326</v>
      </c>
      <c r="G116" s="31">
        <f>Data1!B247</f>
        <v>61.32</v>
      </c>
      <c r="H116" s="31">
        <f>Data1!BM247</f>
        <v>40.04</v>
      </c>
      <c r="I116" s="31">
        <f>IF(ISBLANK(Data1!BN247),NA(),Data1!BN247)</f>
        <v>33.75</v>
      </c>
      <c r="J116" s="28">
        <f>IFERROR(Data1!BM247/Data1!BM243-1,NA())</f>
        <v>5.5350553505535194E-2</v>
      </c>
      <c r="K116" s="28">
        <f>IFERROR(IF(OR(ISBLANK(Data1!BN247),ISBLANK(Data1!BN243)),NA(),Data1!BN247/Data1!BN243-1),NA())</f>
        <v>3.7185003073140876E-2</v>
      </c>
      <c r="L116" s="28">
        <f>IFERROR(Data1!B247/Data1!B243-1,NA())</f>
        <v>1.8943170488534333E-2</v>
      </c>
      <c r="V116" s="30">
        <f>F116</f>
        <v>39326</v>
      </c>
      <c r="W116" s="28">
        <f>J116</f>
        <v>5.5350553505535194E-2</v>
      </c>
      <c r="X116" s="28">
        <f>K116</f>
        <v>3.7185003073140876E-2</v>
      </c>
      <c r="Y116" s="28">
        <f>L116</f>
        <v>1.8943170488534333E-2</v>
      </c>
    </row>
    <row r="117" spans="6:25" x14ac:dyDescent="0.25">
      <c r="F117" s="30">
        <f>Data1!A248</f>
        <v>39417</v>
      </c>
      <c r="G117" s="31">
        <f>Data1!B248</f>
        <v>61.89</v>
      </c>
      <c r="H117" s="31">
        <f>Data1!BM248</f>
        <v>40.32</v>
      </c>
      <c r="I117" s="31">
        <f>IF(ISBLANK(Data1!BN248),NA(),Data1!BN248)</f>
        <v>33.65</v>
      </c>
      <c r="J117" s="28">
        <f>IFERROR(Data1!BM248/Data1!BM244-1,NA())</f>
        <v>5.7435090479937001E-2</v>
      </c>
      <c r="K117" s="28">
        <f>IFERROR(IF(OR(ISBLANK(Data1!BN248),ISBLANK(Data1!BN244)),NA(),Data1!BN248/Data1!BN244-1),NA())</f>
        <v>4.0828951438292682E-2</v>
      </c>
      <c r="L117" s="28">
        <f>IFERROR(Data1!B248/Data1!B244-1,NA())</f>
        <v>2.9612377308268156E-2</v>
      </c>
      <c r="V117" s="30">
        <f>F117</f>
        <v>39417</v>
      </c>
      <c r="W117" s="28">
        <f>J117</f>
        <v>5.7435090479937001E-2</v>
      </c>
      <c r="X117" s="28">
        <f>K117</f>
        <v>4.0828951438292682E-2</v>
      </c>
      <c r="Y117" s="28">
        <f>L117</f>
        <v>2.9612377308268156E-2</v>
      </c>
    </row>
    <row r="118" spans="6:25" x14ac:dyDescent="0.25">
      <c r="F118" s="30">
        <f>Data1!A249</f>
        <v>39508</v>
      </c>
      <c r="G118" s="31">
        <f>Data1!B249</f>
        <v>62.72</v>
      </c>
      <c r="H118" s="31">
        <f>Data1!BM249</f>
        <v>42.74</v>
      </c>
      <c r="I118" s="31">
        <f>IF(ISBLANK(Data1!BN249),NA(),Data1!BN249)</f>
        <v>34.6</v>
      </c>
      <c r="J118" s="28">
        <f>IFERROR(Data1!BM249/Data1!BM245-1,NA())</f>
        <v>0.10012870012870012</v>
      </c>
      <c r="K118" s="28">
        <f>IFERROR(IF(OR(ISBLANK(Data1!BN249),ISBLANK(Data1!BN245)),NA(),Data1!BN249/Data1!BN245-1),NA())</f>
        <v>5.3593179049939099E-2</v>
      </c>
      <c r="L118" s="28">
        <f>IFERROR(Data1!B249/Data1!B245-1,NA())</f>
        <v>4.2553191489361764E-2</v>
      </c>
      <c r="V118" s="30">
        <f>F118</f>
        <v>39508</v>
      </c>
      <c r="W118" s="28">
        <f>J118</f>
        <v>0.10012870012870012</v>
      </c>
      <c r="X118" s="28">
        <f>K118</f>
        <v>5.3593179049939099E-2</v>
      </c>
      <c r="Y118" s="28">
        <f>L118</f>
        <v>4.2553191489361764E-2</v>
      </c>
    </row>
    <row r="119" spans="6:25" x14ac:dyDescent="0.25">
      <c r="F119" s="30">
        <f>Data1!A250</f>
        <v>39600</v>
      </c>
      <c r="G119" s="31">
        <f>Data1!B250</f>
        <v>63.63</v>
      </c>
      <c r="H119" s="31">
        <f>Data1!BM250</f>
        <v>42.17</v>
      </c>
      <c r="I119" s="31">
        <f>IF(ISBLANK(Data1!BN250),NA(),Data1!BN250)</f>
        <v>35.43</v>
      </c>
      <c r="J119" s="28">
        <f>IFERROR(Data1!BM250/Data1!BM246-1,NA())</f>
        <v>9.7891174173392548E-2</v>
      </c>
      <c r="K119" s="28">
        <f>IFERROR(IF(OR(ISBLANK(Data1!BN250),ISBLANK(Data1!BN246)),NA(),Data1!BN250/Data1!BN246-1),NA())</f>
        <v>7.5591985428051123E-2</v>
      </c>
      <c r="L119" s="28">
        <f>IFERROR(Data1!B250/Data1!B246-1,NA())</f>
        <v>4.482758620689653E-2</v>
      </c>
      <c r="V119" s="30">
        <f>F119</f>
        <v>39600</v>
      </c>
      <c r="W119" s="28">
        <f>J119</f>
        <v>9.7891174173392548E-2</v>
      </c>
      <c r="X119" s="28">
        <f>K119</f>
        <v>7.5591985428051123E-2</v>
      </c>
      <c r="Y119" s="28">
        <f>L119</f>
        <v>4.482758620689653E-2</v>
      </c>
    </row>
    <row r="120" spans="6:25" x14ac:dyDescent="0.25">
      <c r="F120" s="30">
        <f>Data1!A251</f>
        <v>39692</v>
      </c>
      <c r="G120" s="31">
        <f>Data1!B251</f>
        <v>64.37</v>
      </c>
      <c r="H120" s="31">
        <f>Data1!BM251</f>
        <v>44.11</v>
      </c>
      <c r="I120" s="31">
        <f>IF(ISBLANK(Data1!BN251),NA(),Data1!BN251)</f>
        <v>37.08</v>
      </c>
      <c r="J120" s="28">
        <f>IFERROR(Data1!BM251/Data1!BM247-1,NA())</f>
        <v>0.10164835164835173</v>
      </c>
      <c r="K120" s="28">
        <f>IFERROR(IF(OR(ISBLANK(Data1!BN251),ISBLANK(Data1!BN247)),NA(),Data1!BN251/Data1!BN247-1),NA())</f>
        <v>9.866666666666668E-2</v>
      </c>
      <c r="L120" s="28">
        <f>IFERROR(Data1!B251/Data1!B247-1,NA())</f>
        <v>4.9739073711676518E-2</v>
      </c>
      <c r="V120" s="30">
        <f>F120</f>
        <v>39692</v>
      </c>
      <c r="W120" s="28">
        <f>J120</f>
        <v>0.10164835164835173</v>
      </c>
      <c r="X120" s="28">
        <f>K120</f>
        <v>9.866666666666668E-2</v>
      </c>
      <c r="Y120" s="28">
        <f>L120</f>
        <v>4.9739073711676518E-2</v>
      </c>
    </row>
    <row r="121" spans="6:25" x14ac:dyDescent="0.25">
      <c r="F121" s="30">
        <f>Data1!A252</f>
        <v>39783</v>
      </c>
      <c r="G121" s="31">
        <f>Data1!B252</f>
        <v>64.16</v>
      </c>
      <c r="H121" s="31">
        <f>Data1!BM252</f>
        <v>44.42</v>
      </c>
      <c r="I121" s="31">
        <f>IF(ISBLANK(Data1!BN252),NA(),Data1!BN252)</f>
        <v>36.880000000000003</v>
      </c>
      <c r="J121" s="28">
        <f>IFERROR(Data1!BM252/Data1!BM248-1,NA())</f>
        <v>0.10168650793650791</v>
      </c>
      <c r="K121" s="28">
        <f>IFERROR(IF(OR(ISBLANK(Data1!BN252),ISBLANK(Data1!BN248)),NA(),Data1!BN252/Data1!BN248-1),NA())</f>
        <v>9.5988112927191782E-2</v>
      </c>
      <c r="L121" s="28">
        <f>IFERROR(Data1!B252/Data1!B248-1,NA())</f>
        <v>3.6677977056067235E-2</v>
      </c>
      <c r="V121" s="30">
        <f>F121</f>
        <v>39783</v>
      </c>
      <c r="W121" s="28">
        <f>J121</f>
        <v>0.10168650793650791</v>
      </c>
      <c r="X121" s="28">
        <f>K121</f>
        <v>9.5988112927191782E-2</v>
      </c>
      <c r="Y121" s="28">
        <f>L121</f>
        <v>3.6677977056067235E-2</v>
      </c>
    </row>
    <row r="122" spans="6:25" x14ac:dyDescent="0.25">
      <c r="F122" s="30">
        <f>Data1!A253</f>
        <v>39873</v>
      </c>
      <c r="G122" s="31">
        <f>Data1!B253</f>
        <v>64.23</v>
      </c>
      <c r="H122" s="31">
        <f>Data1!BM253</f>
        <v>46.01</v>
      </c>
      <c r="I122" s="31">
        <f>IF(ISBLANK(Data1!BN253),NA(),Data1!BN253)</f>
        <v>38.36</v>
      </c>
      <c r="J122" s="28">
        <f>IFERROR(Data1!BM253/Data1!BM249-1,NA())</f>
        <v>7.6509124941506634E-2</v>
      </c>
      <c r="K122" s="28">
        <f>IFERROR(IF(OR(ISBLANK(Data1!BN253),ISBLANK(Data1!BN249)),NA(),Data1!BN253/Data1!BN249-1),NA())</f>
        <v>0.10867052023121371</v>
      </c>
      <c r="L122" s="28">
        <f>IFERROR(Data1!B253/Data1!B249-1,NA())</f>
        <v>2.4075255102040893E-2</v>
      </c>
      <c r="V122" s="30">
        <f>F122</f>
        <v>39873</v>
      </c>
      <c r="W122" s="28">
        <f>J122</f>
        <v>7.6509124941506634E-2</v>
      </c>
      <c r="X122" s="28">
        <f>K122</f>
        <v>0.10867052023121371</v>
      </c>
      <c r="Y122" s="28">
        <f>L122</f>
        <v>2.4075255102040893E-2</v>
      </c>
    </row>
    <row r="123" spans="6:25" x14ac:dyDescent="0.25">
      <c r="F123" s="30">
        <f>Data1!A254</f>
        <v>39965</v>
      </c>
      <c r="G123" s="31">
        <f>Data1!B254</f>
        <v>64.55</v>
      </c>
      <c r="H123" s="31">
        <f>Data1!BM254</f>
        <v>45.77</v>
      </c>
      <c r="I123" s="31">
        <f>IF(ISBLANK(Data1!BN254),NA(),Data1!BN254)</f>
        <v>38.369999999999997</v>
      </c>
      <c r="J123" s="28">
        <f>IFERROR(Data1!BM254/Data1!BM250-1,NA())</f>
        <v>8.5368745553711101E-2</v>
      </c>
      <c r="K123" s="28">
        <f>IFERROR(IF(OR(ISBLANK(Data1!BN254),ISBLANK(Data1!BN250)),NA(),Data1!BN254/Data1!BN250-1),NA())</f>
        <v>8.2980524978831349E-2</v>
      </c>
      <c r="L123" s="28">
        <f>IFERROR(Data1!B254/Data1!B250-1,NA())</f>
        <v>1.4458588716014464E-2</v>
      </c>
      <c r="V123" s="30">
        <f>F123</f>
        <v>39965</v>
      </c>
      <c r="W123" s="28">
        <f>J123</f>
        <v>8.5368745553711101E-2</v>
      </c>
      <c r="X123" s="28">
        <f>K123</f>
        <v>8.2980524978831349E-2</v>
      </c>
      <c r="Y123" s="28">
        <f>L123</f>
        <v>1.4458588716014464E-2</v>
      </c>
    </row>
    <row r="124" spans="6:25" x14ac:dyDescent="0.25">
      <c r="F124" s="30">
        <f>Data1!A255</f>
        <v>40057</v>
      </c>
      <c r="G124" s="31">
        <f>Data1!B255</f>
        <v>65.16</v>
      </c>
      <c r="H124" s="31">
        <f>Data1!BM255</f>
        <v>51</v>
      </c>
      <c r="I124" s="31">
        <f>IF(ISBLANK(Data1!BN255),NA(),Data1!BN255)</f>
        <v>39.409999999999997</v>
      </c>
      <c r="J124" s="28">
        <f>IFERROR(Data1!BM255/Data1!BM251-1,NA())</f>
        <v>0.15620040807073221</v>
      </c>
      <c r="K124" s="28">
        <f>IFERROR(IF(OR(ISBLANK(Data1!BN255),ISBLANK(Data1!BN251)),NA(),Data1!BN255/Data1!BN251-1),NA())</f>
        <v>6.2837108953613718E-2</v>
      </c>
      <c r="L124" s="28">
        <f>IFERROR(Data1!B255/Data1!B251-1,NA())</f>
        <v>1.2272797887214359E-2</v>
      </c>
      <c r="V124" s="30">
        <f>F124</f>
        <v>40057</v>
      </c>
      <c r="W124" s="28">
        <f>J124</f>
        <v>0.15620040807073221</v>
      </c>
      <c r="X124" s="28">
        <f>K124</f>
        <v>6.2837108953613718E-2</v>
      </c>
      <c r="Y124" s="28">
        <f>L124</f>
        <v>1.2272797887214359E-2</v>
      </c>
    </row>
    <row r="125" spans="6:25" x14ac:dyDescent="0.25">
      <c r="F125" s="30">
        <f>Data1!A256</f>
        <v>40148</v>
      </c>
      <c r="G125" s="31">
        <f>Data1!B256</f>
        <v>65.510000000000005</v>
      </c>
      <c r="H125" s="31">
        <f>Data1!BM256</f>
        <v>51.39</v>
      </c>
      <c r="I125" s="31">
        <f>IF(ISBLANK(Data1!BN256),NA(),Data1!BN256)</f>
        <v>40.21</v>
      </c>
      <c r="J125" s="28">
        <f>IFERROR(Data1!BM256/Data1!BM252-1,NA())</f>
        <v>0.15691130121566865</v>
      </c>
      <c r="K125" s="28">
        <f>IFERROR(IF(OR(ISBLANK(Data1!BN256),ISBLANK(Data1!BN252)),NA(),Data1!BN256/Data1!BN252-1),NA())</f>
        <v>9.0292841648589972E-2</v>
      </c>
      <c r="L125" s="28">
        <f>IFERROR(Data1!B256/Data1!B252-1,NA())</f>
        <v>2.1041147132169646E-2</v>
      </c>
      <c r="V125" s="30">
        <f>F125</f>
        <v>40148</v>
      </c>
      <c r="W125" s="28">
        <f>J125</f>
        <v>0.15691130121566865</v>
      </c>
      <c r="X125" s="28">
        <f>K125</f>
        <v>9.0292841648589972E-2</v>
      </c>
      <c r="Y125" s="28">
        <f>L125</f>
        <v>2.1041147132169646E-2</v>
      </c>
    </row>
    <row r="126" spans="6:25" x14ac:dyDescent="0.25">
      <c r="F126" s="30">
        <f>Data1!A257</f>
        <v>40238</v>
      </c>
      <c r="G126" s="31">
        <f>Data1!B257</f>
        <v>66.12</v>
      </c>
      <c r="H126" s="31">
        <f>Data1!BM257</f>
        <v>54.41</v>
      </c>
      <c r="I126" s="31">
        <f>IF(ISBLANK(Data1!BN257),NA(),Data1!BN257)</f>
        <v>41.64</v>
      </c>
      <c r="J126" s="28">
        <f>IFERROR(Data1!BM257/Data1!BM253-1,NA())</f>
        <v>0.18256900673766574</v>
      </c>
      <c r="K126" s="28">
        <f>IFERROR(IF(OR(ISBLANK(Data1!BN257),ISBLANK(Data1!BN253)),NA(),Data1!BN257/Data1!BN253-1),NA())</f>
        <v>8.5505735140771755E-2</v>
      </c>
      <c r="L126" s="28">
        <f>IFERROR(Data1!B257/Data1!B253-1,NA())</f>
        <v>2.9425502101821488E-2</v>
      </c>
      <c r="V126" s="30">
        <f>F126</f>
        <v>40238</v>
      </c>
      <c r="W126" s="28">
        <f>J126</f>
        <v>0.18256900673766574</v>
      </c>
      <c r="X126" s="28">
        <f>K126</f>
        <v>8.5505735140771755E-2</v>
      </c>
      <c r="Y126" s="28">
        <f>L126</f>
        <v>2.9425502101821488E-2</v>
      </c>
    </row>
    <row r="127" spans="6:25" x14ac:dyDescent="0.25">
      <c r="F127" s="30">
        <f>Data1!A258</f>
        <v>40330</v>
      </c>
      <c r="G127" s="31">
        <f>Data1!B258</f>
        <v>66.52</v>
      </c>
      <c r="H127" s="31">
        <f>Data1!BM258</f>
        <v>54.06</v>
      </c>
      <c r="I127" s="31">
        <f>IF(ISBLANK(Data1!BN258),NA(),Data1!BN258)</f>
        <v>42.34</v>
      </c>
      <c r="J127" s="28">
        <f>IFERROR(Data1!BM258/Data1!BM254-1,NA())</f>
        <v>0.18112300633602785</v>
      </c>
      <c r="K127" s="28">
        <f>IFERROR(IF(OR(ISBLANK(Data1!BN258),ISBLANK(Data1!BN254)),NA(),Data1!BN258/Data1!BN254-1),NA())</f>
        <v>0.10346624967422491</v>
      </c>
      <c r="L127" s="28">
        <f>IFERROR(Data1!B258/Data1!B254-1,NA())</f>
        <v>3.0518977536793113E-2</v>
      </c>
      <c r="V127" s="30">
        <f>F127</f>
        <v>40330</v>
      </c>
      <c r="W127" s="28">
        <f>J127</f>
        <v>0.18112300633602785</v>
      </c>
      <c r="X127" s="28">
        <f>K127</f>
        <v>0.10346624967422491</v>
      </c>
      <c r="Y127" s="28">
        <f>L127</f>
        <v>3.0518977536793113E-2</v>
      </c>
    </row>
    <row r="128" spans="6:25" x14ac:dyDescent="0.25">
      <c r="F128" s="30">
        <f>Data1!A259</f>
        <v>40422</v>
      </c>
      <c r="G128" s="31">
        <f>Data1!B259</f>
        <v>67</v>
      </c>
      <c r="H128" s="31">
        <f>Data1!BM259</f>
        <v>57.33</v>
      </c>
      <c r="I128" s="31">
        <f>IF(ISBLANK(Data1!BN259),NA(),Data1!BN259)</f>
        <v>43.27</v>
      </c>
      <c r="J128" s="28">
        <f>IFERROR(Data1!BM259/Data1!BM255-1,NA())</f>
        <v>0.12411764705882344</v>
      </c>
      <c r="K128" s="28">
        <f>IFERROR(IF(OR(ISBLANK(Data1!BN259),ISBLANK(Data1!BN255)),NA(),Data1!BN259/Data1!BN255-1),NA())</f>
        <v>9.7944684090332634E-2</v>
      </c>
      <c r="L128" s="28">
        <f>IFERROR(Data1!B259/Data1!B255-1,NA())</f>
        <v>2.8238182934315681E-2</v>
      </c>
      <c r="V128" s="30">
        <f>F128</f>
        <v>40422</v>
      </c>
      <c r="W128" s="28">
        <f>J128</f>
        <v>0.12411764705882344</v>
      </c>
      <c r="X128" s="28">
        <f>K128</f>
        <v>9.7944684090332634E-2</v>
      </c>
      <c r="Y128" s="28">
        <f>L128</f>
        <v>2.8238182934315681E-2</v>
      </c>
    </row>
    <row r="129" spans="6:25" x14ac:dyDescent="0.25">
      <c r="F129" s="30">
        <f>Data1!A260</f>
        <v>40513</v>
      </c>
      <c r="G129" s="31">
        <f>Data1!B260</f>
        <v>67.260000000000005</v>
      </c>
      <c r="H129" s="31">
        <f>Data1!BM260</f>
        <v>57.84</v>
      </c>
      <c r="I129" s="31">
        <f>IF(ISBLANK(Data1!BN260),NA(),Data1!BN260)</f>
        <v>43.06</v>
      </c>
      <c r="J129" s="28">
        <f>IFERROR(Data1!BM260/Data1!BM256-1,NA())</f>
        <v>0.12551079976649149</v>
      </c>
      <c r="K129" s="28">
        <f>IFERROR(IF(OR(ISBLANK(Data1!BN260),ISBLANK(Data1!BN256)),NA(),Data1!BN260/Data1!BN256-1),NA())</f>
        <v>7.0877891071872812E-2</v>
      </c>
      <c r="L129" s="28">
        <f>IFERROR(Data1!B260/Data1!B256-1,NA())</f>
        <v>2.6713478858189532E-2</v>
      </c>
      <c r="V129" s="30">
        <f>F129</f>
        <v>40513</v>
      </c>
      <c r="W129" s="28">
        <f>J129</f>
        <v>0.12551079976649149</v>
      </c>
      <c r="X129" s="28">
        <f>K129</f>
        <v>7.0877891071872812E-2</v>
      </c>
      <c r="Y129" s="28">
        <f>L129</f>
        <v>2.6713478858189532E-2</v>
      </c>
    </row>
    <row r="130" spans="6:25" x14ac:dyDescent="0.25">
      <c r="F130" s="30">
        <f>Data1!A261</f>
        <v>40603</v>
      </c>
      <c r="G130" s="31">
        <f>Data1!B261</f>
        <v>68.3</v>
      </c>
      <c r="H130" s="31">
        <f>Data1!BM261</f>
        <v>60.78</v>
      </c>
      <c r="I130" s="31">
        <f>IF(ISBLANK(Data1!BN261),NA(),Data1!BN261)</f>
        <v>43.74</v>
      </c>
      <c r="J130" s="28">
        <f>IFERROR(Data1!BM261/Data1!BM257-1,NA())</f>
        <v>0.1170740672670465</v>
      </c>
      <c r="K130" s="28">
        <f>IFERROR(IF(OR(ISBLANK(Data1!BN261),ISBLANK(Data1!BN257)),NA(),Data1!BN261/Data1!BN257-1),NA())</f>
        <v>5.0432276657060626E-2</v>
      </c>
      <c r="L130" s="28">
        <f>IFERROR(Data1!B261/Data1!B257-1,NA())</f>
        <v>3.2970356926799615E-2</v>
      </c>
      <c r="V130" s="30">
        <f>F130</f>
        <v>40603</v>
      </c>
      <c r="W130" s="28">
        <f>J130</f>
        <v>0.1170740672670465</v>
      </c>
      <c r="X130" s="28">
        <f>K130</f>
        <v>5.0432276657060626E-2</v>
      </c>
      <c r="Y130" s="28">
        <f>L130</f>
        <v>3.2970356926799615E-2</v>
      </c>
    </row>
    <row r="131" spans="6:25" x14ac:dyDescent="0.25">
      <c r="F131" s="30">
        <f>Data1!A262</f>
        <v>40695</v>
      </c>
      <c r="G131" s="31">
        <f>Data1!B262</f>
        <v>68.930000000000007</v>
      </c>
      <c r="H131" s="31">
        <f>Data1!BM262</f>
        <v>59.86</v>
      </c>
      <c r="I131" s="31">
        <f>IF(ISBLANK(Data1!BN262),NA(),Data1!BN262)</f>
        <v>44.17</v>
      </c>
      <c r="J131" s="28">
        <f>IFERROR(Data1!BM262/Data1!BM258-1,NA())</f>
        <v>0.10728819829818703</v>
      </c>
      <c r="K131" s="28">
        <f>IFERROR(IF(OR(ISBLANK(Data1!BN262),ISBLANK(Data1!BN258)),NA(),Data1!BN262/Data1!BN258-1),NA())</f>
        <v>4.3221539914974016E-2</v>
      </c>
      <c r="L131" s="28">
        <f>IFERROR(Data1!B262/Data1!B258-1,NA())</f>
        <v>3.6229705351774166E-2</v>
      </c>
      <c r="V131" s="30">
        <f>F131</f>
        <v>40695</v>
      </c>
      <c r="W131" s="28">
        <f>J131</f>
        <v>0.10728819829818703</v>
      </c>
      <c r="X131" s="28">
        <f>K131</f>
        <v>4.3221539914974016E-2</v>
      </c>
      <c r="Y131" s="28">
        <f>L131</f>
        <v>3.6229705351774166E-2</v>
      </c>
    </row>
    <row r="132" spans="6:25" x14ac:dyDescent="0.25">
      <c r="F132" s="30">
        <f>Data1!A263</f>
        <v>40787</v>
      </c>
      <c r="G132" s="31">
        <f>Data1!B263</f>
        <v>69.34</v>
      </c>
      <c r="H132" s="31">
        <f>Data1!BM263</f>
        <v>64.510000000000005</v>
      </c>
      <c r="I132" s="31">
        <f>IF(ISBLANK(Data1!BN263),NA(),Data1!BN263)</f>
        <v>45.88</v>
      </c>
      <c r="J132" s="28">
        <f>IFERROR(Data1!BM263/Data1!BM259-1,NA())</f>
        <v>0.12523983952555384</v>
      </c>
      <c r="K132" s="28">
        <f>IFERROR(IF(OR(ISBLANK(Data1!BN263),ISBLANK(Data1!BN259)),NA(),Data1!BN263/Data1!BN259-1),NA())</f>
        <v>6.0318927663508104E-2</v>
      </c>
      <c r="L132" s="28">
        <f>IFERROR(Data1!B263/Data1!B259-1,NA())</f>
        <v>3.4925373134328419E-2</v>
      </c>
      <c r="V132" s="30">
        <f>F132</f>
        <v>40787</v>
      </c>
      <c r="W132" s="28">
        <f>J132</f>
        <v>0.12523983952555384</v>
      </c>
      <c r="X132" s="28">
        <f>K132</f>
        <v>6.0318927663508104E-2</v>
      </c>
      <c r="Y132" s="28">
        <f>L132</f>
        <v>3.4925373134328419E-2</v>
      </c>
    </row>
    <row r="133" spans="6:25" x14ac:dyDescent="0.25">
      <c r="F133" s="30">
        <f>Data1!A264</f>
        <v>40878</v>
      </c>
      <c r="G133" s="31">
        <f>Data1!B264</f>
        <v>69.34</v>
      </c>
      <c r="H133" s="31">
        <f>Data1!BM264</f>
        <v>64.87</v>
      </c>
      <c r="I133" s="31">
        <f>IF(ISBLANK(Data1!BN264),NA(),Data1!BN264)</f>
        <v>45.97</v>
      </c>
      <c r="J133" s="28">
        <f>IFERROR(Data1!BM264/Data1!BM260-1,NA())</f>
        <v>0.12154218533886585</v>
      </c>
      <c r="K133" s="28">
        <f>IFERROR(IF(OR(ISBLANK(Data1!BN264),ISBLANK(Data1!BN260)),NA(),Data1!BN264/Data1!BN260-1),NA())</f>
        <v>6.7580120761727702E-2</v>
      </c>
      <c r="L133" s="28">
        <f>IFERROR(Data1!B264/Data1!B260-1,NA())</f>
        <v>3.0924769550996212E-2</v>
      </c>
      <c r="V133" s="30">
        <f>F133</f>
        <v>40878</v>
      </c>
      <c r="W133" s="28">
        <f>J133</f>
        <v>0.12154218533886585</v>
      </c>
      <c r="X133" s="28">
        <f>K133</f>
        <v>6.7580120761727702E-2</v>
      </c>
      <c r="Y133" s="28">
        <f>L133</f>
        <v>3.0924769550996212E-2</v>
      </c>
    </row>
    <row r="134" spans="6:25" x14ac:dyDescent="0.25">
      <c r="F134" s="30">
        <f>Data1!A265</f>
        <v>40969</v>
      </c>
      <c r="G134" s="31">
        <f>Data1!B265</f>
        <v>69.38</v>
      </c>
      <c r="H134" s="31">
        <f>Data1!BM265</f>
        <v>66.790000000000006</v>
      </c>
      <c r="I134" s="31">
        <f>IF(ISBLANK(Data1!BN265),NA(),Data1!BN265)</f>
        <v>46.65</v>
      </c>
      <c r="J134" s="28">
        <f>IFERROR(Data1!BM265/Data1!BM261-1,NA())</f>
        <v>9.8881210924646412E-2</v>
      </c>
      <c r="K134" s="28">
        <f>IFERROR(IF(OR(ISBLANK(Data1!BN265),ISBLANK(Data1!BN261)),NA(),Data1!BN265/Data1!BN261-1),NA())</f>
        <v>6.6529492455418282E-2</v>
      </c>
      <c r="L134" s="28">
        <f>IFERROR(Data1!B265/Data1!B261-1,NA())</f>
        <v>1.5812591508052698E-2</v>
      </c>
      <c r="V134" s="30">
        <f>F134</f>
        <v>40969</v>
      </c>
      <c r="W134" s="28">
        <f>J134</f>
        <v>9.8881210924646412E-2</v>
      </c>
      <c r="X134" s="28">
        <f>K134</f>
        <v>6.6529492455418282E-2</v>
      </c>
      <c r="Y134" s="28">
        <f>L134</f>
        <v>1.5812591508052698E-2</v>
      </c>
    </row>
    <row r="135" spans="6:25" x14ac:dyDescent="0.25">
      <c r="F135" s="30">
        <f>Data1!A266</f>
        <v>41061</v>
      </c>
      <c r="G135" s="31">
        <f>Data1!B266</f>
        <v>69.739999999999995</v>
      </c>
      <c r="H135" s="31">
        <f>Data1!BM266</f>
        <v>66.23</v>
      </c>
      <c r="I135" s="31">
        <f>IF(ISBLANK(Data1!BN266),NA(),Data1!BN266)</f>
        <v>47.71</v>
      </c>
      <c r="J135" s="28">
        <f>IFERROR(Data1!BM266/Data1!BM262-1,NA())</f>
        <v>0.10641496825927166</v>
      </c>
      <c r="K135" s="28">
        <f>IFERROR(IF(OR(ISBLANK(Data1!BN266),ISBLANK(Data1!BN262)),NA(),Data1!BN266/Data1!BN262-1),NA())</f>
        <v>8.0144894724926363E-2</v>
      </c>
      <c r="L135" s="28">
        <f>IFERROR(Data1!B266/Data1!B262-1,NA())</f>
        <v>1.1751051791672573E-2</v>
      </c>
      <c r="V135" s="30">
        <f>F135</f>
        <v>41061</v>
      </c>
      <c r="W135" s="28">
        <f>J135</f>
        <v>0.10641496825927166</v>
      </c>
      <c r="X135" s="28">
        <f>K135</f>
        <v>8.0144894724926363E-2</v>
      </c>
      <c r="Y135" s="28">
        <f>L135</f>
        <v>1.1751051791672573E-2</v>
      </c>
    </row>
    <row r="136" spans="6:25" x14ac:dyDescent="0.25">
      <c r="F136" s="30">
        <f>Data1!A267</f>
        <v>41153</v>
      </c>
      <c r="G136" s="31">
        <f>Data1!B267</f>
        <v>70.69</v>
      </c>
      <c r="H136" s="31">
        <f>Data1!BM267</f>
        <v>76.45</v>
      </c>
      <c r="I136" s="31">
        <f>IF(ISBLANK(Data1!BN267),NA(),Data1!BN267)</f>
        <v>54.49</v>
      </c>
      <c r="J136" s="28">
        <f>IFERROR(Data1!BM267/Data1!BM263-1,NA())</f>
        <v>0.18508758332041531</v>
      </c>
      <c r="K136" s="28">
        <f>IFERROR(IF(OR(ISBLANK(Data1!BN267),ISBLANK(Data1!BN263)),NA(),Data1!BN267/Data1!BN263-1),NA())</f>
        <v>0.18766346992153449</v>
      </c>
      <c r="L136" s="28">
        <f>IFERROR(Data1!B267/Data1!B263-1,NA())</f>
        <v>1.9469281799826765E-2</v>
      </c>
      <c r="V136" s="30">
        <f>F136</f>
        <v>41153</v>
      </c>
      <c r="W136" s="28">
        <f>J136</f>
        <v>0.18508758332041531</v>
      </c>
      <c r="X136" s="28">
        <f>K136</f>
        <v>0.18766346992153449</v>
      </c>
      <c r="Y136" s="28">
        <f>L136</f>
        <v>1.9469281799826765E-2</v>
      </c>
    </row>
    <row r="137" spans="6:25" x14ac:dyDescent="0.25">
      <c r="F137" s="30">
        <f>Data1!A268</f>
        <v>41244</v>
      </c>
      <c r="G137" s="31">
        <f>Data1!B268</f>
        <v>70.87</v>
      </c>
      <c r="H137" s="31">
        <f>Data1!BM268</f>
        <v>76.349999999999994</v>
      </c>
      <c r="I137" s="31">
        <f>IF(ISBLANK(Data1!BN268),NA(),Data1!BN268)</f>
        <v>53.91</v>
      </c>
      <c r="J137" s="28">
        <f>IFERROR(Data1!BM268/Data1!BM264-1,NA())</f>
        <v>0.17696932326190828</v>
      </c>
      <c r="K137" s="28">
        <f>IFERROR(IF(OR(ISBLANK(Data1!BN268),ISBLANK(Data1!BN264)),NA(),Data1!BN268/Data1!BN264-1),NA())</f>
        <v>0.17272134000435058</v>
      </c>
      <c r="L137" s="28">
        <f>IFERROR(Data1!B268/Data1!B264-1,NA())</f>
        <v>2.2065186039803786E-2</v>
      </c>
      <c r="V137" s="30">
        <f>F137</f>
        <v>41244</v>
      </c>
      <c r="W137" s="28">
        <f>J137</f>
        <v>0.17696932326190828</v>
      </c>
      <c r="X137" s="28">
        <f>K137</f>
        <v>0.17272134000435058</v>
      </c>
      <c r="Y137" s="28">
        <f>L137</f>
        <v>2.2065186039803786E-2</v>
      </c>
    </row>
    <row r="138" spans="6:25" x14ac:dyDescent="0.25">
      <c r="F138" s="30">
        <f>Data1!A269</f>
        <v>41334</v>
      </c>
      <c r="G138" s="31">
        <f>Data1!B269</f>
        <v>71.11</v>
      </c>
      <c r="H138" s="31">
        <f>Data1!BM269</f>
        <v>78.209999999999994</v>
      </c>
      <c r="I138" s="31">
        <f>IF(ISBLANK(Data1!BN269),NA(),Data1!BN269)</f>
        <v>54.45</v>
      </c>
      <c r="J138" s="28">
        <f>IFERROR(Data1!BM269/Data1!BM265-1,NA())</f>
        <v>0.17098368019164534</v>
      </c>
      <c r="K138" s="28">
        <f>IFERROR(IF(OR(ISBLANK(Data1!BN269),ISBLANK(Data1!BN265)),NA(),Data1!BN269/Data1!BN265-1),NA())</f>
        <v>0.16720257234726699</v>
      </c>
      <c r="L138" s="28">
        <f>IFERROR(Data1!B269/Data1!B265-1,NA())</f>
        <v>2.493513980974349E-2</v>
      </c>
      <c r="V138" s="30">
        <f>F138</f>
        <v>41334</v>
      </c>
      <c r="W138" s="28">
        <f>J138</f>
        <v>0.17098368019164534</v>
      </c>
      <c r="X138" s="28">
        <f>K138</f>
        <v>0.16720257234726699</v>
      </c>
      <c r="Y138" s="28">
        <f>L138</f>
        <v>2.493513980974349E-2</v>
      </c>
    </row>
    <row r="139" spans="6:25" x14ac:dyDescent="0.25">
      <c r="F139" s="30">
        <f>Data1!A270</f>
        <v>41426</v>
      </c>
      <c r="G139" s="31">
        <f>Data1!B270</f>
        <v>71.38</v>
      </c>
      <c r="H139" s="31">
        <f>Data1!BM270</f>
        <v>77.680000000000007</v>
      </c>
      <c r="I139" s="31">
        <f>IF(ISBLANK(Data1!BN270),NA(),Data1!BN270)</f>
        <v>55.03</v>
      </c>
      <c r="J139" s="28">
        <f>IFERROR(Data1!BM270/Data1!BM266-1,NA())</f>
        <v>0.17288237958629016</v>
      </c>
      <c r="K139" s="28">
        <f>IFERROR(IF(OR(ISBLANK(Data1!BN270),ISBLANK(Data1!BN266)),NA(),Data1!BN270/Data1!BN266-1),NA())</f>
        <v>0.15342695451687272</v>
      </c>
      <c r="L139" s="28">
        <f>IFERROR(Data1!B270/Data1!B266-1,NA())</f>
        <v>2.3515916260395731E-2</v>
      </c>
      <c r="V139" s="30">
        <f>F139</f>
        <v>41426</v>
      </c>
      <c r="W139" s="28">
        <f>J139</f>
        <v>0.17288237958629016</v>
      </c>
      <c r="X139" s="28">
        <f>K139</f>
        <v>0.15342695451687272</v>
      </c>
      <c r="Y139" s="28">
        <f>L139</f>
        <v>2.3515916260395731E-2</v>
      </c>
    </row>
    <row r="140" spans="6:25" x14ac:dyDescent="0.25">
      <c r="F140" s="30">
        <f>Data1!A271</f>
        <v>41518</v>
      </c>
      <c r="G140" s="31">
        <f>Data1!B271</f>
        <v>72.25</v>
      </c>
      <c r="H140" s="31">
        <f>Data1!BM271</f>
        <v>81.099999999999994</v>
      </c>
      <c r="I140" s="31">
        <f>IF(ISBLANK(Data1!BN271),NA(),Data1!BN271)</f>
        <v>57.67</v>
      </c>
      <c r="J140" s="28">
        <f>IFERROR(Data1!BM271/Data1!BM267-1,NA())</f>
        <v>6.0824068018312527E-2</v>
      </c>
      <c r="K140" s="28">
        <f>IFERROR(IF(OR(ISBLANK(Data1!BN271),ISBLANK(Data1!BN267)),NA(),Data1!BN271/Data1!BN267-1),NA())</f>
        <v>5.8359331987520635E-2</v>
      </c>
      <c r="L140" s="28">
        <f>IFERROR(Data1!B271/Data1!B267-1,NA())</f>
        <v>2.2068185033243815E-2</v>
      </c>
      <c r="V140" s="30">
        <f>F140</f>
        <v>41518</v>
      </c>
      <c r="W140" s="28">
        <f>J140</f>
        <v>6.0824068018312527E-2</v>
      </c>
      <c r="X140" s="28">
        <f>K140</f>
        <v>5.8359331987520635E-2</v>
      </c>
      <c r="Y140" s="28">
        <f>L140</f>
        <v>2.2068185033243815E-2</v>
      </c>
    </row>
    <row r="141" spans="6:25" x14ac:dyDescent="0.25">
      <c r="F141" s="30">
        <f>Data1!A272</f>
        <v>41609</v>
      </c>
      <c r="G141" s="31">
        <f>Data1!B272</f>
        <v>72.77</v>
      </c>
      <c r="H141" s="31">
        <f>Data1!BM272</f>
        <v>81.17</v>
      </c>
      <c r="I141" s="31">
        <f>IF(ISBLANK(Data1!BN272),NA(),Data1!BN272)</f>
        <v>56.93</v>
      </c>
      <c r="J141" s="28">
        <f>IFERROR(Data1!BM272/Data1!BM268-1,NA())</f>
        <v>6.3130320890635305E-2</v>
      </c>
      <c r="K141" s="28">
        <f>IFERROR(IF(OR(ISBLANK(Data1!BN272),ISBLANK(Data1!BN268)),NA(),Data1!BN272/Data1!BN268-1),NA())</f>
        <v>5.6019291411611993E-2</v>
      </c>
      <c r="L141" s="28">
        <f>IFERROR(Data1!B272/Data1!B268-1,NA())</f>
        <v>2.6809651474530627E-2</v>
      </c>
      <c r="V141" s="30">
        <f>F141</f>
        <v>41609</v>
      </c>
      <c r="W141" s="28">
        <f>J141</f>
        <v>6.3130320890635305E-2</v>
      </c>
      <c r="X141" s="28">
        <f>K141</f>
        <v>5.6019291411611993E-2</v>
      </c>
      <c r="Y141" s="28">
        <f>L141</f>
        <v>2.6809651474530627E-2</v>
      </c>
    </row>
    <row r="142" spans="6:25" x14ac:dyDescent="0.25">
      <c r="F142" s="30">
        <f>Data1!A273</f>
        <v>41699</v>
      </c>
      <c r="G142" s="31">
        <f>Data1!B273</f>
        <v>73.2</v>
      </c>
      <c r="H142" s="31">
        <f>Data1!BM273</f>
        <v>82.29</v>
      </c>
      <c r="I142" s="31">
        <f>IF(ISBLANK(Data1!BN273),NA(),Data1!BN273)</f>
        <v>58.22</v>
      </c>
      <c r="J142" s="28">
        <f>IFERROR(Data1!BM273/Data1!BM269-1,NA())</f>
        <v>5.2167242040660033E-2</v>
      </c>
      <c r="K142" s="28">
        <f>IFERROR(IF(OR(ISBLANK(Data1!BN273),ISBLANK(Data1!BN269)),NA(),Data1!BN273/Data1!BN269-1),NA())</f>
        <v>6.9237832874196492E-2</v>
      </c>
      <c r="L142" s="28">
        <f>IFERROR(Data1!B273/Data1!B269-1,NA())</f>
        <v>2.9391084235691256E-2</v>
      </c>
      <c r="V142" s="30">
        <f>F142</f>
        <v>41699</v>
      </c>
      <c r="W142" s="28">
        <f>J142</f>
        <v>5.2167242040660033E-2</v>
      </c>
      <c r="X142" s="28">
        <f>K142</f>
        <v>6.9237832874196492E-2</v>
      </c>
      <c r="Y142" s="28">
        <f>L142</f>
        <v>2.9391084235691256E-2</v>
      </c>
    </row>
    <row r="143" spans="6:25" x14ac:dyDescent="0.25">
      <c r="F143" s="30">
        <f>Data1!A274</f>
        <v>41791</v>
      </c>
      <c r="G143" s="31">
        <f>Data1!B274</f>
        <v>73.569999999999993</v>
      </c>
      <c r="H143" s="31">
        <f>Data1!BM274</f>
        <v>81.64</v>
      </c>
      <c r="I143" s="31">
        <f>IF(ISBLANK(Data1!BN274),NA(),Data1!BN274)</f>
        <v>58.4</v>
      </c>
      <c r="J143" s="28">
        <f>IFERROR(Data1!BM274/Data1!BM270-1,NA())</f>
        <v>5.09783728115345E-2</v>
      </c>
      <c r="K143" s="28">
        <f>IFERROR(IF(OR(ISBLANK(Data1!BN274),ISBLANK(Data1!BN270)),NA(),Data1!BN274/Data1!BN270-1),NA())</f>
        <v>6.1239324005088136E-2</v>
      </c>
      <c r="L143" s="28">
        <f>IFERROR(Data1!B274/Data1!B270-1,NA())</f>
        <v>3.0680862986830926E-2</v>
      </c>
      <c r="V143" s="30">
        <f>F143</f>
        <v>41791</v>
      </c>
      <c r="W143" s="28">
        <f>J143</f>
        <v>5.09783728115345E-2</v>
      </c>
      <c r="X143" s="28">
        <f>K143</f>
        <v>6.1239324005088136E-2</v>
      </c>
      <c r="Y143" s="28">
        <f>L143</f>
        <v>3.0680862986830926E-2</v>
      </c>
    </row>
    <row r="144" spans="6:25" x14ac:dyDescent="0.25">
      <c r="F144" s="30">
        <f>Data1!A275</f>
        <v>41883</v>
      </c>
      <c r="G144" s="31">
        <f>Data1!B275</f>
        <v>73.88</v>
      </c>
      <c r="H144" s="31">
        <f>Data1!BM275</f>
        <v>77.510000000000005</v>
      </c>
      <c r="I144" s="31">
        <f>IF(ISBLANK(Data1!BN275),NA(),Data1!BN275)</f>
        <v>59.12</v>
      </c>
      <c r="J144" s="28">
        <f>IFERROR(Data1!BM275/Data1!BM271-1,NA())</f>
        <v>-4.4266337854500515E-2</v>
      </c>
      <c r="K144" s="28">
        <f>IFERROR(IF(OR(ISBLANK(Data1!BN275),ISBLANK(Data1!BN271)),NA(),Data1!BN275/Data1!BN271-1),NA())</f>
        <v>2.5143055314721607E-2</v>
      </c>
      <c r="L144" s="28">
        <f>IFERROR(Data1!B275/Data1!B271-1,NA())</f>
        <v>2.256055363321785E-2</v>
      </c>
      <c r="V144" s="30">
        <f>F144</f>
        <v>41883</v>
      </c>
      <c r="W144" s="28">
        <f>J144</f>
        <v>-4.4266337854500515E-2</v>
      </c>
      <c r="X144" s="28">
        <f>K144</f>
        <v>2.5143055314721607E-2</v>
      </c>
      <c r="Y144" s="28">
        <f>L144</f>
        <v>2.256055363321785E-2</v>
      </c>
    </row>
    <row r="145" spans="6:25" x14ac:dyDescent="0.25">
      <c r="F145" s="30">
        <f>Data1!A276</f>
        <v>41974</v>
      </c>
      <c r="G145" s="31">
        <f>Data1!B276</f>
        <v>74.02</v>
      </c>
      <c r="H145" s="31">
        <f>Data1!BM276</f>
        <v>77.510000000000005</v>
      </c>
      <c r="I145" s="31">
        <f>IF(ISBLANK(Data1!BN276),NA(),Data1!BN276)</f>
        <v>58.35</v>
      </c>
      <c r="J145" s="28">
        <f>IFERROR(Data1!BM276/Data1!BM272-1,NA())</f>
        <v>-4.5090550696069931E-2</v>
      </c>
      <c r="K145" s="28">
        <f>IFERROR(IF(OR(ISBLANK(Data1!BN276),ISBLANK(Data1!BN272)),NA(),Data1!BN276/Data1!BN272-1),NA())</f>
        <v>2.4942912348498103E-2</v>
      </c>
      <c r="L145" s="28">
        <f>IFERROR(Data1!B276/Data1!B272-1,NA())</f>
        <v>1.7177408272639916E-2</v>
      </c>
      <c r="V145" s="30">
        <f>F145</f>
        <v>41974</v>
      </c>
      <c r="W145" s="28">
        <f>J145</f>
        <v>-4.5090550696069931E-2</v>
      </c>
      <c r="X145" s="28">
        <f>K145</f>
        <v>2.4942912348498103E-2</v>
      </c>
      <c r="Y145" s="28">
        <f>L145</f>
        <v>1.7177408272639916E-2</v>
      </c>
    </row>
    <row r="146" spans="6:25" x14ac:dyDescent="0.25">
      <c r="F146" s="30">
        <f>Data1!A277</f>
        <v>42064</v>
      </c>
      <c r="G146" s="31">
        <f>Data1!B277</f>
        <v>74.16</v>
      </c>
      <c r="H146" s="31">
        <f>Data1!BM277</f>
        <v>79.03</v>
      </c>
      <c r="I146" s="31">
        <f>IF(ISBLANK(Data1!BN277),NA(),Data1!BN277)</f>
        <v>59.94</v>
      </c>
      <c r="J146" s="28">
        <f>IFERROR(Data1!BM277/Data1!BM273-1,NA())</f>
        <v>-3.961599222262735E-2</v>
      </c>
      <c r="K146" s="28">
        <f>IFERROR(IF(OR(ISBLANK(Data1!BN277),ISBLANK(Data1!BN273)),NA(),Data1!BN277/Data1!BN273-1),NA())</f>
        <v>2.9543112332531818E-2</v>
      </c>
      <c r="L146" s="28">
        <f>IFERROR(Data1!B277/Data1!B273-1,NA())</f>
        <v>1.3114754098360493E-2</v>
      </c>
      <c r="V146" s="30">
        <f>F146</f>
        <v>42064</v>
      </c>
      <c r="W146" s="28">
        <f>J146</f>
        <v>-3.961599222262735E-2</v>
      </c>
      <c r="X146" s="28">
        <f>K146</f>
        <v>2.9543112332531818E-2</v>
      </c>
      <c r="Y146" s="28">
        <f>L146</f>
        <v>1.3114754098360493E-2</v>
      </c>
    </row>
    <row r="147" spans="6:25" x14ac:dyDescent="0.25">
      <c r="F147" s="30">
        <f>Data1!A278</f>
        <v>42156</v>
      </c>
      <c r="G147" s="31">
        <f>Data1!B278</f>
        <v>74.69</v>
      </c>
      <c r="H147" s="31">
        <f>Data1!BM278</f>
        <v>78.58</v>
      </c>
      <c r="I147" s="31">
        <f>IF(ISBLANK(Data1!BN278),NA(),Data1!BN278)</f>
        <v>60.44</v>
      </c>
      <c r="J147" s="28">
        <f>IFERROR(Data1!BM278/Data1!BM274-1,NA())</f>
        <v>-3.7481626653601219E-2</v>
      </c>
      <c r="K147" s="28">
        <f>IFERROR(IF(OR(ISBLANK(Data1!BN278),ISBLANK(Data1!BN274)),NA(),Data1!BN278/Data1!BN274-1),NA())</f>
        <v>3.4931506849315008E-2</v>
      </c>
      <c r="L147" s="28">
        <f>IFERROR(Data1!B278/Data1!B274-1,NA())</f>
        <v>1.5223596574690745E-2</v>
      </c>
      <c r="V147" s="30">
        <f>F147</f>
        <v>42156</v>
      </c>
      <c r="W147" s="28">
        <f>J147</f>
        <v>-3.7481626653601219E-2</v>
      </c>
      <c r="X147" s="28">
        <f>K147</f>
        <v>3.4931506849315008E-2</v>
      </c>
      <c r="Y147" s="28">
        <f>L147</f>
        <v>1.5223596574690745E-2</v>
      </c>
    </row>
    <row r="148" spans="6:25" x14ac:dyDescent="0.25">
      <c r="F148" s="30">
        <f>Data1!A279</f>
        <v>42248</v>
      </c>
      <c r="G148" s="31">
        <f>Data1!B279</f>
        <v>74.98</v>
      </c>
      <c r="H148" s="31">
        <f>Data1!BM279</f>
        <v>77.45</v>
      </c>
      <c r="I148" s="31">
        <f>IF(ISBLANK(Data1!BN279),NA(),Data1!BN279)</f>
        <v>59.65</v>
      </c>
      <c r="J148" s="28">
        <f>IFERROR(Data1!BM279/Data1!BM275-1,NA())</f>
        <v>-7.7409366533354174E-4</v>
      </c>
      <c r="K148" s="28">
        <f>IFERROR(IF(OR(ISBLANK(Data1!BN279),ISBLANK(Data1!BN275)),NA(),Data1!BN279/Data1!BN275-1),NA())</f>
        <v>8.9648173207037551E-3</v>
      </c>
      <c r="L148" s="28">
        <f>IFERROR(Data1!B279/Data1!B275-1,NA())</f>
        <v>1.4889009204114956E-2</v>
      </c>
      <c r="V148" s="30">
        <f>F148</f>
        <v>42248</v>
      </c>
      <c r="W148" s="28">
        <f>J148</f>
        <v>-7.7409366533354174E-4</v>
      </c>
      <c r="X148" s="28">
        <f>K148</f>
        <v>8.9648173207037551E-3</v>
      </c>
      <c r="Y148" s="28">
        <f>L148</f>
        <v>1.4889009204114956E-2</v>
      </c>
    </row>
    <row r="149" spans="6:25" x14ac:dyDescent="0.25">
      <c r="F149" s="30">
        <f>Data1!A280</f>
        <v>42339</v>
      </c>
      <c r="G149" s="31">
        <f>Data1!B280</f>
        <v>75.27</v>
      </c>
      <c r="H149" s="31">
        <f>Data1!BM280</f>
        <v>77.45</v>
      </c>
      <c r="I149" s="31">
        <f>IF(ISBLANK(Data1!BN280),NA(),Data1!BN280)</f>
        <v>58.92</v>
      </c>
      <c r="J149" s="28">
        <f>IFERROR(Data1!BM280/Data1!BM276-1,NA())</f>
        <v>-7.7409366533354174E-4</v>
      </c>
      <c r="K149" s="28">
        <f>IFERROR(IF(OR(ISBLANK(Data1!BN280),ISBLANK(Data1!BN276)),NA(),Data1!BN280/Data1!BN276-1),NA())</f>
        <v>9.7686375321337504E-3</v>
      </c>
      <c r="L149" s="28">
        <f>IFERROR(Data1!B280/Data1!B276-1,NA())</f>
        <v>1.6887327749256942E-2</v>
      </c>
      <c r="V149" s="30">
        <f>F149</f>
        <v>42339</v>
      </c>
      <c r="W149" s="28">
        <f>J149</f>
        <v>-7.7409366533354174E-4</v>
      </c>
      <c r="X149" s="28">
        <f>K149</f>
        <v>9.7686375321337504E-3</v>
      </c>
      <c r="Y149" s="28">
        <f>L149</f>
        <v>1.6887327749256942E-2</v>
      </c>
    </row>
    <row r="150" spans="6:25" x14ac:dyDescent="0.25">
      <c r="F150" s="30">
        <f>Data1!A281</f>
        <v>42430</v>
      </c>
      <c r="G150" s="31">
        <f>Data1!B281</f>
        <v>75.12</v>
      </c>
      <c r="H150" s="31">
        <f>Data1!BM281</f>
        <v>77.319999999999993</v>
      </c>
      <c r="I150" s="31">
        <f>IF(ISBLANK(Data1!BN281),NA(),Data1!BN281)</f>
        <v>60.68</v>
      </c>
      <c r="J150" s="28">
        <f>IFERROR(Data1!BM281/Data1!BM277-1,NA())</f>
        <v>-2.1637352903960627E-2</v>
      </c>
      <c r="K150" s="28">
        <f>IFERROR(IF(OR(ISBLANK(Data1!BN281),ISBLANK(Data1!BN277)),NA(),Data1!BN281/Data1!BN277-1),NA())</f>
        <v>1.2345679012345734E-2</v>
      </c>
      <c r="L150" s="28">
        <f>IFERROR(Data1!B281/Data1!B277-1,NA())</f>
        <v>1.2944983818770295E-2</v>
      </c>
      <c r="V150" s="30">
        <f>F150</f>
        <v>42430</v>
      </c>
      <c r="W150" s="28">
        <f>J150</f>
        <v>-2.1637352903960627E-2</v>
      </c>
      <c r="X150" s="28">
        <f>K150</f>
        <v>1.2345679012345734E-2</v>
      </c>
      <c r="Y150" s="28">
        <f>L150</f>
        <v>1.2944983818770295E-2</v>
      </c>
    </row>
    <row r="151" spans="6:25" x14ac:dyDescent="0.25">
      <c r="F151" s="30">
        <f>Data1!A282</f>
        <v>42522</v>
      </c>
      <c r="G151" s="31">
        <f>Data1!B282</f>
        <v>75.45</v>
      </c>
      <c r="H151" s="31">
        <f>Data1!BM282</f>
        <v>76.989999999999995</v>
      </c>
      <c r="I151" s="31">
        <f>IF(ISBLANK(Data1!BN282),NA(),Data1!BN282)</f>
        <v>60.88</v>
      </c>
      <c r="J151" s="28">
        <f>IFERROR(Data1!BM282/Data1!BM278-1,NA())</f>
        <v>-2.0234156273861048E-2</v>
      </c>
      <c r="K151" s="28">
        <f>IFERROR(IF(OR(ISBLANK(Data1!BN282),ISBLANK(Data1!BN278)),NA(),Data1!BN282/Data1!BN278-1),NA())</f>
        <v>7.2799470549305134E-3</v>
      </c>
      <c r="L151" s="28">
        <f>IFERROR(Data1!B282/Data1!B278-1,NA())</f>
        <v>1.0175391618690632E-2</v>
      </c>
      <c r="V151" s="30">
        <f>F151</f>
        <v>42522</v>
      </c>
      <c r="W151" s="28">
        <f>J151</f>
        <v>-2.0234156273861048E-2</v>
      </c>
      <c r="X151" s="28">
        <f>K151</f>
        <v>7.2799470549305134E-3</v>
      </c>
      <c r="Y151" s="28">
        <f>L151</f>
        <v>1.0175391618690632E-2</v>
      </c>
    </row>
    <row r="152" spans="6:25" x14ac:dyDescent="0.25">
      <c r="F152" s="30">
        <f>Data1!A283</f>
        <v>42614</v>
      </c>
      <c r="G152" s="31">
        <f>Data1!B283</f>
        <v>75.98</v>
      </c>
      <c r="H152" s="31">
        <f>Data1!BM283</f>
        <v>81.16</v>
      </c>
      <c r="I152" s="31">
        <f>IF(ISBLANK(Data1!BN283),NA(),Data1!BN283)</f>
        <v>60.86</v>
      </c>
      <c r="J152" s="28">
        <f>IFERROR(Data1!BM283/Data1!BM279-1,NA())</f>
        <v>4.7901872175597049E-2</v>
      </c>
      <c r="K152" s="28">
        <f>IFERROR(IF(OR(ISBLANK(Data1!BN283),ISBLANK(Data1!BN279)),NA(),Data1!BN283/Data1!BN279-1),NA())</f>
        <v>2.0284995808885098E-2</v>
      </c>
      <c r="L152" s="28">
        <f>IFERROR(Data1!B283/Data1!B279-1,NA())</f>
        <v>1.3336889837289867E-2</v>
      </c>
      <c r="V152" s="30">
        <f>F152</f>
        <v>42614</v>
      </c>
      <c r="W152" s="28">
        <f>J152</f>
        <v>4.7901872175597049E-2</v>
      </c>
      <c r="X152" s="28">
        <f>K152</f>
        <v>2.0284995808885098E-2</v>
      </c>
      <c r="Y152" s="28">
        <f>L152</f>
        <v>1.3336889837289867E-2</v>
      </c>
    </row>
    <row r="153" spans="6:25" x14ac:dyDescent="0.25">
      <c r="F153" s="30">
        <f>Data1!A284</f>
        <v>42705</v>
      </c>
      <c r="G153" s="31">
        <f>Data1!B284</f>
        <v>76.38</v>
      </c>
      <c r="H153" s="31">
        <f>Data1!BM284</f>
        <v>81.150000000000006</v>
      </c>
      <c r="I153" s="31">
        <f>IF(ISBLANK(Data1!BN284),NA(),Data1!BN284)</f>
        <v>60.06</v>
      </c>
      <c r="J153" s="28">
        <f>IFERROR(Data1!BM284/Data1!BM280-1,NA())</f>
        <v>4.7772756617172396E-2</v>
      </c>
      <c r="K153" s="28">
        <f>IFERROR(IF(OR(ISBLANK(Data1!BN284),ISBLANK(Data1!BN280)),NA(),Data1!BN284/Data1!BN280-1),NA())</f>
        <v>1.9348268839103788E-2</v>
      </c>
      <c r="L153" s="28">
        <f>IFERROR(Data1!B284/Data1!B280-1,NA())</f>
        <v>1.4746911119968065E-2</v>
      </c>
      <c r="V153" s="30">
        <f>F153</f>
        <v>42705</v>
      </c>
      <c r="W153" s="28">
        <f>J153</f>
        <v>4.7772756617172396E-2</v>
      </c>
      <c r="X153" s="28">
        <f>K153</f>
        <v>1.9348268839103788E-2</v>
      </c>
      <c r="Y153" s="28">
        <f>L153</f>
        <v>1.4746911119968065E-2</v>
      </c>
    </row>
    <row r="154" spans="6:25" x14ac:dyDescent="0.25">
      <c r="F154" s="30">
        <f>Data1!A285</f>
        <v>42795</v>
      </c>
      <c r="G154" s="31">
        <f>Data1!B285</f>
        <v>76.73</v>
      </c>
      <c r="H154" s="31">
        <f>Data1!BM285</f>
        <v>83.19</v>
      </c>
      <c r="I154" s="31">
        <f>IF(ISBLANK(Data1!BN285),NA(),Data1!BN285)</f>
        <v>62.34</v>
      </c>
      <c r="J154" s="28">
        <f>IFERROR(Data1!BM285/Data1!BM281-1,NA())</f>
        <v>7.5918261769270634E-2</v>
      </c>
      <c r="K154" s="28">
        <f>IFERROR(IF(OR(ISBLANK(Data1!BN285),ISBLANK(Data1!BN281)),NA(),Data1!BN285/Data1!BN281-1),NA())</f>
        <v>2.7356624917600492E-2</v>
      </c>
      <c r="L154" s="28">
        <f>IFERROR(Data1!B285/Data1!B281-1,NA())</f>
        <v>2.1432374866879655E-2</v>
      </c>
      <c r="V154" s="30">
        <f>F154</f>
        <v>42795</v>
      </c>
      <c r="W154" s="28">
        <f>J154</f>
        <v>7.5918261769270634E-2</v>
      </c>
      <c r="X154" s="28">
        <f>K154</f>
        <v>2.7356624917600492E-2</v>
      </c>
      <c r="Y154" s="28">
        <f>L154</f>
        <v>2.1432374866879655E-2</v>
      </c>
    </row>
    <row r="155" spans="6:25" x14ac:dyDescent="0.25">
      <c r="F155" s="30">
        <f>Data1!A286</f>
        <v>42887</v>
      </c>
      <c r="G155" s="31">
        <f>Data1!B286</f>
        <v>76.88</v>
      </c>
      <c r="H155" s="31">
        <f>Data1!BM286</f>
        <v>83.06</v>
      </c>
      <c r="I155" s="31">
        <f>IF(ISBLANK(Data1!BN286),NA(),Data1!BN286)</f>
        <v>62.57</v>
      </c>
      <c r="J155" s="28">
        <f>IFERROR(Data1!BM286/Data1!BM282-1,NA())</f>
        <v>7.8841407975061895E-2</v>
      </c>
      <c r="K155" s="28">
        <f>IFERROR(IF(OR(ISBLANK(Data1!BN286),ISBLANK(Data1!BN282)),NA(),Data1!BN286/Data1!BN282-1),NA())</f>
        <v>2.7759526938239132E-2</v>
      </c>
      <c r="L155" s="28">
        <f>IFERROR(Data1!B286/Data1!B282-1,NA())</f>
        <v>1.8952948972829509E-2</v>
      </c>
      <c r="V155" s="30">
        <f>F155</f>
        <v>42887</v>
      </c>
      <c r="W155" s="28">
        <f>J155</f>
        <v>7.8841407975061895E-2</v>
      </c>
      <c r="X155" s="28">
        <f>K155</f>
        <v>2.7759526938239132E-2</v>
      </c>
      <c r="Y155" s="28">
        <f>L155</f>
        <v>1.8952948972829509E-2</v>
      </c>
    </row>
    <row r="156" spans="6:25" x14ac:dyDescent="0.25">
      <c r="F156" s="30">
        <f>Data1!A287</f>
        <v>42979</v>
      </c>
      <c r="G156" s="31">
        <f>Data1!B287</f>
        <v>77.349999999999994</v>
      </c>
      <c r="H156" s="31">
        <f>Data1!BM287</f>
        <v>90.44</v>
      </c>
      <c r="I156" s="31">
        <f>IF(ISBLANK(Data1!BN287),NA(),Data1!BN287)</f>
        <v>65.8</v>
      </c>
      <c r="J156" s="28">
        <f>IFERROR(Data1!BM287/Data1!BM283-1,NA())</f>
        <v>0.11434204041399698</v>
      </c>
      <c r="K156" s="28">
        <f>IFERROR(IF(OR(ISBLANK(Data1!BN287),ISBLANK(Data1!BN283)),NA(),Data1!BN287/Data1!BN283-1),NA())</f>
        <v>8.1169898126848494E-2</v>
      </c>
      <c r="L156" s="28">
        <f>IFERROR(Data1!B287/Data1!B283-1,NA())</f>
        <v>1.8031060805475008E-2</v>
      </c>
      <c r="V156" s="30">
        <f>F156</f>
        <v>42979</v>
      </c>
      <c r="W156" s="28">
        <f>J156</f>
        <v>0.11434204041399698</v>
      </c>
      <c r="X156" s="28">
        <f>K156</f>
        <v>8.1169898126848494E-2</v>
      </c>
      <c r="Y156" s="28">
        <f>L156</f>
        <v>1.8031060805475008E-2</v>
      </c>
    </row>
    <row r="157" spans="6:25" x14ac:dyDescent="0.25">
      <c r="F157" s="30">
        <f>Data1!A288</f>
        <v>43070</v>
      </c>
      <c r="G157" s="31">
        <f>Data1!B288</f>
        <v>77.87</v>
      </c>
      <c r="H157" s="31">
        <f>Data1!BM288</f>
        <v>91.25</v>
      </c>
      <c r="I157" s="31">
        <f>IF(ISBLANK(Data1!BN288),NA(),Data1!BN288)</f>
        <v>64.709999999999994</v>
      </c>
      <c r="J157" s="28">
        <f>IFERROR(Data1!BM288/Data1!BM284-1,NA())</f>
        <v>0.12446087492298208</v>
      </c>
      <c r="K157" s="28">
        <f>IFERROR(IF(OR(ISBLANK(Data1!BN288),ISBLANK(Data1!BN284)),NA(),Data1!BN288/Data1!BN284-1),NA())</f>
        <v>7.7422577422577188E-2</v>
      </c>
      <c r="L157" s="28">
        <f>IFERROR(Data1!B288/Data1!B284-1,NA())</f>
        <v>1.9507724535218873E-2</v>
      </c>
      <c r="V157" s="30">
        <f>F157</f>
        <v>43070</v>
      </c>
      <c r="W157" s="28">
        <f>J157</f>
        <v>0.12446087492298208</v>
      </c>
      <c r="X157" s="28">
        <f>K157</f>
        <v>7.7422577422577188E-2</v>
      </c>
      <c r="Y157" s="28">
        <f>L157</f>
        <v>1.9507724535218873E-2</v>
      </c>
    </row>
    <row r="158" spans="6:25" x14ac:dyDescent="0.25">
      <c r="F158" s="30">
        <f>Data1!A289</f>
        <v>43160</v>
      </c>
      <c r="G158" s="31">
        <f>Data1!B289</f>
        <v>78.209999999999994</v>
      </c>
      <c r="H158" s="31">
        <f>Data1!BM289</f>
        <v>92.9</v>
      </c>
      <c r="I158" s="31">
        <f>IF(ISBLANK(Data1!BN289),NA(),Data1!BN289)</f>
        <v>68.569999999999993</v>
      </c>
      <c r="J158" s="28">
        <f>IFERROR(Data1!BM289/Data1!BM285-1,NA())</f>
        <v>0.11672075970669571</v>
      </c>
      <c r="K158" s="28">
        <f>IFERROR(IF(OR(ISBLANK(Data1!BN289),ISBLANK(Data1!BN285)),NA(),Data1!BN289/Data1!BN285-1),NA())</f>
        <v>9.9935835739492829E-2</v>
      </c>
      <c r="L158" s="28">
        <f>IFERROR(Data1!B289/Data1!B285-1,NA())</f>
        <v>1.9288413918936431E-2</v>
      </c>
      <c r="V158" s="30">
        <f>F158</f>
        <v>43160</v>
      </c>
      <c r="W158" s="28">
        <f>J158</f>
        <v>0.11672075970669571</v>
      </c>
      <c r="X158" s="28">
        <f>K158</f>
        <v>9.9935835739492829E-2</v>
      </c>
      <c r="Y158" s="28">
        <f>L158</f>
        <v>1.9288413918936431E-2</v>
      </c>
    </row>
    <row r="159" spans="6:25" x14ac:dyDescent="0.25">
      <c r="F159" s="30">
        <f>Data1!A290</f>
        <v>43252</v>
      </c>
      <c r="G159" s="31">
        <f>Data1!B290</f>
        <v>78.489999999999995</v>
      </c>
      <c r="H159" s="31">
        <f>Data1!BM290</f>
        <v>91.69</v>
      </c>
      <c r="I159" s="31">
        <f>IF(ISBLANK(Data1!BN290),NA(),Data1!BN290)</f>
        <v>67.05</v>
      </c>
      <c r="J159" s="28">
        <f>IFERROR(Data1!BM290/Data1!BM286-1,NA())</f>
        <v>0.10390079460630863</v>
      </c>
      <c r="K159" s="28">
        <f>IFERROR(IF(OR(ISBLANK(Data1!BN290),ISBLANK(Data1!BN286)),NA(),Data1!BN290/Data1!BN286-1),NA())</f>
        <v>7.1599808214799276E-2</v>
      </c>
      <c r="L159" s="28">
        <f>IFERROR(Data1!B290/Data1!B286-1,NA())</f>
        <v>2.0941727367325802E-2</v>
      </c>
      <c r="V159" s="30">
        <f>F159</f>
        <v>43252</v>
      </c>
      <c r="W159" s="28">
        <f>J159</f>
        <v>0.10390079460630863</v>
      </c>
      <c r="X159" s="28">
        <f>K159</f>
        <v>7.1599808214799276E-2</v>
      </c>
      <c r="Y159" s="28">
        <f>L159</f>
        <v>2.0941727367325802E-2</v>
      </c>
    </row>
    <row r="160" spans="6:25" x14ac:dyDescent="0.25">
      <c r="F160" s="30">
        <f>Data1!A291</f>
        <v>43344</v>
      </c>
      <c r="G160" s="31">
        <f>Data1!B291</f>
        <v>78.83</v>
      </c>
      <c r="H160" s="31">
        <f>Data1!BM291</f>
        <v>92.13</v>
      </c>
      <c r="I160" s="31">
        <f>IF(ISBLANK(Data1!BN291),NA(),Data1!BN291)</f>
        <v>67.78</v>
      </c>
      <c r="J160" s="28">
        <f>IFERROR(Data1!BM291/Data1!BM287-1,NA())</f>
        <v>1.868642193719583E-2</v>
      </c>
      <c r="K160" s="28">
        <f>IFERROR(IF(OR(ISBLANK(Data1!BN291),ISBLANK(Data1!BN287)),NA(),Data1!BN291/Data1!BN287-1),NA())</f>
        <v>3.0091185410334509E-2</v>
      </c>
      <c r="L160" s="28">
        <f>IFERROR(Data1!B291/Data1!B287-1,NA())</f>
        <v>1.9133807369101641E-2</v>
      </c>
      <c r="V160" s="30">
        <f>F160</f>
        <v>43344</v>
      </c>
      <c r="W160" s="28">
        <f>J160</f>
        <v>1.868642193719583E-2</v>
      </c>
      <c r="X160" s="28">
        <f>K160</f>
        <v>3.0091185410334509E-2</v>
      </c>
      <c r="Y160" s="28">
        <f>L160</f>
        <v>1.9133807369101641E-2</v>
      </c>
    </row>
    <row r="161" spans="6:25" x14ac:dyDescent="0.25">
      <c r="F161" s="30">
        <f>Data1!A292</f>
        <v>43435</v>
      </c>
      <c r="G161" s="31">
        <f>Data1!B292</f>
        <v>79.239999999999995</v>
      </c>
      <c r="H161" s="31">
        <f>Data1!BM292</f>
        <v>92.86</v>
      </c>
      <c r="I161" s="31">
        <f>IF(ISBLANK(Data1!BN292),NA(),Data1!BN292)</f>
        <v>66.790000000000006</v>
      </c>
      <c r="J161" s="28">
        <f>IFERROR(Data1!BM292/Data1!BM288-1,NA())</f>
        <v>1.7643835616438341E-2</v>
      </c>
      <c r="K161" s="28">
        <f>IFERROR(IF(OR(ISBLANK(Data1!BN292),ISBLANK(Data1!BN288)),NA(),Data1!BN292/Data1!BN288-1),NA())</f>
        <v>3.2143409055787497E-2</v>
      </c>
      <c r="L161" s="28">
        <f>IFERROR(Data1!B292/Data1!B288-1,NA())</f>
        <v>1.7593424939000846E-2</v>
      </c>
      <c r="V161" s="30">
        <f>F161</f>
        <v>43435</v>
      </c>
      <c r="W161" s="28">
        <f>J161</f>
        <v>1.7643835616438341E-2</v>
      </c>
      <c r="X161" s="28">
        <f>K161</f>
        <v>3.2143409055787497E-2</v>
      </c>
      <c r="Y161" s="28">
        <f>L161</f>
        <v>1.7593424939000846E-2</v>
      </c>
    </row>
    <row r="162" spans="6:25" x14ac:dyDescent="0.25">
      <c r="F162" s="30">
        <f>Data1!A293</f>
        <v>43525</v>
      </c>
      <c r="G162" s="31">
        <f>Data1!B293</f>
        <v>79.23</v>
      </c>
      <c r="H162" s="31">
        <f>Data1!BM293</f>
        <v>92.36</v>
      </c>
      <c r="I162" s="31">
        <f>IF(ISBLANK(Data1!BN293),NA(),Data1!BN293)</f>
        <v>67.38</v>
      </c>
      <c r="J162" s="28">
        <f>IFERROR(Data1!BM293/Data1!BM289-1,NA())</f>
        <v>-5.8127018299247712E-3</v>
      </c>
      <c r="K162" s="28">
        <f>IFERROR(IF(OR(ISBLANK(Data1!BN293),ISBLANK(Data1!BN289)),NA(),Data1!BN293/Data1!BN289-1),NA())</f>
        <v>-1.7354528219337917E-2</v>
      </c>
      <c r="L162" s="28">
        <f>IFERROR(Data1!B293/Data1!B289-1,NA())</f>
        <v>1.3041810510165064E-2</v>
      </c>
      <c r="V162" s="30">
        <f>F162</f>
        <v>43525</v>
      </c>
      <c r="W162" s="28">
        <f>J162</f>
        <v>-5.8127018299247712E-3</v>
      </c>
      <c r="X162" s="28">
        <f>K162</f>
        <v>-1.7354528219337917E-2</v>
      </c>
      <c r="Y162" s="28">
        <f>L162</f>
        <v>1.3041810510165064E-2</v>
      </c>
    </row>
    <row r="163" spans="6:25" x14ac:dyDescent="0.25">
      <c r="F163" s="30">
        <f>Data1!A294</f>
        <v>43617</v>
      </c>
      <c r="G163" s="31">
        <f>Data1!B294</f>
        <v>79.7</v>
      </c>
      <c r="H163" s="31">
        <f>Data1!BM294</f>
        <v>90.81</v>
      </c>
      <c r="I163" s="31">
        <f>IF(ISBLANK(Data1!BN294),NA(),Data1!BN294)</f>
        <v>67.02</v>
      </c>
      <c r="J163" s="28">
        <f>IFERROR(Data1!BM294/Data1!BM290-1,NA())</f>
        <v>-9.5975569854945819E-3</v>
      </c>
      <c r="K163" s="28">
        <f>IFERROR(IF(OR(ISBLANK(Data1!BN294),ISBLANK(Data1!BN290)),NA(),Data1!BN294/Data1!BN290-1),NA())</f>
        <v>-4.4742729306490592E-4</v>
      </c>
      <c r="L163" s="28">
        <f>IFERROR(Data1!B294/Data1!B290-1,NA())</f>
        <v>1.5415976557523248E-2</v>
      </c>
      <c r="V163" s="30">
        <f>F163</f>
        <v>43617</v>
      </c>
      <c r="W163" s="28">
        <f>J163</f>
        <v>-9.5975569854945819E-3</v>
      </c>
      <c r="X163" s="28">
        <f>K163</f>
        <v>-4.4742729306490592E-4</v>
      </c>
      <c r="Y163" s="28">
        <f>L163</f>
        <v>1.5415976557523248E-2</v>
      </c>
    </row>
    <row r="164" spans="6:25" x14ac:dyDescent="0.25">
      <c r="F164" s="30">
        <f>Data1!A295</f>
        <v>43709</v>
      </c>
      <c r="G164" s="31">
        <f>Data1!B295</f>
        <v>80.150000000000006</v>
      </c>
      <c r="H164" s="31">
        <f>Data1!BM295</f>
        <v>90.17</v>
      </c>
      <c r="I164" s="31">
        <f>IF(ISBLANK(Data1!BN295),NA(),Data1!BN295)</f>
        <v>69.03</v>
      </c>
      <c r="J164" s="28">
        <f>IFERROR(Data1!BM295/Data1!BM291-1,NA())</f>
        <v>-2.1274286334527215E-2</v>
      </c>
      <c r="K164" s="28">
        <f>IFERROR(IF(OR(ISBLANK(Data1!BN295),ISBLANK(Data1!BN291)),NA(),Data1!BN295/Data1!BN291-1),NA())</f>
        <v>1.8442018294482221E-2</v>
      </c>
      <c r="L164" s="28">
        <f>IFERROR(Data1!B295/Data1!B291-1,NA())</f>
        <v>1.674489407585944E-2</v>
      </c>
      <c r="V164" s="30">
        <f>F164</f>
        <v>43709</v>
      </c>
      <c r="W164" s="28">
        <f>J164</f>
        <v>-2.1274286334527215E-2</v>
      </c>
      <c r="X164" s="28">
        <f>K164</f>
        <v>1.8442018294482221E-2</v>
      </c>
      <c r="Y164" s="28">
        <f>L164</f>
        <v>1.674489407585944E-2</v>
      </c>
    </row>
    <row r="165" spans="6:25" x14ac:dyDescent="0.25">
      <c r="F165" s="30">
        <f>Data1!A296</f>
        <v>43800</v>
      </c>
      <c r="G165" s="31">
        <f>Data1!B296</f>
        <v>80.7</v>
      </c>
      <c r="H165" s="31">
        <f>Data1!BM296</f>
        <v>89.63</v>
      </c>
      <c r="I165" s="31">
        <f>IF(ISBLANK(Data1!BN296),NA(),Data1!BN296)</f>
        <v>67.73</v>
      </c>
      <c r="J165" s="28">
        <f>IFERROR(Data1!BM296/Data1!BM292-1,NA())</f>
        <v>-3.4783545121688575E-2</v>
      </c>
      <c r="K165" s="28">
        <f>IFERROR(IF(OR(ISBLANK(Data1!BN296),ISBLANK(Data1!BN292)),NA(),Data1!BN296/Data1!BN292-1),NA())</f>
        <v>1.4073963168138803E-2</v>
      </c>
      <c r="L165" s="28">
        <f>IFERROR(Data1!B296/Data1!B292-1,NA())</f>
        <v>1.8425037859666871E-2</v>
      </c>
      <c r="V165" s="30">
        <f>F165</f>
        <v>43800</v>
      </c>
      <c r="W165" s="28">
        <f>J165</f>
        <v>-3.4783545121688575E-2</v>
      </c>
      <c r="X165" s="28">
        <f>K165</f>
        <v>1.4073963168138803E-2</v>
      </c>
      <c r="Y165" s="28">
        <f>L165</f>
        <v>1.8425037859666871E-2</v>
      </c>
    </row>
    <row r="166" spans="6:25" x14ac:dyDescent="0.25">
      <c r="F166" s="30">
        <f>Data1!A297</f>
        <v>43891</v>
      </c>
      <c r="G166" s="31">
        <f>Data1!B297</f>
        <v>81</v>
      </c>
      <c r="H166" s="31">
        <f>Data1!BM297</f>
        <v>90.79</v>
      </c>
      <c r="I166" s="31">
        <f>IF(ISBLANK(Data1!BN297),NA(),Data1!BN297)</f>
        <v>67.95</v>
      </c>
      <c r="J166" s="28">
        <f>IFERROR(Data1!BM297/Data1!BM293-1,NA())</f>
        <v>-1.6998700736249428E-2</v>
      </c>
      <c r="K166" s="28">
        <f>IFERROR(IF(OR(ISBLANK(Data1!BN297),ISBLANK(Data1!BN293)),NA(),Data1!BN297/Data1!BN293-1),NA())</f>
        <v>8.4594835262690182E-3</v>
      </c>
      <c r="L166" s="28">
        <f>IFERROR(Data1!B297/Data1!B293-1,NA())</f>
        <v>2.2340022718667196E-2</v>
      </c>
      <c r="V166" s="30">
        <f>F166</f>
        <v>43891</v>
      </c>
      <c r="W166" s="28">
        <f>J166</f>
        <v>-1.6998700736249428E-2</v>
      </c>
      <c r="X166" s="28">
        <f>K166</f>
        <v>8.4594835262690182E-3</v>
      </c>
      <c r="Y166" s="28">
        <f>L166</f>
        <v>2.2340022718667196E-2</v>
      </c>
    </row>
    <row r="167" spans="6:25" x14ac:dyDescent="0.25">
      <c r="F167" s="30">
        <f>Data1!A298</f>
        <v>43983</v>
      </c>
      <c r="G167" s="31">
        <f>Data1!B298</f>
        <v>79.44</v>
      </c>
      <c r="H167" s="31">
        <f>Data1!BM298</f>
        <v>88.56</v>
      </c>
      <c r="I167" s="31">
        <f>IF(ISBLANK(Data1!BN298),NA(),Data1!BN298)</f>
        <v>67.37</v>
      </c>
      <c r="J167" s="28">
        <f>IFERROR(Data1!BM298/Data1!BM294-1,NA())</f>
        <v>-2.4777006937561907E-2</v>
      </c>
      <c r="K167" s="28">
        <f>IFERROR(IF(OR(ISBLANK(Data1!BN298),ISBLANK(Data1!BN294)),NA(),Data1!BN298/Data1!BN294-1),NA())</f>
        <v>5.222321695016463E-3</v>
      </c>
      <c r="L167" s="28">
        <f>IFERROR(Data1!B298/Data1!B294-1,NA())</f>
        <v>-3.2622333751568533E-3</v>
      </c>
      <c r="V167" s="30">
        <f>F167</f>
        <v>43983</v>
      </c>
      <c r="W167" s="28">
        <f>J167</f>
        <v>-2.4777006937561907E-2</v>
      </c>
      <c r="X167" s="28">
        <f>K167</f>
        <v>5.222321695016463E-3</v>
      </c>
      <c r="Y167" s="28">
        <f>L167</f>
        <v>-3.2622333751568533E-3</v>
      </c>
    </row>
    <row r="168" spans="6:25" x14ac:dyDescent="0.25">
      <c r="F168" s="30">
        <f>Data1!A299</f>
        <v>44075</v>
      </c>
      <c r="G168" s="31">
        <f>Data1!B299</f>
        <v>80.67</v>
      </c>
      <c r="H168" s="31">
        <f>Data1!BM299</f>
        <v>87.97</v>
      </c>
      <c r="I168" s="31">
        <f>IF(ISBLANK(Data1!BN299),NA(),Data1!BN299)</f>
        <v>66.92</v>
      </c>
      <c r="J168" s="28">
        <f>IFERROR(Data1!BM299/Data1!BM295-1,NA())</f>
        <v>-2.4398358655872254E-2</v>
      </c>
      <c r="K168" s="28">
        <f>IFERROR(IF(OR(ISBLANK(Data1!BN299),ISBLANK(Data1!BN295)),NA(),Data1!BN299/Data1!BN295-1),NA())</f>
        <v>-3.0566420396928917E-2</v>
      </c>
      <c r="L168" s="28">
        <f>IFERROR(Data1!B299/Data1!B295-1,NA())</f>
        <v>6.4878353087960416E-3</v>
      </c>
      <c r="V168" s="30">
        <f>F168</f>
        <v>44075</v>
      </c>
      <c r="W168" s="28">
        <f>J168</f>
        <v>-2.4398358655872254E-2</v>
      </c>
      <c r="X168" s="28">
        <f>K168</f>
        <v>-3.0566420396928917E-2</v>
      </c>
      <c r="Y168" s="28">
        <f>L168</f>
        <v>6.4878353087960416E-3</v>
      </c>
    </row>
    <row r="169" spans="6:25" x14ac:dyDescent="0.25">
      <c r="F169" s="30">
        <f>Data1!A300</f>
        <v>44166</v>
      </c>
      <c r="G169" s="31">
        <f>Data1!B300</f>
        <v>81.400000000000006</v>
      </c>
      <c r="H169" s="31">
        <f>Data1!BM300</f>
        <v>81.349999999999994</v>
      </c>
      <c r="I169" s="31">
        <f>IF(ISBLANK(Data1!BN300),NA(),Data1!BN300)</f>
        <v>65.98</v>
      </c>
      <c r="J169" s="28">
        <f>IFERROR(Data1!BM300/Data1!BM296-1,NA())</f>
        <v>-9.2379783554613404E-2</v>
      </c>
      <c r="K169" s="28">
        <f>IFERROR(IF(OR(ISBLANK(Data1!BN300),ISBLANK(Data1!BN296)),NA(),Data1!BN300/Data1!BN296-1),NA())</f>
        <v>-2.5837885722722609E-2</v>
      </c>
      <c r="L169" s="28">
        <f>IFERROR(Data1!B300/Data1!B296-1,NA())</f>
        <v>8.6741016109046498E-3</v>
      </c>
      <c r="V169" s="30">
        <f>F169</f>
        <v>44166</v>
      </c>
      <c r="W169" s="28">
        <f>J169</f>
        <v>-9.2379783554613404E-2</v>
      </c>
      <c r="X169" s="28">
        <f>K169</f>
        <v>-2.5837885722722609E-2</v>
      </c>
      <c r="Y169" s="28">
        <f>L169</f>
        <v>8.6741016109046498E-3</v>
      </c>
    </row>
    <row r="170" spans="6:25" x14ac:dyDescent="0.25">
      <c r="F170" s="30">
        <f>Data1!A301</f>
        <v>44256</v>
      </c>
      <c r="G170" s="31">
        <f>Data1!B301</f>
        <v>81.87</v>
      </c>
      <c r="H170" s="31">
        <f>Data1!BM301</f>
        <v>80.62</v>
      </c>
      <c r="I170" s="31">
        <f>IF(ISBLANK(Data1!BN301),NA(),Data1!BN301)</f>
        <v>67.03</v>
      </c>
      <c r="J170" s="28">
        <f>IFERROR(Data1!BM301/Data1!BM297-1,NA())</f>
        <v>-0.11201674193193079</v>
      </c>
      <c r="K170" s="28">
        <f>IFERROR(IF(OR(ISBLANK(Data1!BN301),ISBLANK(Data1!BN297)),NA(),Data1!BN301/Data1!BN297-1),NA())</f>
        <v>-1.3539367181751305E-2</v>
      </c>
      <c r="L170" s="28">
        <f>IFERROR(Data1!B301/Data1!B297-1,NA())</f>
        <v>1.0740740740740717E-2</v>
      </c>
      <c r="V170" s="30">
        <f>F170</f>
        <v>44256</v>
      </c>
      <c r="W170" s="28">
        <f>J170</f>
        <v>-0.11201674193193079</v>
      </c>
      <c r="X170" s="28">
        <f>K170</f>
        <v>-1.3539367181751305E-2</v>
      </c>
      <c r="Y170" s="28">
        <f>L170</f>
        <v>1.0740740740740717E-2</v>
      </c>
    </row>
    <row r="171" spans="6:25" x14ac:dyDescent="0.25">
      <c r="F171" s="30">
        <f>Data1!A302</f>
        <v>44348</v>
      </c>
      <c r="G171" s="31">
        <f>Data1!B302</f>
        <v>82.47</v>
      </c>
      <c r="H171" s="31">
        <f>Data1!BM302</f>
        <v>83.3</v>
      </c>
      <c r="I171" s="31">
        <f>IF(ISBLANK(Data1!BN302),NA(),Data1!BN302)</f>
        <v>66.8</v>
      </c>
      <c r="J171" s="28">
        <f>IFERROR(Data1!BM302/Data1!BM298-1,NA())</f>
        <v>-5.9394760614272846E-2</v>
      </c>
      <c r="K171" s="28">
        <f>IFERROR(IF(OR(ISBLANK(Data1!BN302),ISBLANK(Data1!BN298)),NA(),Data1!BN302/Data1!BN298-1),NA())</f>
        <v>-8.4607392014250937E-3</v>
      </c>
      <c r="L171" s="28">
        <f>IFERROR(Data1!B302/Data1!B298-1,NA())</f>
        <v>3.8141993957703901E-2</v>
      </c>
      <c r="V171" s="30">
        <f>F171</f>
        <v>44348</v>
      </c>
      <c r="W171" s="28">
        <f>J171</f>
        <v>-5.9394760614272846E-2</v>
      </c>
      <c r="X171" s="28">
        <f>K171</f>
        <v>-8.4607392014250937E-3</v>
      </c>
      <c r="Y171" s="28">
        <f>L171</f>
        <v>3.8141993957703901E-2</v>
      </c>
    </row>
    <row r="172" spans="6:25" x14ac:dyDescent="0.25">
      <c r="F172" s="30">
        <f>Data1!A303</f>
        <v>44440</v>
      </c>
      <c r="G172" s="31">
        <f>Data1!B303</f>
        <v>83.17</v>
      </c>
      <c r="H172" s="31">
        <f>Data1!BM303</f>
        <v>83.45</v>
      </c>
      <c r="I172" s="31">
        <f>IF(ISBLANK(Data1!BN303),NA(),Data1!BN303)</f>
        <v>67.58</v>
      </c>
      <c r="J172" s="28">
        <f>IFERROR(Data1!BM303/Data1!BM299-1,NA())</f>
        <v>-5.138115266568144E-2</v>
      </c>
      <c r="K172" s="28">
        <f>IFERROR(IF(OR(ISBLANK(Data1!BN303),ISBLANK(Data1!BN299)),NA(),Data1!BN303/Data1!BN299-1),NA())</f>
        <v>9.8625224148236601E-3</v>
      </c>
      <c r="L172" s="28">
        <f>IFERROR(Data1!B303/Data1!B299-1,NA())</f>
        <v>3.0990454939878509E-2</v>
      </c>
      <c r="V172" s="30">
        <f>F172</f>
        <v>44440</v>
      </c>
      <c r="W172" s="28">
        <f>J172</f>
        <v>-5.138115266568144E-2</v>
      </c>
      <c r="X172" s="28">
        <f>K172</f>
        <v>9.8625224148236601E-3</v>
      </c>
      <c r="Y172" s="28">
        <f>L172</f>
        <v>3.0990454939878509E-2</v>
      </c>
    </row>
    <row r="173" spans="6:25" x14ac:dyDescent="0.25">
      <c r="F173" s="30">
        <f>Data1!A304</f>
        <v>44531</v>
      </c>
      <c r="G173" s="31">
        <f>Data1!B304</f>
        <v>84.23</v>
      </c>
      <c r="H173" s="31">
        <f>Data1!BM304</f>
        <v>83.78</v>
      </c>
      <c r="I173" s="31">
        <f>IF(ISBLANK(Data1!BN304),NA(),Data1!BN304)</f>
        <v>67.69</v>
      </c>
      <c r="J173" s="28">
        <f>IFERROR(Data1!BM304/Data1!BM300-1,NA())</f>
        <v>2.9870928088506554E-2</v>
      </c>
      <c r="K173" s="28">
        <f>IFERROR(IF(OR(ISBLANK(Data1!BN304),ISBLANK(Data1!BN300)),NA(),Data1!BN304/Data1!BN300-1),NA())</f>
        <v>2.5916944528644903E-2</v>
      </c>
      <c r="L173" s="28">
        <f>IFERROR(Data1!B304/Data1!B300-1,NA())</f>
        <v>3.4766584766584785E-2</v>
      </c>
      <c r="V173" s="30">
        <f>F173</f>
        <v>44531</v>
      </c>
      <c r="W173" s="28">
        <f>J173</f>
        <v>2.9870928088506554E-2</v>
      </c>
      <c r="X173" s="28">
        <f>K173</f>
        <v>2.5916944528644903E-2</v>
      </c>
      <c r="Y173" s="28">
        <f>L173</f>
        <v>3.4766584766584785E-2</v>
      </c>
    </row>
    <row r="174" spans="6:25" x14ac:dyDescent="0.25">
      <c r="F174" s="30">
        <f>Data1!A305</f>
        <v>44621</v>
      </c>
      <c r="G174" s="31">
        <f>Data1!B305</f>
        <v>86.05</v>
      </c>
      <c r="H174" s="31">
        <f>Data1!BM305</f>
        <v>83.45</v>
      </c>
      <c r="I174" s="31">
        <f>IF(ISBLANK(Data1!BN305),NA(),Data1!BN305)</f>
        <v>71.959999999999994</v>
      </c>
      <c r="J174" s="28">
        <f>IFERROR(Data1!BM305/Data1!BM301-1,NA())</f>
        <v>3.5102952121061737E-2</v>
      </c>
      <c r="K174" s="28">
        <f>IFERROR(IF(OR(ISBLANK(Data1!BN305),ISBLANK(Data1!BN301)),NA(),Data1!BN305/Data1!BN301-1),NA())</f>
        <v>7.3549157093838469E-2</v>
      </c>
      <c r="L174" s="28">
        <f>IFERROR(Data1!B305/Data1!B301-1,NA())</f>
        <v>5.1056553071943123E-2</v>
      </c>
      <c r="V174" s="30">
        <f>F174</f>
        <v>44621</v>
      </c>
      <c r="W174" s="28">
        <f>J174</f>
        <v>3.5102952121061737E-2</v>
      </c>
      <c r="X174" s="28">
        <f>K174</f>
        <v>7.3549157093838469E-2</v>
      </c>
      <c r="Y174" s="28">
        <f>L174</f>
        <v>5.1056553071943123E-2</v>
      </c>
    </row>
    <row r="175" spans="6:25" x14ac:dyDescent="0.25">
      <c r="F175" s="30">
        <f>Data1!A306</f>
        <v>44713</v>
      </c>
      <c r="G175" s="31">
        <f>Data1!B306</f>
        <v>87.59</v>
      </c>
      <c r="H175" s="31">
        <f>Data1!BM306</f>
        <v>83.45</v>
      </c>
      <c r="I175" s="31">
        <f>IF(ISBLANK(Data1!BN306),NA(),Data1!BN306)</f>
        <v>71.11</v>
      </c>
      <c r="J175" s="28">
        <f>IFERROR(Data1!BM306/Data1!BM302-1,NA())</f>
        <v>1.8007202881153983E-3</v>
      </c>
      <c r="K175" s="28">
        <f>IFERROR(IF(OR(ISBLANK(Data1!BN306),ISBLANK(Data1!BN302)),NA(),Data1!BN306/Data1!BN302-1),NA())</f>
        <v>6.4520958083832403E-2</v>
      </c>
      <c r="L175" s="28">
        <f>IFERROR(Data1!B306/Data1!B302-1,NA())</f>
        <v>6.2083181763065376E-2</v>
      </c>
      <c r="V175" s="30">
        <f>F175</f>
        <v>44713</v>
      </c>
      <c r="W175" s="28">
        <f>J175</f>
        <v>1.8007202881153983E-3</v>
      </c>
      <c r="X175" s="28">
        <f>K175</f>
        <v>6.4520958083832403E-2</v>
      </c>
      <c r="Y175" s="28">
        <f>L175</f>
        <v>6.2083181763065376E-2</v>
      </c>
    </row>
    <row r="176" spans="6:25" x14ac:dyDescent="0.25">
      <c r="F176" s="30">
        <f>Data1!A307</f>
        <v>44805</v>
      </c>
      <c r="G176" s="31">
        <f>Data1!B307</f>
        <v>89.2</v>
      </c>
      <c r="H176" s="31">
        <f>Data1!BM307</f>
        <v>86.1</v>
      </c>
      <c r="I176" s="31">
        <f>IF(ISBLANK(Data1!BN307),NA(),Data1!BN307)</f>
        <v>78.81</v>
      </c>
      <c r="J176" s="28">
        <f>IFERROR(Data1!BM307/Data1!BM303-1,NA())</f>
        <v>3.1755542240862633E-2</v>
      </c>
      <c r="K176" s="28">
        <f>IFERROR(IF(OR(ISBLANK(Data1!BN307),ISBLANK(Data1!BN303)),NA(),Data1!BN307/Data1!BN303-1),NA())</f>
        <v>0.16617342408996749</v>
      </c>
      <c r="L176" s="28">
        <f>IFERROR(Data1!B307/Data1!B303-1,NA())</f>
        <v>7.25021041240832E-2</v>
      </c>
      <c r="V176" s="30">
        <f>F176</f>
        <v>44805</v>
      </c>
      <c r="W176" s="28">
        <f>J176</f>
        <v>3.1755542240862633E-2</v>
      </c>
      <c r="X176" s="28">
        <f>K176</f>
        <v>0.16617342408996749</v>
      </c>
      <c r="Y176" s="28">
        <f>L176</f>
        <v>7.25021041240832E-2</v>
      </c>
    </row>
    <row r="177" spans="6:25" x14ac:dyDescent="0.25">
      <c r="F177" s="30">
        <f>Data1!A308</f>
        <v>44896</v>
      </c>
      <c r="G177" s="31">
        <f>Data1!B308</f>
        <v>90.85</v>
      </c>
      <c r="H177" s="31">
        <f>Data1!BM308</f>
        <v>93.55</v>
      </c>
      <c r="I177" s="31">
        <f>IF(ISBLANK(Data1!BN308),NA(),Data1!BN308)</f>
        <v>79.45</v>
      </c>
      <c r="J177" s="28">
        <f>IFERROR(Data1!BM308/Data1!BM304-1,NA())</f>
        <v>0.11661494390069227</v>
      </c>
      <c r="K177" s="28">
        <f>IFERROR(IF(OR(ISBLANK(Data1!BN308),ISBLANK(Data1!BN304)),NA(),Data1!BN308/Data1!BN304-1),NA())</f>
        <v>0.17373319544984489</v>
      </c>
      <c r="L177" s="28">
        <f>IFERROR(Data1!B308/Data1!B304-1,NA())</f>
        <v>7.8594325062329329E-2</v>
      </c>
      <c r="V177" s="30">
        <f>F177</f>
        <v>44896</v>
      </c>
      <c r="W177" s="28">
        <f>J177</f>
        <v>0.11661494390069227</v>
      </c>
      <c r="X177" s="28">
        <f>K177</f>
        <v>0.17373319544984489</v>
      </c>
      <c r="Y177" s="28">
        <f>L177</f>
        <v>7.8594325062329329E-2</v>
      </c>
    </row>
    <row r="178" spans="6:25" x14ac:dyDescent="0.25">
      <c r="F178" s="30">
        <f>Data1!A309</f>
        <v>44986</v>
      </c>
      <c r="G178" s="31">
        <f>Data1!B309</f>
        <v>92.08</v>
      </c>
      <c r="H178" s="31">
        <f>Data1!BM309</f>
        <v>96.4</v>
      </c>
      <c r="I178" s="31">
        <f>IF(ISBLANK(Data1!BN309),NA(),Data1!BN309)</f>
        <v>90.83</v>
      </c>
      <c r="J178" s="28">
        <f>IFERROR(Data1!BM309/Data1!BM305-1,NA())</f>
        <v>0.15518274415817856</v>
      </c>
      <c r="K178" s="28">
        <f>IFERROR(IF(OR(ISBLANK(Data1!BN309),ISBLANK(Data1!BN305)),NA(),Data1!BN309/Data1!BN305-1),NA())</f>
        <v>0.26222901612006688</v>
      </c>
      <c r="L178" s="28">
        <f>IFERROR(Data1!B309/Data1!B305-1,NA())</f>
        <v>7.007553747821027E-2</v>
      </c>
      <c r="V178" s="30">
        <f>F178</f>
        <v>44986</v>
      </c>
      <c r="W178" s="28">
        <f>J178</f>
        <v>0.15518274415817856</v>
      </c>
      <c r="X178" s="28">
        <f>K178</f>
        <v>0.26222901612006688</v>
      </c>
      <c r="Y178" s="28">
        <f>L178</f>
        <v>7.007553747821027E-2</v>
      </c>
    </row>
    <row r="179" spans="6:25" x14ac:dyDescent="0.25">
      <c r="F179" s="30">
        <f>Data1!A310</f>
        <v>45078</v>
      </c>
      <c r="G179" s="31">
        <f>Data1!B310</f>
        <v>92.87</v>
      </c>
      <c r="H179" s="31">
        <f>Data1!BM310</f>
        <v>94.62</v>
      </c>
      <c r="I179" s="31">
        <f>IF(ISBLANK(Data1!BN310),NA(),Data1!BN310)</f>
        <v>89.73</v>
      </c>
      <c r="J179" s="28">
        <f>IFERROR(Data1!BM310/Data1!BM306-1,NA())</f>
        <v>0.13385260635110852</v>
      </c>
      <c r="K179" s="28">
        <f>IFERROR(IF(OR(ISBLANK(Data1!BN310),ISBLANK(Data1!BN306)),NA(),Data1!BN310/Data1!BN306-1),NA())</f>
        <v>0.26184784137252159</v>
      </c>
      <c r="L179" s="28">
        <f>IFERROR(Data1!B310/Data1!B306-1,NA())</f>
        <v>6.0280853978764704E-2</v>
      </c>
      <c r="V179" s="30">
        <f>F179</f>
        <v>45078</v>
      </c>
      <c r="W179" s="28">
        <f>J179</f>
        <v>0.13385260635110852</v>
      </c>
      <c r="X179" s="28">
        <f>K179</f>
        <v>0.26184784137252159</v>
      </c>
      <c r="Y179" s="28">
        <f>L179</f>
        <v>6.0280853978764704E-2</v>
      </c>
    </row>
    <row r="180" spans="6:25" x14ac:dyDescent="0.25">
      <c r="F180" s="30">
        <f>Data1!A311</f>
        <v>45170</v>
      </c>
      <c r="G180" s="31">
        <f>Data1!B311</f>
        <v>93.94</v>
      </c>
      <c r="H180" s="31">
        <f>Data1!BM311</f>
        <v>98.57</v>
      </c>
      <c r="I180" s="31">
        <f>IF(ISBLANK(Data1!BN311),NA(),Data1!BN311)</f>
        <v>90.97</v>
      </c>
      <c r="J180" s="28">
        <f>IFERROR(Data1!BM311/Data1!BM307-1,NA())</f>
        <v>0.14483159117305466</v>
      </c>
      <c r="K180" s="28">
        <f>IFERROR(IF(OR(ISBLANK(Data1!BN311),ISBLANK(Data1!BN307)),NA(),Data1!BN311/Data1!BN307-1),NA())</f>
        <v>0.15429514021063317</v>
      </c>
      <c r="L180" s="28">
        <f>IFERROR(Data1!B311/Data1!B307-1,NA())</f>
        <v>5.3139013452914829E-2</v>
      </c>
      <c r="V180" s="30">
        <f>F180</f>
        <v>45170</v>
      </c>
      <c r="W180" s="28">
        <f>J180</f>
        <v>0.14483159117305466</v>
      </c>
      <c r="X180" s="28">
        <f>K180</f>
        <v>0.15429514021063317</v>
      </c>
      <c r="Y180" s="28">
        <f>L180</f>
        <v>5.3139013452914829E-2</v>
      </c>
    </row>
    <row r="181" spans="6:25" x14ac:dyDescent="0.25">
      <c r="F181" s="30">
        <f>Data1!A312</f>
        <v>45261</v>
      </c>
      <c r="G181" s="31">
        <f>Data1!B312</f>
        <v>94.53</v>
      </c>
      <c r="H181" s="31">
        <f>Data1!BM312</f>
        <v>99.98</v>
      </c>
      <c r="I181" s="31">
        <f>IF(ISBLANK(Data1!BN312),NA(),Data1!BN312)</f>
        <v>90.1</v>
      </c>
      <c r="J181" s="28">
        <f>IFERROR(Data1!BM312/Data1!BM308-1,NA())</f>
        <v>6.873329770176384E-2</v>
      </c>
      <c r="K181" s="28">
        <f>IFERROR(IF(OR(ISBLANK(Data1!BN312),ISBLANK(Data1!BN308)),NA(),Data1!BN312/Data1!BN308-1),NA())</f>
        <v>0.13404657016991806</v>
      </c>
      <c r="L181" s="28">
        <f>IFERROR(Data1!B312/Data1!B308-1,NA())</f>
        <v>4.0506329113924044E-2</v>
      </c>
      <c r="V181" s="30">
        <f>F181</f>
        <v>45261</v>
      </c>
      <c r="W181" s="28">
        <f>J181</f>
        <v>6.873329770176384E-2</v>
      </c>
      <c r="X181" s="28">
        <f>K181</f>
        <v>0.13404657016991806</v>
      </c>
      <c r="Y181" s="28">
        <f>L181</f>
        <v>4.0506329113924044E-2</v>
      </c>
    </row>
    <row r="182" spans="6:25" x14ac:dyDescent="0.25">
      <c r="F182" s="30">
        <f>Data1!A313</f>
        <v>45352</v>
      </c>
      <c r="G182" s="31">
        <f>Data1!B313</f>
        <v>95.41</v>
      </c>
      <c r="H182" s="31">
        <f>Data1!BM313</f>
        <v>98.26</v>
      </c>
      <c r="I182" s="31">
        <f>IF(ISBLANK(Data1!BN313),NA(),Data1!BN313)</f>
        <v>88.73</v>
      </c>
      <c r="J182" s="28">
        <f>IFERROR(Data1!BM313/Data1!BM309-1,NA())</f>
        <v>1.9294605809128562E-2</v>
      </c>
      <c r="K182" s="28">
        <f>IFERROR(IF(OR(ISBLANK(Data1!BN313),ISBLANK(Data1!BN309)),NA(),Data1!BN313/Data1!BN309-1),NA())</f>
        <v>-2.3120114499614597E-2</v>
      </c>
      <c r="L182" s="28">
        <f>IFERROR(Data1!B313/Data1!B309-1,NA())</f>
        <v>3.6164205039096453E-2</v>
      </c>
      <c r="V182" s="30">
        <f>F182</f>
        <v>45352</v>
      </c>
      <c r="W182" s="28">
        <f>J182</f>
        <v>1.9294605809128562E-2</v>
      </c>
      <c r="X182" s="28">
        <f>K182</f>
        <v>-2.3120114499614597E-2</v>
      </c>
      <c r="Y182" s="28">
        <f>L182</f>
        <v>3.6164205039096453E-2</v>
      </c>
    </row>
    <row r="183" spans="6:25" x14ac:dyDescent="0.25">
      <c r="F183" s="30">
        <f>Data1!A314</f>
        <v>45444</v>
      </c>
      <c r="G183" s="31">
        <f>Data1!B314</f>
        <v>96.41</v>
      </c>
      <c r="H183" s="31">
        <f>Data1!BM314</f>
        <v>100.32</v>
      </c>
      <c r="I183" s="31">
        <f>IF(ISBLANK(Data1!BN314),NA(),Data1!BN314)</f>
        <v>87.28</v>
      </c>
      <c r="J183" s="28">
        <f>IFERROR(Data1!BM314/Data1!BM310-1,NA())</f>
        <v>6.0240963855421548E-2</v>
      </c>
      <c r="K183" s="28">
        <f>IFERROR(IF(OR(ISBLANK(Data1!BN314),ISBLANK(Data1!BN310)),NA(),Data1!BN314/Data1!BN310-1),NA())</f>
        <v>-2.7304134626100596E-2</v>
      </c>
      <c r="L183" s="28">
        <f>IFERROR(Data1!B314/Data1!B310-1,NA())</f>
        <v>3.8117799073974279E-2</v>
      </c>
      <c r="V183" s="30">
        <f>F183</f>
        <v>45444</v>
      </c>
      <c r="W183" s="28">
        <f>J183</f>
        <v>6.0240963855421548E-2</v>
      </c>
      <c r="X183" s="28">
        <f>K183</f>
        <v>-2.7304134626100596E-2</v>
      </c>
      <c r="Y183" s="28">
        <f>L183</f>
        <v>3.8117799073974279E-2</v>
      </c>
    </row>
    <row r="184" spans="6:25" x14ac:dyDescent="0.25">
      <c r="F184" s="30">
        <f>Data1!A315</f>
        <v>45536</v>
      </c>
      <c r="G184" s="31">
        <f>Data1!B315</f>
        <v>96.62</v>
      </c>
      <c r="H184" s="31">
        <f>Data1!BM315</f>
        <v>83.01</v>
      </c>
      <c r="I184" s="31">
        <f>IF(ISBLANK(Data1!BN315),NA(),Data1!BN315)</f>
        <v>93.65</v>
      </c>
      <c r="J184" s="28">
        <f>IFERROR(Data1!BM315/Data1!BM311-1,NA())</f>
        <v>-0.15785736025159769</v>
      </c>
      <c r="K184" s="28">
        <f>IFERROR(IF(OR(ISBLANK(Data1!BN315),ISBLANK(Data1!BN311)),NA(),Data1!BN315/Data1!BN311-1),NA())</f>
        <v>2.9460261624711492E-2</v>
      </c>
      <c r="L184" s="28">
        <f>IFERROR(Data1!B315/Data1!B311-1,NA())</f>
        <v>2.852884820097934E-2</v>
      </c>
      <c r="V184" s="30">
        <f>F184</f>
        <v>45536</v>
      </c>
      <c r="W184" s="28">
        <f>J184</f>
        <v>-0.15785736025159769</v>
      </c>
      <c r="X184" s="28">
        <f>K184</f>
        <v>2.9460261624711492E-2</v>
      </c>
      <c r="Y184" s="28">
        <f>L184</f>
        <v>2.852884820097934E-2</v>
      </c>
    </row>
    <row r="185" spans="6:25" x14ac:dyDescent="0.25">
      <c r="F185" s="30">
        <f>Data1!A316</f>
        <v>45627</v>
      </c>
      <c r="G185" s="31">
        <f>Data1!B316</f>
        <v>96.81</v>
      </c>
      <c r="H185" s="31">
        <f>Data1!BM316</f>
        <v>74.760000000000005</v>
      </c>
      <c r="I185" s="31">
        <f>IF(ISBLANK(Data1!BN316),NA(),Data1!BN316)</f>
        <v>94.2</v>
      </c>
      <c r="J185" s="28">
        <f>IFERROR(Data1!BM316/Data1!BM312-1,NA())</f>
        <v>-0.25225045009001801</v>
      </c>
      <c r="K185" s="28">
        <f>IFERROR(IF(OR(ISBLANK(Data1!BN316),ISBLANK(Data1!BN312)),NA(),Data1!BN316/Data1!BN312-1),NA())</f>
        <v>4.5504994450610514E-2</v>
      </c>
      <c r="L185" s="28">
        <f>IFERROR(Data1!B316/Data1!B312-1,NA())</f>
        <v>2.4119327197714924E-2</v>
      </c>
      <c r="V185" s="30">
        <f>F185</f>
        <v>45627</v>
      </c>
      <c r="W185" s="28">
        <f>J185</f>
        <v>-0.25225045009001801</v>
      </c>
      <c r="X185" s="28">
        <f>K185</f>
        <v>4.5504994450610514E-2</v>
      </c>
      <c r="Y185" s="28">
        <f>L185</f>
        <v>2.4119327197714924E-2</v>
      </c>
    </row>
    <row r="186" spans="6:25" x14ac:dyDescent="0.25">
      <c r="F186" s="30">
        <f>Data1!A317</f>
        <v>45717</v>
      </c>
      <c r="G186" s="31">
        <f>Data1!B317</f>
        <v>97.7</v>
      </c>
      <c r="H186" s="31">
        <f>Data1!BM317</f>
        <v>87.02</v>
      </c>
      <c r="I186" s="31">
        <f>IF(ISBLANK(Data1!BN317),NA(),Data1!BN317)</f>
        <v>94.23</v>
      </c>
      <c r="J186" s="28">
        <f>IFERROR(Data1!BM317/Data1!BM313-1,NA())</f>
        <v>-0.11439039283533492</v>
      </c>
      <c r="K186" s="28">
        <f>IFERROR(IF(OR(ISBLANK(Data1!BN317),ISBLANK(Data1!BN313)),NA(),Data1!BN317/Data1!BN313-1),NA())</f>
        <v>6.1985799616815163E-2</v>
      </c>
      <c r="L186" s="28">
        <f>IFERROR(Data1!B317/Data1!B313-1,NA())</f>
        <v>2.4001676973063768E-2</v>
      </c>
      <c r="V186" s="30">
        <f>F186</f>
        <v>45717</v>
      </c>
      <c r="W186" s="28">
        <f>J186</f>
        <v>-0.11439039283533492</v>
      </c>
      <c r="X186" s="28">
        <f>K186</f>
        <v>6.1985799616815163E-2</v>
      </c>
      <c r="Y186" s="28">
        <f>L186</f>
        <v>2.4001676973063768E-2</v>
      </c>
    </row>
    <row r="187" spans="6:25" x14ac:dyDescent="0.25">
      <c r="F187" s="30">
        <f>Data1!A318</f>
        <v>45809</v>
      </c>
      <c r="G187" s="31">
        <f>Data1!B318</f>
        <v>98.43</v>
      </c>
      <c r="H187" s="31">
        <f>Data1!BM318</f>
        <v>94.07</v>
      </c>
      <c r="I187" s="31">
        <f>IF(ISBLANK(Data1!BN318),NA(),Data1!BN318)</f>
        <v>92.25</v>
      </c>
      <c r="J187" s="28">
        <f>IFERROR(Data1!BM318/Data1!BM314-1,NA())</f>
        <v>-6.230063795853269E-2</v>
      </c>
      <c r="K187" s="28">
        <f>IFERROR(IF(OR(ISBLANK(Data1!BN318),ISBLANK(Data1!BN314)),NA(),Data1!BN318/Data1!BN314-1),NA())</f>
        <v>5.6943171402383141E-2</v>
      </c>
      <c r="L187" s="28">
        <f>IFERROR(Data1!B318/Data1!B314-1,NA())</f>
        <v>2.0952183383466494E-2</v>
      </c>
      <c r="V187" s="30">
        <f>F187</f>
        <v>45809</v>
      </c>
      <c r="W187" s="28">
        <f>J187</f>
        <v>-6.230063795853269E-2</v>
      </c>
      <c r="X187" s="28">
        <f>K187</f>
        <v>5.6943171402383141E-2</v>
      </c>
      <c r="Y187" s="28">
        <f>L187</f>
        <v>2.0952183383466494E-2</v>
      </c>
    </row>
    <row r="188" spans="6:25" x14ac:dyDescent="0.25">
      <c r="F188" s="30">
        <f>Data1!A319</f>
        <v>45901</v>
      </c>
      <c r="G188" s="31">
        <f>Data1!B319</f>
        <v>99.73</v>
      </c>
      <c r="H188" s="31">
        <f>Data1!BM319</f>
        <v>102.54</v>
      </c>
      <c r="I188" s="31">
        <f>IF(ISBLANK(Data1!BN319),NA(),Data1!BN319)</f>
        <v>98.41</v>
      </c>
      <c r="J188" s="28">
        <f>IFERROR(Data1!BM319/Data1!BM315-1,NA())</f>
        <v>0.23527285869172387</v>
      </c>
      <c r="K188" s="28">
        <f>IFERROR(IF(OR(ISBLANK(Data1!BN319),ISBLANK(Data1!BN315)),NA(),Data1!BN319/Data1!BN315-1),NA())</f>
        <v>5.082754938601175E-2</v>
      </c>
      <c r="L188" s="28">
        <f>IFERROR(Data1!B319/Data1!B315-1,NA())</f>
        <v>3.2187952804802356E-2</v>
      </c>
      <c r="V188" s="30">
        <f>F188</f>
        <v>45901</v>
      </c>
      <c r="W188" s="28">
        <f>J188</f>
        <v>0.23527285869172387</v>
      </c>
      <c r="X188" s="28">
        <f>K188</f>
        <v>5.082754938601175E-2</v>
      </c>
      <c r="Y188" s="28">
        <f>L188</f>
        <v>3.2187952804802356E-2</v>
      </c>
    </row>
    <row r="189" spans="6:25" x14ac:dyDescent="0.25">
      <c r="F189" s="30">
        <f>Data1!A320</f>
        <v>45992</v>
      </c>
      <c r="G189" s="31">
        <f>Data1!B320</f>
        <v>100.32</v>
      </c>
      <c r="H189" s="31">
        <f>Data1!BM320</f>
        <v>93.88</v>
      </c>
      <c r="I189" s="31">
        <f>IF(ISBLANK(Data1!BN320),NA(),Data1!BN320)</f>
        <v>98.52</v>
      </c>
      <c r="J189" s="28">
        <f>IFERROR(Data1!BM320/Data1!BM316-1,NA())</f>
        <v>0.25575173889780611</v>
      </c>
      <c r="K189" s="28">
        <f>IFERROR(IF(OR(ISBLANK(Data1!BN320),ISBLANK(Data1!BN316)),NA(),Data1!BN320/Data1!BN316-1),NA())</f>
        <v>4.5859872611464958E-2</v>
      </c>
      <c r="L189" s="28">
        <f>IFERROR(Data1!B320/Data1!B316-1,NA())</f>
        <v>3.6256585063526359E-2</v>
      </c>
      <c r="V189" s="30">
        <f>F189</f>
        <v>45992</v>
      </c>
      <c r="W189" s="28">
        <f>J189</f>
        <v>0.25575173889780611</v>
      </c>
      <c r="X189" s="28">
        <f>K189</f>
        <v>4.5859872611464958E-2</v>
      </c>
      <c r="Y189" s="28">
        <f>L189</f>
        <v>3.6256585063526359E-2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Q320"/>
  <sheetViews>
    <sheetView workbookViewId="0">
      <pane xSplit="1" ySplit="10" topLeftCell="AW127" activePane="bottomRight" state="frozen"/>
      <selection pane="topRight" activeCell="B1" sqref="B1"/>
      <selection pane="bottomLeft" activeCell="A11" sqref="A11"/>
      <selection pane="bottomRight" activeCell="BM139" sqref="BM139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53</v>
      </c>
      <c r="BF1" s="3" t="s">
        <v>54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66</v>
      </c>
      <c r="BU1" s="3" t="s">
        <v>67</v>
      </c>
      <c r="BV1" s="3" t="s">
        <v>68</v>
      </c>
      <c r="BW1" s="3" t="s">
        <v>69</v>
      </c>
      <c r="BX1" s="3" t="s">
        <v>70</v>
      </c>
      <c r="BY1" s="3" t="s">
        <v>71</v>
      </c>
      <c r="BZ1" s="3" t="s">
        <v>72</v>
      </c>
      <c r="CA1" s="3" t="s">
        <v>73</v>
      </c>
      <c r="CB1" s="3" t="s">
        <v>74</v>
      </c>
      <c r="CC1" s="3" t="s">
        <v>75</v>
      </c>
      <c r="CD1" s="3" t="s">
        <v>76</v>
      </c>
      <c r="CE1" s="3" t="s">
        <v>77</v>
      </c>
      <c r="CF1" s="3" t="s">
        <v>78</v>
      </c>
      <c r="CG1" s="3" t="s">
        <v>79</v>
      </c>
      <c r="CH1" s="3" t="s">
        <v>80</v>
      </c>
      <c r="CI1" s="3" t="s">
        <v>81</v>
      </c>
      <c r="CJ1" s="3" t="s">
        <v>82</v>
      </c>
      <c r="CK1" s="3" t="s">
        <v>83</v>
      </c>
      <c r="CL1" s="3" t="s">
        <v>84</v>
      </c>
      <c r="CM1" s="3" t="s">
        <v>85</v>
      </c>
      <c r="CN1" s="3" t="s">
        <v>86</v>
      </c>
      <c r="CO1" s="3" t="s">
        <v>87</v>
      </c>
      <c r="CP1" s="3" t="s">
        <v>88</v>
      </c>
      <c r="CQ1" s="3" t="s">
        <v>89</v>
      </c>
      <c r="CR1" s="3" t="s">
        <v>90</v>
      </c>
      <c r="CS1" s="3" t="s">
        <v>91</v>
      </c>
      <c r="CT1" s="3" t="s">
        <v>92</v>
      </c>
      <c r="CU1" s="3" t="s">
        <v>93</v>
      </c>
      <c r="CV1" s="3" t="s">
        <v>94</v>
      </c>
      <c r="CW1" s="3" t="s">
        <v>94</v>
      </c>
      <c r="CX1" s="3" t="s">
        <v>95</v>
      </c>
      <c r="CY1" s="3" t="s">
        <v>95</v>
      </c>
      <c r="CZ1" s="3" t="s">
        <v>96</v>
      </c>
      <c r="DA1" s="3" t="s">
        <v>97</v>
      </c>
      <c r="DB1" s="3" t="s">
        <v>98</v>
      </c>
      <c r="DC1" s="3" t="s">
        <v>99</v>
      </c>
      <c r="DD1" s="3" t="s">
        <v>100</v>
      </c>
      <c r="DE1" s="3" t="s">
        <v>101</v>
      </c>
      <c r="DF1" s="3" t="s">
        <v>102</v>
      </c>
      <c r="DG1" s="3" t="s">
        <v>103</v>
      </c>
      <c r="DH1" s="3" t="s">
        <v>104</v>
      </c>
      <c r="DI1" s="3" t="s">
        <v>105</v>
      </c>
      <c r="DJ1" s="3" t="s">
        <v>106</v>
      </c>
      <c r="DK1" s="3" t="s">
        <v>107</v>
      </c>
      <c r="DL1" s="3" t="s">
        <v>108</v>
      </c>
      <c r="DM1" s="3" t="s">
        <v>109</v>
      </c>
      <c r="DN1" s="3" t="s">
        <v>110</v>
      </c>
      <c r="DO1" s="3" t="s">
        <v>111</v>
      </c>
      <c r="DP1" s="3" t="s">
        <v>112</v>
      </c>
      <c r="DQ1" s="3" t="s">
        <v>113</v>
      </c>
      <c r="DR1" s="3" t="s">
        <v>114</v>
      </c>
      <c r="DS1" s="3" t="s">
        <v>115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120</v>
      </c>
      <c r="EA1" s="3" t="s">
        <v>121</v>
      </c>
      <c r="EB1" s="3" t="s">
        <v>122</v>
      </c>
      <c r="EC1" s="3" t="s">
        <v>123</v>
      </c>
      <c r="ED1" s="3" t="s">
        <v>124</v>
      </c>
      <c r="EE1" s="3" t="s">
        <v>125</v>
      </c>
      <c r="EF1" s="3" t="s">
        <v>126</v>
      </c>
      <c r="EG1" s="3" t="s">
        <v>127</v>
      </c>
      <c r="EH1" s="3" t="s">
        <v>128</v>
      </c>
      <c r="EI1" s="3" t="s">
        <v>129</v>
      </c>
      <c r="EJ1" s="3" t="s">
        <v>130</v>
      </c>
      <c r="EK1" s="3" t="s">
        <v>131</v>
      </c>
      <c r="EL1" s="3" t="s">
        <v>132</v>
      </c>
      <c r="EM1" s="3" t="s">
        <v>133</v>
      </c>
      <c r="EN1" s="3" t="s">
        <v>134</v>
      </c>
      <c r="EO1" s="3" t="s">
        <v>135</v>
      </c>
      <c r="EP1" s="3" t="s">
        <v>136</v>
      </c>
      <c r="EQ1" s="3" t="s">
        <v>137</v>
      </c>
      <c r="ER1" s="3" t="s">
        <v>138</v>
      </c>
      <c r="ES1" s="3" t="s">
        <v>139</v>
      </c>
      <c r="ET1" s="3" t="s">
        <v>140</v>
      </c>
      <c r="EU1" s="3" t="s">
        <v>141</v>
      </c>
      <c r="EV1" s="3" t="s">
        <v>142</v>
      </c>
      <c r="EW1" s="3" t="s">
        <v>143</v>
      </c>
      <c r="EX1" s="3" t="s">
        <v>144</v>
      </c>
      <c r="EY1" s="3" t="s">
        <v>145</v>
      </c>
      <c r="EZ1" s="3" t="s">
        <v>146</v>
      </c>
      <c r="FA1" s="3" t="s">
        <v>147</v>
      </c>
      <c r="FB1" s="3" t="s">
        <v>148</v>
      </c>
      <c r="FC1" s="3" t="s">
        <v>149</v>
      </c>
      <c r="FD1" s="3" t="s">
        <v>150</v>
      </c>
      <c r="FE1" s="3" t="s">
        <v>151</v>
      </c>
      <c r="FF1" s="3" t="s">
        <v>152</v>
      </c>
      <c r="FG1" s="3" t="s">
        <v>153</v>
      </c>
      <c r="FH1" s="3" t="s">
        <v>154</v>
      </c>
      <c r="FI1" s="3" t="s">
        <v>155</v>
      </c>
      <c r="FJ1" s="3" t="s">
        <v>156</v>
      </c>
      <c r="FK1" s="3" t="s">
        <v>157</v>
      </c>
      <c r="FL1" s="3" t="s">
        <v>158</v>
      </c>
      <c r="FM1" s="3" t="s">
        <v>159</v>
      </c>
      <c r="FN1" s="3" t="s">
        <v>160</v>
      </c>
      <c r="FO1" s="3" t="s">
        <v>161</v>
      </c>
      <c r="FP1" s="3" t="s">
        <v>162</v>
      </c>
      <c r="FQ1" s="3" t="s">
        <v>163</v>
      </c>
      <c r="FR1" s="3" t="s">
        <v>163</v>
      </c>
      <c r="FS1" s="3" t="s">
        <v>164</v>
      </c>
      <c r="FT1" s="3" t="s">
        <v>165</v>
      </c>
      <c r="FU1" s="3" t="s">
        <v>166</v>
      </c>
      <c r="FV1" s="3" t="s">
        <v>167</v>
      </c>
      <c r="FW1" s="3" t="s">
        <v>168</v>
      </c>
      <c r="FX1" s="3" t="s">
        <v>169</v>
      </c>
      <c r="FY1" s="3" t="s">
        <v>170</v>
      </c>
      <c r="FZ1" s="3" t="s">
        <v>171</v>
      </c>
      <c r="GA1" s="3" t="s">
        <v>172</v>
      </c>
      <c r="GB1" s="3" t="s">
        <v>173</v>
      </c>
      <c r="GC1" s="3" t="s">
        <v>174</v>
      </c>
      <c r="GD1" s="3" t="s">
        <v>175</v>
      </c>
      <c r="GE1" s="3" t="s">
        <v>176</v>
      </c>
      <c r="GF1" s="3" t="s">
        <v>177</v>
      </c>
      <c r="GG1" s="3" t="s">
        <v>177</v>
      </c>
      <c r="GH1" s="3" t="s">
        <v>178</v>
      </c>
      <c r="GI1" s="3" t="s">
        <v>178</v>
      </c>
      <c r="GJ1" s="3" t="s">
        <v>179</v>
      </c>
      <c r="GK1" s="3" t="s">
        <v>180</v>
      </c>
      <c r="GL1" s="3" t="s">
        <v>181</v>
      </c>
      <c r="GM1" s="3" t="s">
        <v>182</v>
      </c>
      <c r="GN1" s="3" t="s">
        <v>183</v>
      </c>
      <c r="GO1" s="3" t="s">
        <v>184</v>
      </c>
      <c r="GP1" s="3" t="s">
        <v>185</v>
      </c>
      <c r="GQ1" s="3" t="s">
        <v>186</v>
      </c>
      <c r="GR1" s="3" t="s">
        <v>187</v>
      </c>
      <c r="GS1" s="3" t="s">
        <v>188</v>
      </c>
      <c r="GT1" s="3" t="s">
        <v>189</v>
      </c>
      <c r="GU1" s="3" t="s">
        <v>190</v>
      </c>
      <c r="GV1" s="3" t="s">
        <v>190</v>
      </c>
      <c r="GW1" s="3" t="s">
        <v>191</v>
      </c>
      <c r="GX1" s="3" t="s">
        <v>192</v>
      </c>
      <c r="GY1" s="3" t="s">
        <v>193</v>
      </c>
      <c r="GZ1" s="3" t="s">
        <v>194</v>
      </c>
      <c r="HA1" s="3" t="s">
        <v>195</v>
      </c>
      <c r="HB1" s="3" t="s">
        <v>196</v>
      </c>
      <c r="HC1" s="3" t="s">
        <v>197</v>
      </c>
      <c r="HD1" s="3" t="s">
        <v>198</v>
      </c>
      <c r="HE1" s="3" t="s">
        <v>199</v>
      </c>
      <c r="HF1" s="3" t="s">
        <v>200</v>
      </c>
      <c r="HG1" s="3" t="s">
        <v>201</v>
      </c>
      <c r="HH1" s="3" t="s">
        <v>202</v>
      </c>
      <c r="HI1" s="3" t="s">
        <v>203</v>
      </c>
      <c r="HJ1" s="3" t="s">
        <v>204</v>
      </c>
      <c r="HK1" s="3" t="s">
        <v>205</v>
      </c>
      <c r="HL1" s="3" t="s">
        <v>206</v>
      </c>
      <c r="HM1" s="3" t="s">
        <v>207</v>
      </c>
      <c r="HN1" s="3" t="s">
        <v>208</v>
      </c>
      <c r="HO1" s="3" t="s">
        <v>209</v>
      </c>
      <c r="HP1" s="3" t="s">
        <v>210</v>
      </c>
      <c r="HQ1" s="3" t="s">
        <v>211</v>
      </c>
      <c r="HR1" s="3" t="s">
        <v>212</v>
      </c>
      <c r="HS1" s="3" t="s">
        <v>213</v>
      </c>
      <c r="HT1" s="3" t="s">
        <v>214</v>
      </c>
      <c r="HU1" s="3" t="s">
        <v>215</v>
      </c>
      <c r="HV1" s="3" t="s">
        <v>216</v>
      </c>
      <c r="HW1" s="3" t="s">
        <v>217</v>
      </c>
      <c r="HX1" s="3" t="s">
        <v>218</v>
      </c>
      <c r="HY1" s="3" t="s">
        <v>218</v>
      </c>
      <c r="HZ1" s="3" t="s">
        <v>219</v>
      </c>
      <c r="IA1" s="3" t="s">
        <v>219</v>
      </c>
      <c r="IB1" s="3" t="s">
        <v>220</v>
      </c>
      <c r="IC1" s="3" t="s">
        <v>221</v>
      </c>
      <c r="ID1" s="3" t="s">
        <v>222</v>
      </c>
      <c r="IE1" s="3" t="s">
        <v>223</v>
      </c>
      <c r="IF1" s="3" t="s">
        <v>224</v>
      </c>
      <c r="IG1" s="3" t="s">
        <v>225</v>
      </c>
      <c r="IH1" s="3" t="s">
        <v>226</v>
      </c>
      <c r="II1" s="3" t="s">
        <v>227</v>
      </c>
      <c r="IJ1" s="3" t="s">
        <v>228</v>
      </c>
      <c r="IK1" s="3" t="s">
        <v>229</v>
      </c>
      <c r="IL1" s="3" t="s">
        <v>230</v>
      </c>
      <c r="IM1" s="3" t="s">
        <v>231</v>
      </c>
      <c r="IN1" s="3" t="s">
        <v>232</v>
      </c>
      <c r="IO1" s="3" t="s">
        <v>233</v>
      </c>
      <c r="IP1" s="3" t="s">
        <v>234</v>
      </c>
      <c r="IQ1" s="3" t="s">
        <v>235</v>
      </c>
    </row>
    <row r="2" spans="1:251" x14ac:dyDescent="0.2">
      <c r="A2" s="4" t="s">
        <v>236</v>
      </c>
      <c r="B2" s="7" t="s">
        <v>245</v>
      </c>
      <c r="C2" s="7" t="s">
        <v>245</v>
      </c>
      <c r="D2" s="7" t="s">
        <v>245</v>
      </c>
      <c r="E2" s="7" t="s">
        <v>245</v>
      </c>
      <c r="F2" s="7" t="s">
        <v>245</v>
      </c>
      <c r="G2" s="7" t="s">
        <v>245</v>
      </c>
      <c r="H2" s="7" t="s">
        <v>245</v>
      </c>
      <c r="I2" s="7" t="s">
        <v>245</v>
      </c>
      <c r="J2" s="7" t="s">
        <v>245</v>
      </c>
      <c r="K2" s="7" t="s">
        <v>245</v>
      </c>
      <c r="L2" s="7" t="s">
        <v>245</v>
      </c>
      <c r="M2" s="7" t="s">
        <v>245</v>
      </c>
      <c r="N2" s="7" t="s">
        <v>245</v>
      </c>
      <c r="O2" s="7" t="s">
        <v>245</v>
      </c>
      <c r="P2" s="7" t="s">
        <v>245</v>
      </c>
      <c r="Q2" s="7" t="s">
        <v>245</v>
      </c>
      <c r="R2" s="7" t="s">
        <v>245</v>
      </c>
      <c r="S2" s="7" t="s">
        <v>245</v>
      </c>
      <c r="T2" s="7" t="s">
        <v>245</v>
      </c>
      <c r="U2" s="7" t="s">
        <v>245</v>
      </c>
      <c r="V2" s="7" t="s">
        <v>245</v>
      </c>
      <c r="W2" s="7" t="s">
        <v>245</v>
      </c>
      <c r="X2" s="7" t="s">
        <v>245</v>
      </c>
      <c r="Y2" s="7" t="s">
        <v>245</v>
      </c>
      <c r="Z2" s="7" t="s">
        <v>245</v>
      </c>
      <c r="AA2" s="7" t="s">
        <v>245</v>
      </c>
      <c r="AB2" s="7" t="s">
        <v>245</v>
      </c>
      <c r="AC2" s="7" t="s">
        <v>245</v>
      </c>
      <c r="AD2" s="7" t="s">
        <v>245</v>
      </c>
      <c r="AE2" s="7" t="s">
        <v>245</v>
      </c>
      <c r="AF2" s="7" t="s">
        <v>245</v>
      </c>
      <c r="AG2" s="7" t="s">
        <v>245</v>
      </c>
      <c r="AH2" s="7" t="s">
        <v>245</v>
      </c>
      <c r="AI2" s="7" t="s">
        <v>245</v>
      </c>
      <c r="AJ2" s="7" t="s">
        <v>245</v>
      </c>
      <c r="AK2" s="7" t="s">
        <v>245</v>
      </c>
      <c r="AL2" s="7" t="s">
        <v>245</v>
      </c>
      <c r="AM2" s="7" t="s">
        <v>245</v>
      </c>
      <c r="AN2" s="7" t="s">
        <v>245</v>
      </c>
      <c r="AO2" s="7" t="s">
        <v>245</v>
      </c>
      <c r="AP2" s="7" t="s">
        <v>245</v>
      </c>
      <c r="AQ2" s="7" t="s">
        <v>245</v>
      </c>
      <c r="AR2" s="7" t="s">
        <v>245</v>
      </c>
      <c r="AS2" s="7" t="s">
        <v>245</v>
      </c>
      <c r="AT2" s="7" t="s">
        <v>245</v>
      </c>
      <c r="AU2" s="7" t="s">
        <v>245</v>
      </c>
      <c r="AV2" s="7" t="s">
        <v>245</v>
      </c>
      <c r="AW2" s="7" t="s">
        <v>245</v>
      </c>
      <c r="AX2" s="7" t="s">
        <v>245</v>
      </c>
      <c r="AY2" s="7" t="s">
        <v>245</v>
      </c>
      <c r="AZ2" s="7" t="s">
        <v>245</v>
      </c>
      <c r="BA2" s="7" t="s">
        <v>245</v>
      </c>
      <c r="BB2" s="7" t="s">
        <v>245</v>
      </c>
      <c r="BC2" s="7" t="s">
        <v>245</v>
      </c>
      <c r="BD2" s="7" t="s">
        <v>245</v>
      </c>
      <c r="BE2" s="7" t="s">
        <v>245</v>
      </c>
      <c r="BF2" s="7" t="s">
        <v>245</v>
      </c>
      <c r="BG2" s="7" t="s">
        <v>245</v>
      </c>
      <c r="BH2" s="7" t="s">
        <v>245</v>
      </c>
      <c r="BI2" s="7" t="s">
        <v>245</v>
      </c>
      <c r="BJ2" s="7" t="s">
        <v>245</v>
      </c>
      <c r="BK2" s="7" t="s">
        <v>245</v>
      </c>
      <c r="BL2" s="7" t="s">
        <v>245</v>
      </c>
      <c r="BM2" s="7" t="s">
        <v>245</v>
      </c>
      <c r="BN2" s="7" t="s">
        <v>245</v>
      </c>
      <c r="BO2" s="7" t="s">
        <v>245</v>
      </c>
      <c r="BP2" s="7" t="s">
        <v>245</v>
      </c>
      <c r="BQ2" s="7" t="s">
        <v>245</v>
      </c>
      <c r="BR2" s="7" t="s">
        <v>245</v>
      </c>
      <c r="BS2" s="7" t="s">
        <v>245</v>
      </c>
      <c r="BT2" s="7" t="s">
        <v>245</v>
      </c>
      <c r="BU2" s="7" t="s">
        <v>245</v>
      </c>
      <c r="BV2" s="7" t="s">
        <v>245</v>
      </c>
      <c r="BW2" s="7" t="s">
        <v>245</v>
      </c>
      <c r="BX2" s="7" t="s">
        <v>245</v>
      </c>
      <c r="BY2" s="7" t="s">
        <v>245</v>
      </c>
      <c r="BZ2" s="7" t="s">
        <v>245</v>
      </c>
      <c r="CA2" s="7" t="s">
        <v>245</v>
      </c>
      <c r="CB2" s="7" t="s">
        <v>245</v>
      </c>
      <c r="CC2" s="7" t="s">
        <v>245</v>
      </c>
      <c r="CD2" s="7" t="s">
        <v>245</v>
      </c>
      <c r="CE2" s="7" t="s">
        <v>245</v>
      </c>
      <c r="CF2" s="7" t="s">
        <v>245</v>
      </c>
      <c r="CG2" s="7" t="s">
        <v>245</v>
      </c>
      <c r="CH2" s="7" t="s">
        <v>245</v>
      </c>
      <c r="CI2" s="7" t="s">
        <v>245</v>
      </c>
      <c r="CJ2" s="7" t="s">
        <v>245</v>
      </c>
      <c r="CK2" s="7" t="s">
        <v>245</v>
      </c>
      <c r="CL2" s="7" t="s">
        <v>245</v>
      </c>
      <c r="CM2" s="7" t="s">
        <v>245</v>
      </c>
      <c r="CN2" s="7" t="s">
        <v>245</v>
      </c>
      <c r="CO2" s="7" t="s">
        <v>245</v>
      </c>
      <c r="CP2" s="7" t="s">
        <v>245</v>
      </c>
      <c r="CQ2" s="7" t="s">
        <v>245</v>
      </c>
      <c r="CR2" s="7" t="s">
        <v>245</v>
      </c>
      <c r="CS2" s="7" t="s">
        <v>245</v>
      </c>
      <c r="CT2" s="7" t="s">
        <v>245</v>
      </c>
      <c r="CU2" s="7" t="s">
        <v>245</v>
      </c>
      <c r="CV2" s="7" t="s">
        <v>245</v>
      </c>
      <c r="CW2" s="7" t="s">
        <v>245</v>
      </c>
      <c r="CX2" s="7" t="s">
        <v>245</v>
      </c>
      <c r="CY2" s="7" t="s">
        <v>245</v>
      </c>
      <c r="CZ2" s="7" t="s">
        <v>245</v>
      </c>
      <c r="DA2" s="7" t="s">
        <v>245</v>
      </c>
      <c r="DB2" s="7" t="s">
        <v>245</v>
      </c>
      <c r="DC2" s="7" t="s">
        <v>245</v>
      </c>
      <c r="DD2" s="7" t="s">
        <v>245</v>
      </c>
      <c r="DE2" s="7" t="s">
        <v>245</v>
      </c>
      <c r="DF2" s="7" t="s">
        <v>245</v>
      </c>
      <c r="DG2" s="7" t="s">
        <v>245</v>
      </c>
      <c r="DH2" s="7" t="s">
        <v>245</v>
      </c>
      <c r="DI2" s="7" t="s">
        <v>245</v>
      </c>
      <c r="DJ2" s="7" t="s">
        <v>245</v>
      </c>
      <c r="DK2" s="7" t="s">
        <v>245</v>
      </c>
      <c r="DL2" s="7" t="s">
        <v>245</v>
      </c>
      <c r="DM2" s="7" t="s">
        <v>245</v>
      </c>
      <c r="DN2" s="7" t="s">
        <v>245</v>
      </c>
      <c r="DO2" s="7" t="s">
        <v>245</v>
      </c>
      <c r="DP2" s="7" t="s">
        <v>245</v>
      </c>
      <c r="DQ2" s="7" t="s">
        <v>245</v>
      </c>
      <c r="DR2" s="7" t="s">
        <v>245</v>
      </c>
      <c r="DS2" s="7" t="s">
        <v>245</v>
      </c>
      <c r="DT2" s="7" t="s">
        <v>245</v>
      </c>
      <c r="DU2" s="7" t="s">
        <v>245</v>
      </c>
      <c r="DV2" s="7" t="s">
        <v>245</v>
      </c>
      <c r="DW2" s="7" t="s">
        <v>245</v>
      </c>
      <c r="DX2" s="7" t="s">
        <v>245</v>
      </c>
      <c r="DY2" s="7" t="s">
        <v>245</v>
      </c>
      <c r="DZ2" s="7" t="s">
        <v>245</v>
      </c>
      <c r="EA2" s="7" t="s">
        <v>245</v>
      </c>
      <c r="EB2" s="7" t="s">
        <v>245</v>
      </c>
      <c r="EC2" s="7" t="s">
        <v>245</v>
      </c>
      <c r="ED2" s="7" t="s">
        <v>381</v>
      </c>
      <c r="EE2" s="7" t="s">
        <v>381</v>
      </c>
      <c r="EF2" s="7" t="s">
        <v>381</v>
      </c>
      <c r="EG2" s="7" t="s">
        <v>381</v>
      </c>
      <c r="EH2" s="7" t="s">
        <v>381</v>
      </c>
      <c r="EI2" s="7" t="s">
        <v>381</v>
      </c>
      <c r="EJ2" s="7" t="s">
        <v>381</v>
      </c>
      <c r="EK2" s="7" t="s">
        <v>381</v>
      </c>
      <c r="EL2" s="7" t="s">
        <v>381</v>
      </c>
      <c r="EM2" s="7" t="s">
        <v>381</v>
      </c>
      <c r="EN2" s="7" t="s">
        <v>381</v>
      </c>
      <c r="EO2" s="7" t="s">
        <v>381</v>
      </c>
      <c r="EP2" s="7" t="s">
        <v>381</v>
      </c>
      <c r="EQ2" s="7" t="s">
        <v>381</v>
      </c>
      <c r="ER2" s="7" t="s">
        <v>381</v>
      </c>
      <c r="ES2" s="7" t="s">
        <v>381</v>
      </c>
      <c r="ET2" s="7" t="s">
        <v>381</v>
      </c>
      <c r="EU2" s="7" t="s">
        <v>381</v>
      </c>
      <c r="EV2" s="7" t="s">
        <v>381</v>
      </c>
      <c r="EW2" s="7" t="s">
        <v>381</v>
      </c>
      <c r="EX2" s="7" t="s">
        <v>381</v>
      </c>
      <c r="EY2" s="7" t="s">
        <v>381</v>
      </c>
      <c r="EZ2" s="7" t="s">
        <v>381</v>
      </c>
      <c r="FA2" s="7" t="s">
        <v>381</v>
      </c>
      <c r="FB2" s="7" t="s">
        <v>381</v>
      </c>
      <c r="FC2" s="7" t="s">
        <v>381</v>
      </c>
      <c r="FD2" s="7" t="s">
        <v>381</v>
      </c>
      <c r="FE2" s="7" t="s">
        <v>381</v>
      </c>
      <c r="FF2" s="7" t="s">
        <v>381</v>
      </c>
      <c r="FG2" s="7" t="s">
        <v>381</v>
      </c>
      <c r="FH2" s="7" t="s">
        <v>381</v>
      </c>
      <c r="FI2" s="7" t="s">
        <v>381</v>
      </c>
      <c r="FJ2" s="7" t="s">
        <v>381</v>
      </c>
      <c r="FK2" s="7" t="s">
        <v>381</v>
      </c>
      <c r="FL2" s="7" t="s">
        <v>381</v>
      </c>
      <c r="FM2" s="7" t="s">
        <v>381</v>
      </c>
      <c r="FN2" s="7" t="s">
        <v>381</v>
      </c>
      <c r="FO2" s="7" t="s">
        <v>381</v>
      </c>
      <c r="FP2" s="7" t="s">
        <v>381</v>
      </c>
      <c r="FQ2" s="7" t="s">
        <v>381</v>
      </c>
      <c r="FR2" s="7" t="s">
        <v>381</v>
      </c>
      <c r="FS2" s="7" t="s">
        <v>381</v>
      </c>
      <c r="FT2" s="7" t="s">
        <v>381</v>
      </c>
      <c r="FU2" s="7" t="s">
        <v>381</v>
      </c>
      <c r="FV2" s="7" t="s">
        <v>381</v>
      </c>
      <c r="FW2" s="7" t="s">
        <v>381</v>
      </c>
      <c r="FX2" s="7" t="s">
        <v>381</v>
      </c>
      <c r="FY2" s="7" t="s">
        <v>381</v>
      </c>
      <c r="FZ2" s="7" t="s">
        <v>381</v>
      </c>
      <c r="GA2" s="7" t="s">
        <v>381</v>
      </c>
      <c r="GB2" s="7" t="s">
        <v>381</v>
      </c>
      <c r="GC2" s="7" t="s">
        <v>381</v>
      </c>
      <c r="GD2" s="7" t="s">
        <v>381</v>
      </c>
      <c r="GE2" s="7" t="s">
        <v>381</v>
      </c>
      <c r="GF2" s="7" t="s">
        <v>381</v>
      </c>
      <c r="GG2" s="7" t="s">
        <v>381</v>
      </c>
      <c r="GH2" s="7" t="s">
        <v>381</v>
      </c>
      <c r="GI2" s="7" t="s">
        <v>381</v>
      </c>
      <c r="GJ2" s="7" t="s">
        <v>381</v>
      </c>
      <c r="GK2" s="7" t="s">
        <v>381</v>
      </c>
      <c r="GL2" s="7" t="s">
        <v>381</v>
      </c>
      <c r="GM2" s="7" t="s">
        <v>381</v>
      </c>
      <c r="GN2" s="7" t="s">
        <v>381</v>
      </c>
      <c r="GO2" s="7" t="s">
        <v>381</v>
      </c>
      <c r="GP2" s="7" t="s">
        <v>381</v>
      </c>
      <c r="GQ2" s="7" t="s">
        <v>381</v>
      </c>
      <c r="GR2" s="7" t="s">
        <v>381</v>
      </c>
      <c r="GS2" s="7" t="s">
        <v>381</v>
      </c>
      <c r="GT2" s="7" t="s">
        <v>381</v>
      </c>
      <c r="GU2" s="7" t="s">
        <v>381</v>
      </c>
      <c r="GV2" s="7" t="s">
        <v>381</v>
      </c>
      <c r="GW2" s="7" t="s">
        <v>381</v>
      </c>
      <c r="GX2" s="7" t="s">
        <v>381</v>
      </c>
      <c r="GY2" s="7" t="s">
        <v>381</v>
      </c>
      <c r="GZ2" s="7" t="s">
        <v>381</v>
      </c>
      <c r="HA2" s="7" t="s">
        <v>381</v>
      </c>
      <c r="HB2" s="7" t="s">
        <v>381</v>
      </c>
      <c r="HC2" s="7" t="s">
        <v>381</v>
      </c>
      <c r="HD2" s="7" t="s">
        <v>381</v>
      </c>
      <c r="HE2" s="7" t="s">
        <v>381</v>
      </c>
      <c r="HF2" s="7" t="s">
        <v>381</v>
      </c>
      <c r="HG2" s="7" t="s">
        <v>381</v>
      </c>
      <c r="HH2" s="7" t="s">
        <v>381</v>
      </c>
      <c r="HI2" s="7" t="s">
        <v>381</v>
      </c>
      <c r="HJ2" s="7" t="s">
        <v>381</v>
      </c>
      <c r="HK2" s="7" t="s">
        <v>381</v>
      </c>
      <c r="HL2" s="7" t="s">
        <v>381</v>
      </c>
      <c r="HM2" s="7" t="s">
        <v>381</v>
      </c>
      <c r="HN2" s="7" t="s">
        <v>381</v>
      </c>
      <c r="HO2" s="7" t="s">
        <v>381</v>
      </c>
      <c r="HP2" s="7" t="s">
        <v>381</v>
      </c>
      <c r="HQ2" s="7" t="s">
        <v>381</v>
      </c>
      <c r="HR2" s="7" t="s">
        <v>381</v>
      </c>
      <c r="HS2" s="7" t="s">
        <v>381</v>
      </c>
      <c r="HT2" s="7" t="s">
        <v>381</v>
      </c>
      <c r="HU2" s="7" t="s">
        <v>381</v>
      </c>
      <c r="HV2" s="7" t="s">
        <v>381</v>
      </c>
      <c r="HW2" s="7" t="s">
        <v>381</v>
      </c>
      <c r="HX2" s="7" t="s">
        <v>381</v>
      </c>
      <c r="HY2" s="7" t="s">
        <v>381</v>
      </c>
      <c r="HZ2" s="7" t="s">
        <v>381</v>
      </c>
      <c r="IA2" s="7" t="s">
        <v>381</v>
      </c>
      <c r="IB2" s="7" t="s">
        <v>381</v>
      </c>
      <c r="IC2" s="7" t="s">
        <v>381</v>
      </c>
      <c r="ID2" s="7" t="s">
        <v>381</v>
      </c>
      <c r="IE2" s="7" t="s">
        <v>381</v>
      </c>
      <c r="IF2" s="7" t="s">
        <v>381</v>
      </c>
      <c r="IG2" s="7" t="s">
        <v>381</v>
      </c>
      <c r="IH2" s="7" t="s">
        <v>381</v>
      </c>
      <c r="II2" s="7" t="s">
        <v>381</v>
      </c>
      <c r="IJ2" s="7" t="s">
        <v>381</v>
      </c>
      <c r="IK2" s="7" t="s">
        <v>381</v>
      </c>
      <c r="IL2" s="7" t="s">
        <v>381</v>
      </c>
      <c r="IM2" s="7" t="s">
        <v>381</v>
      </c>
      <c r="IN2" s="7" t="s">
        <v>381</v>
      </c>
      <c r="IO2" s="7" t="s">
        <v>381</v>
      </c>
      <c r="IP2" s="7" t="s">
        <v>381</v>
      </c>
      <c r="IQ2" s="7" t="s">
        <v>381</v>
      </c>
    </row>
    <row r="3" spans="1:251" x14ac:dyDescent="0.2">
      <c r="A3" s="4" t="s">
        <v>237</v>
      </c>
      <c r="B3" s="7" t="s">
        <v>246</v>
      </c>
      <c r="C3" s="7" t="s">
        <v>246</v>
      </c>
      <c r="D3" s="7" t="s">
        <v>246</v>
      </c>
      <c r="E3" s="7" t="s">
        <v>246</v>
      </c>
      <c r="F3" s="7" t="s">
        <v>246</v>
      </c>
      <c r="G3" s="7" t="s">
        <v>246</v>
      </c>
      <c r="H3" s="7" t="s">
        <v>246</v>
      </c>
      <c r="I3" s="7" t="s">
        <v>246</v>
      </c>
      <c r="J3" s="7" t="s">
        <v>246</v>
      </c>
      <c r="K3" s="7" t="s">
        <v>246</v>
      </c>
      <c r="L3" s="7" t="s">
        <v>246</v>
      </c>
      <c r="M3" s="7" t="s">
        <v>246</v>
      </c>
      <c r="N3" s="7" t="s">
        <v>246</v>
      </c>
      <c r="O3" s="7" t="s">
        <v>246</v>
      </c>
      <c r="P3" s="7" t="s">
        <v>246</v>
      </c>
      <c r="Q3" s="7" t="s">
        <v>246</v>
      </c>
      <c r="R3" s="7" t="s">
        <v>246</v>
      </c>
      <c r="S3" s="7" t="s">
        <v>246</v>
      </c>
      <c r="T3" s="7" t="s">
        <v>246</v>
      </c>
      <c r="U3" s="7" t="s">
        <v>246</v>
      </c>
      <c r="V3" s="7" t="s">
        <v>246</v>
      </c>
      <c r="W3" s="7" t="s">
        <v>246</v>
      </c>
      <c r="X3" s="7" t="s">
        <v>246</v>
      </c>
      <c r="Y3" s="7" t="s">
        <v>246</v>
      </c>
      <c r="Z3" s="7" t="s">
        <v>246</v>
      </c>
      <c r="AA3" s="7" t="s">
        <v>246</v>
      </c>
      <c r="AB3" s="7" t="s">
        <v>246</v>
      </c>
      <c r="AC3" s="7" t="s">
        <v>246</v>
      </c>
      <c r="AD3" s="7" t="s">
        <v>246</v>
      </c>
      <c r="AE3" s="7" t="s">
        <v>246</v>
      </c>
      <c r="AF3" s="7" t="s">
        <v>246</v>
      </c>
      <c r="AG3" s="7" t="s">
        <v>246</v>
      </c>
      <c r="AH3" s="7" t="s">
        <v>246</v>
      </c>
      <c r="AI3" s="7" t="s">
        <v>246</v>
      </c>
      <c r="AJ3" s="7" t="s">
        <v>246</v>
      </c>
      <c r="AK3" s="7" t="s">
        <v>246</v>
      </c>
      <c r="AL3" s="7" t="s">
        <v>246</v>
      </c>
      <c r="AM3" s="7" t="s">
        <v>246</v>
      </c>
      <c r="AN3" s="7" t="s">
        <v>246</v>
      </c>
      <c r="AO3" s="7" t="s">
        <v>246</v>
      </c>
      <c r="AP3" s="7" t="s">
        <v>246</v>
      </c>
      <c r="AQ3" s="7" t="s">
        <v>246</v>
      </c>
      <c r="AR3" s="7" t="s">
        <v>246</v>
      </c>
      <c r="AS3" s="7" t="s">
        <v>246</v>
      </c>
      <c r="AT3" s="7" t="s">
        <v>246</v>
      </c>
      <c r="AU3" s="7" t="s">
        <v>246</v>
      </c>
      <c r="AV3" s="7" t="s">
        <v>246</v>
      </c>
      <c r="AW3" s="7" t="s">
        <v>246</v>
      </c>
      <c r="AX3" s="7" t="s">
        <v>246</v>
      </c>
      <c r="AY3" s="7" t="s">
        <v>246</v>
      </c>
      <c r="AZ3" s="7" t="s">
        <v>246</v>
      </c>
      <c r="BA3" s="7" t="s">
        <v>246</v>
      </c>
      <c r="BB3" s="7" t="s">
        <v>246</v>
      </c>
      <c r="BC3" s="7" t="s">
        <v>246</v>
      </c>
      <c r="BD3" s="7" t="s">
        <v>246</v>
      </c>
      <c r="BE3" s="7" t="s">
        <v>246</v>
      </c>
      <c r="BF3" s="7" t="s">
        <v>246</v>
      </c>
      <c r="BG3" s="7" t="s">
        <v>246</v>
      </c>
      <c r="BH3" s="7" t="s">
        <v>246</v>
      </c>
      <c r="BI3" s="7" t="s">
        <v>246</v>
      </c>
      <c r="BJ3" s="7" t="s">
        <v>246</v>
      </c>
      <c r="BK3" s="7" t="s">
        <v>246</v>
      </c>
      <c r="BL3" s="7" t="s">
        <v>246</v>
      </c>
      <c r="BM3" s="7" t="s">
        <v>246</v>
      </c>
      <c r="BN3" s="7" t="s">
        <v>246</v>
      </c>
      <c r="BO3" s="7" t="s">
        <v>246</v>
      </c>
      <c r="BP3" s="7" t="s">
        <v>246</v>
      </c>
      <c r="BQ3" s="7" t="s">
        <v>246</v>
      </c>
      <c r="BR3" s="7" t="s">
        <v>246</v>
      </c>
      <c r="BS3" s="7" t="s">
        <v>246</v>
      </c>
      <c r="BT3" s="7" t="s">
        <v>246</v>
      </c>
      <c r="BU3" s="7" t="s">
        <v>246</v>
      </c>
      <c r="BV3" s="7" t="s">
        <v>246</v>
      </c>
      <c r="BW3" s="7" t="s">
        <v>246</v>
      </c>
      <c r="BX3" s="7" t="s">
        <v>246</v>
      </c>
      <c r="BY3" s="7" t="s">
        <v>246</v>
      </c>
      <c r="BZ3" s="7" t="s">
        <v>246</v>
      </c>
      <c r="CA3" s="7" t="s">
        <v>246</v>
      </c>
      <c r="CB3" s="7" t="s">
        <v>246</v>
      </c>
      <c r="CC3" s="7" t="s">
        <v>246</v>
      </c>
      <c r="CD3" s="7" t="s">
        <v>246</v>
      </c>
      <c r="CE3" s="7" t="s">
        <v>246</v>
      </c>
      <c r="CF3" s="7" t="s">
        <v>246</v>
      </c>
      <c r="CG3" s="7" t="s">
        <v>246</v>
      </c>
      <c r="CH3" s="7" t="s">
        <v>246</v>
      </c>
      <c r="CI3" s="7" t="s">
        <v>246</v>
      </c>
      <c r="CJ3" s="7" t="s">
        <v>246</v>
      </c>
      <c r="CK3" s="7" t="s">
        <v>246</v>
      </c>
      <c r="CL3" s="7" t="s">
        <v>246</v>
      </c>
      <c r="CM3" s="7" t="s">
        <v>246</v>
      </c>
      <c r="CN3" s="7" t="s">
        <v>246</v>
      </c>
      <c r="CO3" s="7" t="s">
        <v>246</v>
      </c>
      <c r="CP3" s="7" t="s">
        <v>246</v>
      </c>
      <c r="CQ3" s="7" t="s">
        <v>246</v>
      </c>
      <c r="CR3" s="7" t="s">
        <v>246</v>
      </c>
      <c r="CS3" s="7" t="s">
        <v>246</v>
      </c>
      <c r="CT3" s="7" t="s">
        <v>246</v>
      </c>
      <c r="CU3" s="7" t="s">
        <v>246</v>
      </c>
      <c r="CV3" s="7" t="s">
        <v>246</v>
      </c>
      <c r="CW3" s="7" t="s">
        <v>246</v>
      </c>
      <c r="CX3" s="7" t="s">
        <v>246</v>
      </c>
      <c r="CY3" s="7" t="s">
        <v>246</v>
      </c>
      <c r="CZ3" s="7" t="s">
        <v>246</v>
      </c>
      <c r="DA3" s="7" t="s">
        <v>246</v>
      </c>
      <c r="DB3" s="7" t="s">
        <v>246</v>
      </c>
      <c r="DC3" s="7" t="s">
        <v>246</v>
      </c>
      <c r="DD3" s="7" t="s">
        <v>246</v>
      </c>
      <c r="DE3" s="7" t="s">
        <v>246</v>
      </c>
      <c r="DF3" s="7" t="s">
        <v>246</v>
      </c>
      <c r="DG3" s="7" t="s">
        <v>246</v>
      </c>
      <c r="DH3" s="7" t="s">
        <v>246</v>
      </c>
      <c r="DI3" s="7" t="s">
        <v>246</v>
      </c>
      <c r="DJ3" s="7" t="s">
        <v>246</v>
      </c>
      <c r="DK3" s="7" t="s">
        <v>246</v>
      </c>
      <c r="DL3" s="7" t="s">
        <v>246</v>
      </c>
      <c r="DM3" s="7" t="s">
        <v>246</v>
      </c>
      <c r="DN3" s="7" t="s">
        <v>246</v>
      </c>
      <c r="DO3" s="7" t="s">
        <v>246</v>
      </c>
      <c r="DP3" s="7" t="s">
        <v>246</v>
      </c>
      <c r="DQ3" s="7" t="s">
        <v>246</v>
      </c>
      <c r="DR3" s="7" t="s">
        <v>246</v>
      </c>
      <c r="DS3" s="7" t="s">
        <v>246</v>
      </c>
      <c r="DT3" s="7" t="s">
        <v>246</v>
      </c>
      <c r="DU3" s="7" t="s">
        <v>246</v>
      </c>
      <c r="DV3" s="7" t="s">
        <v>246</v>
      </c>
      <c r="DW3" s="7" t="s">
        <v>246</v>
      </c>
      <c r="DX3" s="7" t="s">
        <v>246</v>
      </c>
      <c r="DY3" s="7" t="s">
        <v>246</v>
      </c>
      <c r="DZ3" s="7" t="s">
        <v>246</v>
      </c>
      <c r="EA3" s="7" t="s">
        <v>246</v>
      </c>
      <c r="EB3" s="7" t="s">
        <v>246</v>
      </c>
      <c r="EC3" s="7" t="s">
        <v>246</v>
      </c>
      <c r="ED3" s="7" t="s">
        <v>246</v>
      </c>
      <c r="EE3" s="7" t="s">
        <v>246</v>
      </c>
      <c r="EF3" s="7" t="s">
        <v>246</v>
      </c>
      <c r="EG3" s="7" t="s">
        <v>246</v>
      </c>
      <c r="EH3" s="7" t="s">
        <v>246</v>
      </c>
      <c r="EI3" s="7" t="s">
        <v>246</v>
      </c>
      <c r="EJ3" s="7" t="s">
        <v>246</v>
      </c>
      <c r="EK3" s="7" t="s">
        <v>246</v>
      </c>
      <c r="EL3" s="7" t="s">
        <v>246</v>
      </c>
      <c r="EM3" s="7" t="s">
        <v>246</v>
      </c>
      <c r="EN3" s="7" t="s">
        <v>246</v>
      </c>
      <c r="EO3" s="7" t="s">
        <v>246</v>
      </c>
      <c r="EP3" s="7" t="s">
        <v>246</v>
      </c>
      <c r="EQ3" s="7" t="s">
        <v>246</v>
      </c>
      <c r="ER3" s="7" t="s">
        <v>246</v>
      </c>
      <c r="ES3" s="7" t="s">
        <v>246</v>
      </c>
      <c r="ET3" s="7" t="s">
        <v>246</v>
      </c>
      <c r="EU3" s="7" t="s">
        <v>246</v>
      </c>
      <c r="EV3" s="7" t="s">
        <v>246</v>
      </c>
      <c r="EW3" s="7" t="s">
        <v>246</v>
      </c>
      <c r="EX3" s="7" t="s">
        <v>246</v>
      </c>
      <c r="EY3" s="7" t="s">
        <v>246</v>
      </c>
      <c r="EZ3" s="7" t="s">
        <v>246</v>
      </c>
      <c r="FA3" s="7" t="s">
        <v>246</v>
      </c>
      <c r="FB3" s="7" t="s">
        <v>246</v>
      </c>
      <c r="FC3" s="7" t="s">
        <v>246</v>
      </c>
      <c r="FD3" s="7" t="s">
        <v>246</v>
      </c>
      <c r="FE3" s="7" t="s">
        <v>246</v>
      </c>
      <c r="FF3" s="7" t="s">
        <v>246</v>
      </c>
      <c r="FG3" s="7" t="s">
        <v>246</v>
      </c>
      <c r="FH3" s="7" t="s">
        <v>246</v>
      </c>
      <c r="FI3" s="7" t="s">
        <v>246</v>
      </c>
      <c r="FJ3" s="7" t="s">
        <v>246</v>
      </c>
      <c r="FK3" s="7" t="s">
        <v>246</v>
      </c>
      <c r="FL3" s="7" t="s">
        <v>246</v>
      </c>
      <c r="FM3" s="7" t="s">
        <v>246</v>
      </c>
      <c r="FN3" s="7" t="s">
        <v>246</v>
      </c>
      <c r="FO3" s="7" t="s">
        <v>246</v>
      </c>
      <c r="FP3" s="7" t="s">
        <v>246</v>
      </c>
      <c r="FQ3" s="7" t="s">
        <v>246</v>
      </c>
      <c r="FR3" s="7" t="s">
        <v>246</v>
      </c>
      <c r="FS3" s="7" t="s">
        <v>246</v>
      </c>
      <c r="FT3" s="7" t="s">
        <v>246</v>
      </c>
      <c r="FU3" s="7" t="s">
        <v>246</v>
      </c>
      <c r="FV3" s="7" t="s">
        <v>246</v>
      </c>
      <c r="FW3" s="7" t="s">
        <v>246</v>
      </c>
      <c r="FX3" s="7" t="s">
        <v>246</v>
      </c>
      <c r="FY3" s="7" t="s">
        <v>246</v>
      </c>
      <c r="FZ3" s="7" t="s">
        <v>246</v>
      </c>
      <c r="GA3" s="7" t="s">
        <v>246</v>
      </c>
      <c r="GB3" s="7" t="s">
        <v>246</v>
      </c>
      <c r="GC3" s="7" t="s">
        <v>246</v>
      </c>
      <c r="GD3" s="7" t="s">
        <v>246</v>
      </c>
      <c r="GE3" s="7" t="s">
        <v>246</v>
      </c>
      <c r="GF3" s="7" t="s">
        <v>246</v>
      </c>
      <c r="GG3" s="7" t="s">
        <v>246</v>
      </c>
      <c r="GH3" s="7" t="s">
        <v>246</v>
      </c>
      <c r="GI3" s="7" t="s">
        <v>246</v>
      </c>
      <c r="GJ3" s="7" t="s">
        <v>246</v>
      </c>
      <c r="GK3" s="7" t="s">
        <v>246</v>
      </c>
      <c r="GL3" s="7" t="s">
        <v>246</v>
      </c>
      <c r="GM3" s="7" t="s">
        <v>246</v>
      </c>
      <c r="GN3" s="7" t="s">
        <v>246</v>
      </c>
      <c r="GO3" s="7" t="s">
        <v>246</v>
      </c>
      <c r="GP3" s="7" t="s">
        <v>246</v>
      </c>
      <c r="GQ3" s="7" t="s">
        <v>246</v>
      </c>
      <c r="GR3" s="7" t="s">
        <v>246</v>
      </c>
      <c r="GS3" s="7" t="s">
        <v>246</v>
      </c>
      <c r="GT3" s="7" t="s">
        <v>246</v>
      </c>
      <c r="GU3" s="7" t="s">
        <v>246</v>
      </c>
      <c r="GV3" s="7" t="s">
        <v>246</v>
      </c>
      <c r="GW3" s="7" t="s">
        <v>246</v>
      </c>
      <c r="GX3" s="7" t="s">
        <v>246</v>
      </c>
      <c r="GY3" s="7" t="s">
        <v>246</v>
      </c>
      <c r="GZ3" s="7" t="s">
        <v>246</v>
      </c>
      <c r="HA3" s="7" t="s">
        <v>246</v>
      </c>
      <c r="HB3" s="7" t="s">
        <v>246</v>
      </c>
      <c r="HC3" s="7" t="s">
        <v>246</v>
      </c>
      <c r="HD3" s="7" t="s">
        <v>246</v>
      </c>
      <c r="HE3" s="7" t="s">
        <v>246</v>
      </c>
      <c r="HF3" s="7" t="s">
        <v>246</v>
      </c>
      <c r="HG3" s="7" t="s">
        <v>246</v>
      </c>
      <c r="HH3" s="7" t="s">
        <v>246</v>
      </c>
      <c r="HI3" s="7" t="s">
        <v>246</v>
      </c>
      <c r="HJ3" s="7" t="s">
        <v>246</v>
      </c>
      <c r="HK3" s="7" t="s">
        <v>246</v>
      </c>
      <c r="HL3" s="7" t="s">
        <v>246</v>
      </c>
      <c r="HM3" s="7" t="s">
        <v>246</v>
      </c>
      <c r="HN3" s="7" t="s">
        <v>246</v>
      </c>
      <c r="HO3" s="7" t="s">
        <v>246</v>
      </c>
      <c r="HP3" s="7" t="s">
        <v>246</v>
      </c>
      <c r="HQ3" s="7" t="s">
        <v>246</v>
      </c>
      <c r="HR3" s="7" t="s">
        <v>246</v>
      </c>
      <c r="HS3" s="7" t="s">
        <v>246</v>
      </c>
      <c r="HT3" s="7" t="s">
        <v>246</v>
      </c>
      <c r="HU3" s="7" t="s">
        <v>246</v>
      </c>
      <c r="HV3" s="7" t="s">
        <v>246</v>
      </c>
      <c r="HW3" s="7" t="s">
        <v>246</v>
      </c>
      <c r="HX3" s="7" t="s">
        <v>246</v>
      </c>
      <c r="HY3" s="7" t="s">
        <v>246</v>
      </c>
      <c r="HZ3" s="7" t="s">
        <v>246</v>
      </c>
      <c r="IA3" s="7" t="s">
        <v>246</v>
      </c>
      <c r="IB3" s="7" t="s">
        <v>246</v>
      </c>
      <c r="IC3" s="7" t="s">
        <v>246</v>
      </c>
      <c r="ID3" s="7" t="s">
        <v>246</v>
      </c>
      <c r="IE3" s="7" t="s">
        <v>246</v>
      </c>
      <c r="IF3" s="7" t="s">
        <v>246</v>
      </c>
      <c r="IG3" s="7" t="s">
        <v>246</v>
      </c>
      <c r="IH3" s="7" t="s">
        <v>246</v>
      </c>
      <c r="II3" s="7" t="s">
        <v>246</v>
      </c>
      <c r="IJ3" s="7" t="s">
        <v>246</v>
      </c>
      <c r="IK3" s="7" t="s">
        <v>246</v>
      </c>
      <c r="IL3" s="7" t="s">
        <v>246</v>
      </c>
      <c r="IM3" s="7" t="s">
        <v>246</v>
      </c>
      <c r="IN3" s="7" t="s">
        <v>246</v>
      </c>
      <c r="IO3" s="7" t="s">
        <v>246</v>
      </c>
      <c r="IP3" s="7" t="s">
        <v>246</v>
      </c>
      <c r="IQ3" s="7" t="s">
        <v>246</v>
      </c>
    </row>
    <row r="4" spans="1:251" x14ac:dyDescent="0.2">
      <c r="A4" s="4" t="s">
        <v>238</v>
      </c>
      <c r="B4" s="7" t="s">
        <v>247</v>
      </c>
      <c r="C4" s="7" t="s">
        <v>247</v>
      </c>
      <c r="D4" s="7" t="s">
        <v>247</v>
      </c>
      <c r="E4" s="7" t="s">
        <v>247</v>
      </c>
      <c r="F4" s="7" t="s">
        <v>247</v>
      </c>
      <c r="G4" s="7" t="s">
        <v>247</v>
      </c>
      <c r="H4" s="7" t="s">
        <v>247</v>
      </c>
      <c r="I4" s="7" t="s">
        <v>247</v>
      </c>
      <c r="J4" s="7" t="s">
        <v>247</v>
      </c>
      <c r="K4" s="7" t="s">
        <v>247</v>
      </c>
      <c r="L4" s="7" t="s">
        <v>247</v>
      </c>
      <c r="M4" s="7" t="s">
        <v>247</v>
      </c>
      <c r="N4" s="7" t="s">
        <v>247</v>
      </c>
      <c r="O4" s="7" t="s">
        <v>247</v>
      </c>
      <c r="P4" s="7" t="s">
        <v>247</v>
      </c>
      <c r="Q4" s="7" t="s">
        <v>247</v>
      </c>
      <c r="R4" s="7" t="s">
        <v>247</v>
      </c>
      <c r="S4" s="7" t="s">
        <v>247</v>
      </c>
      <c r="T4" s="7" t="s">
        <v>247</v>
      </c>
      <c r="U4" s="7" t="s">
        <v>247</v>
      </c>
      <c r="V4" s="7" t="s">
        <v>247</v>
      </c>
      <c r="W4" s="7" t="s">
        <v>247</v>
      </c>
      <c r="X4" s="7" t="s">
        <v>247</v>
      </c>
      <c r="Y4" s="7" t="s">
        <v>247</v>
      </c>
      <c r="Z4" s="7" t="s">
        <v>247</v>
      </c>
      <c r="AA4" s="7" t="s">
        <v>247</v>
      </c>
      <c r="AB4" s="7" t="s">
        <v>247</v>
      </c>
      <c r="AC4" s="7" t="s">
        <v>247</v>
      </c>
      <c r="AD4" s="7" t="s">
        <v>247</v>
      </c>
      <c r="AE4" s="7" t="s">
        <v>247</v>
      </c>
      <c r="AF4" s="7" t="s">
        <v>247</v>
      </c>
      <c r="AG4" s="7" t="s">
        <v>247</v>
      </c>
      <c r="AH4" s="7" t="s">
        <v>247</v>
      </c>
      <c r="AI4" s="7" t="s">
        <v>247</v>
      </c>
      <c r="AJ4" s="7" t="s">
        <v>247</v>
      </c>
      <c r="AK4" s="7" t="s">
        <v>247</v>
      </c>
      <c r="AL4" s="7" t="s">
        <v>247</v>
      </c>
      <c r="AM4" s="7" t="s">
        <v>247</v>
      </c>
      <c r="AN4" s="7" t="s">
        <v>247</v>
      </c>
      <c r="AO4" s="7" t="s">
        <v>247</v>
      </c>
      <c r="AP4" s="7" t="s">
        <v>247</v>
      </c>
      <c r="AQ4" s="7" t="s">
        <v>247</v>
      </c>
      <c r="AR4" s="7" t="s">
        <v>247</v>
      </c>
      <c r="AS4" s="7" t="s">
        <v>247</v>
      </c>
      <c r="AT4" s="7" t="s">
        <v>247</v>
      </c>
      <c r="AU4" s="7" t="s">
        <v>247</v>
      </c>
      <c r="AV4" s="7" t="s">
        <v>247</v>
      </c>
      <c r="AW4" s="7" t="s">
        <v>247</v>
      </c>
      <c r="AX4" s="7" t="s">
        <v>247</v>
      </c>
      <c r="AY4" s="7" t="s">
        <v>247</v>
      </c>
      <c r="AZ4" s="7" t="s">
        <v>247</v>
      </c>
      <c r="BA4" s="7" t="s">
        <v>247</v>
      </c>
      <c r="BB4" s="7" t="s">
        <v>247</v>
      </c>
      <c r="BC4" s="7" t="s">
        <v>247</v>
      </c>
      <c r="BD4" s="7" t="s">
        <v>247</v>
      </c>
      <c r="BE4" s="7" t="s">
        <v>247</v>
      </c>
      <c r="BF4" s="7" t="s">
        <v>247</v>
      </c>
      <c r="BG4" s="7" t="s">
        <v>247</v>
      </c>
      <c r="BH4" s="7" t="s">
        <v>247</v>
      </c>
      <c r="BI4" s="7" t="s">
        <v>247</v>
      </c>
      <c r="BJ4" s="7" t="s">
        <v>247</v>
      </c>
      <c r="BK4" s="7" t="s">
        <v>247</v>
      </c>
      <c r="BL4" s="7" t="s">
        <v>247</v>
      </c>
      <c r="BM4" s="7" t="s">
        <v>247</v>
      </c>
      <c r="BN4" s="7" t="s">
        <v>247</v>
      </c>
      <c r="BO4" s="7" t="s">
        <v>247</v>
      </c>
      <c r="BP4" s="7" t="s">
        <v>247</v>
      </c>
      <c r="BQ4" s="7" t="s">
        <v>247</v>
      </c>
      <c r="BR4" s="7" t="s">
        <v>247</v>
      </c>
      <c r="BS4" s="7" t="s">
        <v>247</v>
      </c>
      <c r="BT4" s="7" t="s">
        <v>247</v>
      </c>
      <c r="BU4" s="7" t="s">
        <v>247</v>
      </c>
      <c r="BV4" s="7" t="s">
        <v>247</v>
      </c>
      <c r="BW4" s="7" t="s">
        <v>247</v>
      </c>
      <c r="BX4" s="7" t="s">
        <v>247</v>
      </c>
      <c r="BY4" s="7" t="s">
        <v>247</v>
      </c>
      <c r="BZ4" s="7" t="s">
        <v>247</v>
      </c>
      <c r="CA4" s="7" t="s">
        <v>247</v>
      </c>
      <c r="CB4" s="7" t="s">
        <v>247</v>
      </c>
      <c r="CC4" s="7" t="s">
        <v>247</v>
      </c>
      <c r="CD4" s="7" t="s">
        <v>247</v>
      </c>
      <c r="CE4" s="7" t="s">
        <v>247</v>
      </c>
      <c r="CF4" s="7" t="s">
        <v>247</v>
      </c>
      <c r="CG4" s="7" t="s">
        <v>247</v>
      </c>
      <c r="CH4" s="7" t="s">
        <v>247</v>
      </c>
      <c r="CI4" s="7" t="s">
        <v>247</v>
      </c>
      <c r="CJ4" s="7" t="s">
        <v>247</v>
      </c>
      <c r="CK4" s="7" t="s">
        <v>247</v>
      </c>
      <c r="CL4" s="7" t="s">
        <v>247</v>
      </c>
      <c r="CM4" s="7" t="s">
        <v>247</v>
      </c>
      <c r="CN4" s="7" t="s">
        <v>247</v>
      </c>
      <c r="CO4" s="7" t="s">
        <v>247</v>
      </c>
      <c r="CP4" s="7" t="s">
        <v>247</v>
      </c>
      <c r="CQ4" s="7" t="s">
        <v>247</v>
      </c>
      <c r="CR4" s="7" t="s">
        <v>247</v>
      </c>
      <c r="CS4" s="7" t="s">
        <v>247</v>
      </c>
      <c r="CT4" s="7" t="s">
        <v>247</v>
      </c>
      <c r="CU4" s="7" t="s">
        <v>247</v>
      </c>
      <c r="CV4" s="7" t="s">
        <v>247</v>
      </c>
      <c r="CW4" s="7" t="s">
        <v>247</v>
      </c>
      <c r="CX4" s="7" t="s">
        <v>247</v>
      </c>
      <c r="CY4" s="7" t="s">
        <v>247</v>
      </c>
      <c r="CZ4" s="7" t="s">
        <v>247</v>
      </c>
      <c r="DA4" s="7" t="s">
        <v>247</v>
      </c>
      <c r="DB4" s="7" t="s">
        <v>247</v>
      </c>
      <c r="DC4" s="7" t="s">
        <v>247</v>
      </c>
      <c r="DD4" s="7" t="s">
        <v>247</v>
      </c>
      <c r="DE4" s="7" t="s">
        <v>247</v>
      </c>
      <c r="DF4" s="7" t="s">
        <v>247</v>
      </c>
      <c r="DG4" s="7" t="s">
        <v>247</v>
      </c>
      <c r="DH4" s="7" t="s">
        <v>247</v>
      </c>
      <c r="DI4" s="7" t="s">
        <v>247</v>
      </c>
      <c r="DJ4" s="7" t="s">
        <v>247</v>
      </c>
      <c r="DK4" s="7" t="s">
        <v>247</v>
      </c>
      <c r="DL4" s="7" t="s">
        <v>247</v>
      </c>
      <c r="DM4" s="7" t="s">
        <v>247</v>
      </c>
      <c r="DN4" s="7" t="s">
        <v>247</v>
      </c>
      <c r="DO4" s="7" t="s">
        <v>247</v>
      </c>
      <c r="DP4" s="7" t="s">
        <v>247</v>
      </c>
      <c r="DQ4" s="7" t="s">
        <v>247</v>
      </c>
      <c r="DR4" s="7" t="s">
        <v>247</v>
      </c>
      <c r="DS4" s="7" t="s">
        <v>247</v>
      </c>
      <c r="DT4" s="7" t="s">
        <v>247</v>
      </c>
      <c r="DU4" s="7" t="s">
        <v>247</v>
      </c>
      <c r="DV4" s="7" t="s">
        <v>247</v>
      </c>
      <c r="DW4" s="7" t="s">
        <v>247</v>
      </c>
      <c r="DX4" s="7" t="s">
        <v>247</v>
      </c>
      <c r="DY4" s="7" t="s">
        <v>247</v>
      </c>
      <c r="DZ4" s="7" t="s">
        <v>247</v>
      </c>
      <c r="EA4" s="7" t="s">
        <v>247</v>
      </c>
      <c r="EB4" s="7" t="s">
        <v>247</v>
      </c>
      <c r="EC4" s="7" t="s">
        <v>247</v>
      </c>
      <c r="ED4" s="7" t="s">
        <v>382</v>
      </c>
      <c r="EE4" s="7" t="s">
        <v>382</v>
      </c>
      <c r="EF4" s="7" t="s">
        <v>382</v>
      </c>
      <c r="EG4" s="7" t="s">
        <v>382</v>
      </c>
      <c r="EH4" s="7" t="s">
        <v>382</v>
      </c>
      <c r="EI4" s="7" t="s">
        <v>382</v>
      </c>
      <c r="EJ4" s="7" t="s">
        <v>382</v>
      </c>
      <c r="EK4" s="7" t="s">
        <v>382</v>
      </c>
      <c r="EL4" s="7" t="s">
        <v>382</v>
      </c>
      <c r="EM4" s="7" t="s">
        <v>382</v>
      </c>
      <c r="EN4" s="7" t="s">
        <v>382</v>
      </c>
      <c r="EO4" s="7" t="s">
        <v>382</v>
      </c>
      <c r="EP4" s="7" t="s">
        <v>382</v>
      </c>
      <c r="EQ4" s="7" t="s">
        <v>382</v>
      </c>
      <c r="ER4" s="7" t="s">
        <v>382</v>
      </c>
      <c r="ES4" s="7" t="s">
        <v>382</v>
      </c>
      <c r="ET4" s="7" t="s">
        <v>382</v>
      </c>
      <c r="EU4" s="7" t="s">
        <v>382</v>
      </c>
      <c r="EV4" s="7" t="s">
        <v>382</v>
      </c>
      <c r="EW4" s="7" t="s">
        <v>382</v>
      </c>
      <c r="EX4" s="7" t="s">
        <v>382</v>
      </c>
      <c r="EY4" s="7" t="s">
        <v>382</v>
      </c>
      <c r="EZ4" s="7" t="s">
        <v>382</v>
      </c>
      <c r="FA4" s="7" t="s">
        <v>382</v>
      </c>
      <c r="FB4" s="7" t="s">
        <v>382</v>
      </c>
      <c r="FC4" s="7" t="s">
        <v>382</v>
      </c>
      <c r="FD4" s="7" t="s">
        <v>382</v>
      </c>
      <c r="FE4" s="7" t="s">
        <v>382</v>
      </c>
      <c r="FF4" s="7" t="s">
        <v>382</v>
      </c>
      <c r="FG4" s="7" t="s">
        <v>382</v>
      </c>
      <c r="FH4" s="7" t="s">
        <v>382</v>
      </c>
      <c r="FI4" s="7" t="s">
        <v>382</v>
      </c>
      <c r="FJ4" s="7" t="s">
        <v>382</v>
      </c>
      <c r="FK4" s="7" t="s">
        <v>382</v>
      </c>
      <c r="FL4" s="7" t="s">
        <v>382</v>
      </c>
      <c r="FM4" s="7" t="s">
        <v>382</v>
      </c>
      <c r="FN4" s="7" t="s">
        <v>382</v>
      </c>
      <c r="FO4" s="7" t="s">
        <v>382</v>
      </c>
      <c r="FP4" s="7" t="s">
        <v>382</v>
      </c>
      <c r="FQ4" s="7" t="s">
        <v>382</v>
      </c>
      <c r="FR4" s="7" t="s">
        <v>382</v>
      </c>
      <c r="FS4" s="7" t="s">
        <v>382</v>
      </c>
      <c r="FT4" s="7" t="s">
        <v>382</v>
      </c>
      <c r="FU4" s="7" t="s">
        <v>382</v>
      </c>
      <c r="FV4" s="7" t="s">
        <v>382</v>
      </c>
      <c r="FW4" s="7" t="s">
        <v>382</v>
      </c>
      <c r="FX4" s="7" t="s">
        <v>382</v>
      </c>
      <c r="FY4" s="7" t="s">
        <v>382</v>
      </c>
      <c r="FZ4" s="7" t="s">
        <v>382</v>
      </c>
      <c r="GA4" s="7" t="s">
        <v>382</v>
      </c>
      <c r="GB4" s="7" t="s">
        <v>382</v>
      </c>
      <c r="GC4" s="7" t="s">
        <v>382</v>
      </c>
      <c r="GD4" s="7" t="s">
        <v>382</v>
      </c>
      <c r="GE4" s="7" t="s">
        <v>382</v>
      </c>
      <c r="GF4" s="7" t="s">
        <v>382</v>
      </c>
      <c r="GG4" s="7" t="s">
        <v>382</v>
      </c>
      <c r="GH4" s="7" t="s">
        <v>382</v>
      </c>
      <c r="GI4" s="7" t="s">
        <v>382</v>
      </c>
      <c r="GJ4" s="7" t="s">
        <v>382</v>
      </c>
      <c r="GK4" s="7" t="s">
        <v>382</v>
      </c>
      <c r="GL4" s="7" t="s">
        <v>382</v>
      </c>
      <c r="GM4" s="7" t="s">
        <v>382</v>
      </c>
      <c r="GN4" s="7" t="s">
        <v>382</v>
      </c>
      <c r="GO4" s="7" t="s">
        <v>382</v>
      </c>
      <c r="GP4" s="7" t="s">
        <v>382</v>
      </c>
      <c r="GQ4" s="7" t="s">
        <v>382</v>
      </c>
      <c r="GR4" s="7" t="s">
        <v>382</v>
      </c>
      <c r="GS4" s="7" t="s">
        <v>382</v>
      </c>
      <c r="GT4" s="7" t="s">
        <v>382</v>
      </c>
      <c r="GU4" s="7" t="s">
        <v>382</v>
      </c>
      <c r="GV4" s="7" t="s">
        <v>382</v>
      </c>
      <c r="GW4" s="7" t="s">
        <v>382</v>
      </c>
      <c r="GX4" s="7" t="s">
        <v>382</v>
      </c>
      <c r="GY4" s="7" t="s">
        <v>382</v>
      </c>
      <c r="GZ4" s="7" t="s">
        <v>382</v>
      </c>
      <c r="HA4" s="7" t="s">
        <v>382</v>
      </c>
      <c r="HB4" s="7" t="s">
        <v>382</v>
      </c>
      <c r="HC4" s="7" t="s">
        <v>382</v>
      </c>
      <c r="HD4" s="7" t="s">
        <v>382</v>
      </c>
      <c r="HE4" s="7" t="s">
        <v>382</v>
      </c>
      <c r="HF4" s="7" t="s">
        <v>382</v>
      </c>
      <c r="HG4" s="7" t="s">
        <v>382</v>
      </c>
      <c r="HH4" s="7" t="s">
        <v>382</v>
      </c>
      <c r="HI4" s="7" t="s">
        <v>382</v>
      </c>
      <c r="HJ4" s="7" t="s">
        <v>382</v>
      </c>
      <c r="HK4" s="7" t="s">
        <v>382</v>
      </c>
      <c r="HL4" s="7" t="s">
        <v>382</v>
      </c>
      <c r="HM4" s="7" t="s">
        <v>382</v>
      </c>
      <c r="HN4" s="7" t="s">
        <v>382</v>
      </c>
      <c r="HO4" s="7" t="s">
        <v>382</v>
      </c>
      <c r="HP4" s="7" t="s">
        <v>382</v>
      </c>
      <c r="HQ4" s="7" t="s">
        <v>382</v>
      </c>
      <c r="HR4" s="7" t="s">
        <v>382</v>
      </c>
      <c r="HS4" s="7" t="s">
        <v>382</v>
      </c>
      <c r="HT4" s="7" t="s">
        <v>382</v>
      </c>
      <c r="HU4" s="7" t="s">
        <v>382</v>
      </c>
      <c r="HV4" s="7" t="s">
        <v>382</v>
      </c>
      <c r="HW4" s="7" t="s">
        <v>382</v>
      </c>
      <c r="HX4" s="7" t="s">
        <v>382</v>
      </c>
      <c r="HY4" s="7" t="s">
        <v>382</v>
      </c>
      <c r="HZ4" s="7" t="s">
        <v>382</v>
      </c>
      <c r="IA4" s="7" t="s">
        <v>382</v>
      </c>
      <c r="IB4" s="7" t="s">
        <v>382</v>
      </c>
      <c r="IC4" s="7" t="s">
        <v>382</v>
      </c>
      <c r="ID4" s="7" t="s">
        <v>382</v>
      </c>
      <c r="IE4" s="7" t="s">
        <v>382</v>
      </c>
      <c r="IF4" s="7" t="s">
        <v>382</v>
      </c>
      <c r="IG4" s="7" t="s">
        <v>382</v>
      </c>
      <c r="IH4" s="7" t="s">
        <v>382</v>
      </c>
      <c r="II4" s="7" t="s">
        <v>382</v>
      </c>
      <c r="IJ4" s="7" t="s">
        <v>382</v>
      </c>
      <c r="IK4" s="7" t="s">
        <v>382</v>
      </c>
      <c r="IL4" s="7" t="s">
        <v>382</v>
      </c>
      <c r="IM4" s="7" t="s">
        <v>382</v>
      </c>
      <c r="IN4" s="7" t="s">
        <v>382</v>
      </c>
      <c r="IO4" s="7" t="s">
        <v>382</v>
      </c>
      <c r="IP4" s="7" t="s">
        <v>382</v>
      </c>
      <c r="IQ4" s="7" t="s">
        <v>382</v>
      </c>
    </row>
    <row r="5" spans="1:251" x14ac:dyDescent="0.2">
      <c r="A5" s="4" t="s">
        <v>239</v>
      </c>
      <c r="B5" s="7" t="s">
        <v>248</v>
      </c>
      <c r="C5" s="7" t="s">
        <v>248</v>
      </c>
      <c r="D5" s="7" t="s">
        <v>248</v>
      </c>
      <c r="E5" s="7" t="s">
        <v>248</v>
      </c>
      <c r="F5" s="7" t="s">
        <v>248</v>
      </c>
      <c r="G5" s="7" t="s">
        <v>248</v>
      </c>
      <c r="H5" s="7" t="s">
        <v>248</v>
      </c>
      <c r="I5" s="7" t="s">
        <v>248</v>
      </c>
      <c r="J5" s="7" t="s">
        <v>248</v>
      </c>
      <c r="K5" s="7" t="s">
        <v>248</v>
      </c>
      <c r="L5" s="7" t="s">
        <v>248</v>
      </c>
      <c r="M5" s="7" t="s">
        <v>248</v>
      </c>
      <c r="N5" s="7" t="s">
        <v>248</v>
      </c>
      <c r="O5" s="7" t="s">
        <v>248</v>
      </c>
      <c r="P5" s="7" t="s">
        <v>248</v>
      </c>
      <c r="Q5" s="7" t="s">
        <v>248</v>
      </c>
      <c r="R5" s="7" t="s">
        <v>248</v>
      </c>
      <c r="S5" s="7" t="s">
        <v>248</v>
      </c>
      <c r="T5" s="7" t="s">
        <v>248</v>
      </c>
      <c r="U5" s="7" t="s">
        <v>248</v>
      </c>
      <c r="V5" s="7" t="s">
        <v>248</v>
      </c>
      <c r="W5" s="7" t="s">
        <v>248</v>
      </c>
      <c r="X5" s="7" t="s">
        <v>248</v>
      </c>
      <c r="Y5" s="7" t="s">
        <v>248</v>
      </c>
      <c r="Z5" s="7" t="s">
        <v>248</v>
      </c>
      <c r="AA5" s="7" t="s">
        <v>248</v>
      </c>
      <c r="AB5" s="7" t="s">
        <v>248</v>
      </c>
      <c r="AC5" s="7" t="s">
        <v>248</v>
      </c>
      <c r="AD5" s="7" t="s">
        <v>248</v>
      </c>
      <c r="AE5" s="7" t="s">
        <v>248</v>
      </c>
      <c r="AF5" s="7" t="s">
        <v>248</v>
      </c>
      <c r="AG5" s="7" t="s">
        <v>248</v>
      </c>
      <c r="AH5" s="7" t="s">
        <v>248</v>
      </c>
      <c r="AI5" s="7" t="s">
        <v>248</v>
      </c>
      <c r="AJ5" s="7" t="s">
        <v>248</v>
      </c>
      <c r="AK5" s="7" t="s">
        <v>248</v>
      </c>
      <c r="AL5" s="7" t="s">
        <v>248</v>
      </c>
      <c r="AM5" s="7" t="s">
        <v>248</v>
      </c>
      <c r="AN5" s="7" t="s">
        <v>248</v>
      </c>
      <c r="AO5" s="7" t="s">
        <v>248</v>
      </c>
      <c r="AP5" s="7" t="s">
        <v>248</v>
      </c>
      <c r="AQ5" s="7" t="s">
        <v>248</v>
      </c>
      <c r="AR5" s="7" t="s">
        <v>248</v>
      </c>
      <c r="AS5" s="7" t="s">
        <v>248</v>
      </c>
      <c r="AT5" s="7" t="s">
        <v>248</v>
      </c>
      <c r="AU5" s="7" t="s">
        <v>248</v>
      </c>
      <c r="AV5" s="7" t="s">
        <v>248</v>
      </c>
      <c r="AW5" s="7" t="s">
        <v>248</v>
      </c>
      <c r="AX5" s="7" t="s">
        <v>248</v>
      </c>
      <c r="AY5" s="7" t="s">
        <v>248</v>
      </c>
      <c r="AZ5" s="7" t="s">
        <v>248</v>
      </c>
      <c r="BA5" s="7" t="s">
        <v>248</v>
      </c>
      <c r="BB5" s="7" t="s">
        <v>248</v>
      </c>
      <c r="BC5" s="7" t="s">
        <v>248</v>
      </c>
      <c r="BD5" s="7" t="s">
        <v>248</v>
      </c>
      <c r="BE5" s="7" t="s">
        <v>248</v>
      </c>
      <c r="BF5" s="7" t="s">
        <v>248</v>
      </c>
      <c r="BG5" s="7" t="s">
        <v>248</v>
      </c>
      <c r="BH5" s="7" t="s">
        <v>248</v>
      </c>
      <c r="BI5" s="7" t="s">
        <v>248</v>
      </c>
      <c r="BJ5" s="7" t="s">
        <v>248</v>
      </c>
      <c r="BK5" s="7" t="s">
        <v>248</v>
      </c>
      <c r="BL5" s="7" t="s">
        <v>248</v>
      </c>
      <c r="BM5" s="7" t="s">
        <v>248</v>
      </c>
      <c r="BN5" s="7" t="s">
        <v>248</v>
      </c>
      <c r="BO5" s="7" t="s">
        <v>248</v>
      </c>
      <c r="BP5" s="7" t="s">
        <v>248</v>
      </c>
      <c r="BQ5" s="7" t="s">
        <v>248</v>
      </c>
      <c r="BR5" s="7" t="s">
        <v>248</v>
      </c>
      <c r="BS5" s="7" t="s">
        <v>248</v>
      </c>
      <c r="BT5" s="7" t="s">
        <v>248</v>
      </c>
      <c r="BU5" s="7" t="s">
        <v>248</v>
      </c>
      <c r="BV5" s="7" t="s">
        <v>248</v>
      </c>
      <c r="BW5" s="7" t="s">
        <v>248</v>
      </c>
      <c r="BX5" s="7" t="s">
        <v>248</v>
      </c>
      <c r="BY5" s="7" t="s">
        <v>248</v>
      </c>
      <c r="BZ5" s="7" t="s">
        <v>248</v>
      </c>
      <c r="CA5" s="7" t="s">
        <v>248</v>
      </c>
      <c r="CB5" s="7" t="s">
        <v>248</v>
      </c>
      <c r="CC5" s="7" t="s">
        <v>248</v>
      </c>
      <c r="CD5" s="7" t="s">
        <v>248</v>
      </c>
      <c r="CE5" s="7" t="s">
        <v>248</v>
      </c>
      <c r="CF5" s="7" t="s">
        <v>248</v>
      </c>
      <c r="CG5" s="7" t="s">
        <v>248</v>
      </c>
      <c r="CH5" s="7" t="s">
        <v>248</v>
      </c>
      <c r="CI5" s="7" t="s">
        <v>248</v>
      </c>
      <c r="CJ5" s="7" t="s">
        <v>248</v>
      </c>
      <c r="CK5" s="7" t="s">
        <v>248</v>
      </c>
      <c r="CL5" s="7" t="s">
        <v>248</v>
      </c>
      <c r="CM5" s="7" t="s">
        <v>248</v>
      </c>
      <c r="CN5" s="7" t="s">
        <v>248</v>
      </c>
      <c r="CO5" s="7" t="s">
        <v>248</v>
      </c>
      <c r="CP5" s="7" t="s">
        <v>248</v>
      </c>
      <c r="CQ5" s="7" t="s">
        <v>248</v>
      </c>
      <c r="CR5" s="7" t="s">
        <v>248</v>
      </c>
      <c r="CS5" s="7" t="s">
        <v>248</v>
      </c>
      <c r="CT5" s="7" t="s">
        <v>248</v>
      </c>
      <c r="CU5" s="7" t="s">
        <v>248</v>
      </c>
      <c r="CV5" s="7" t="s">
        <v>248</v>
      </c>
      <c r="CW5" s="7" t="s">
        <v>248</v>
      </c>
      <c r="CX5" s="7" t="s">
        <v>248</v>
      </c>
      <c r="CY5" s="7" t="s">
        <v>248</v>
      </c>
      <c r="CZ5" s="7" t="s">
        <v>248</v>
      </c>
      <c r="DA5" s="7" t="s">
        <v>248</v>
      </c>
      <c r="DB5" s="7" t="s">
        <v>248</v>
      </c>
      <c r="DC5" s="7" t="s">
        <v>248</v>
      </c>
      <c r="DD5" s="7" t="s">
        <v>248</v>
      </c>
      <c r="DE5" s="7" t="s">
        <v>248</v>
      </c>
      <c r="DF5" s="7" t="s">
        <v>248</v>
      </c>
      <c r="DG5" s="7" t="s">
        <v>248</v>
      </c>
      <c r="DH5" s="7" t="s">
        <v>248</v>
      </c>
      <c r="DI5" s="7" t="s">
        <v>248</v>
      </c>
      <c r="DJ5" s="7" t="s">
        <v>248</v>
      </c>
      <c r="DK5" s="7" t="s">
        <v>248</v>
      </c>
      <c r="DL5" s="7" t="s">
        <v>248</v>
      </c>
      <c r="DM5" s="7" t="s">
        <v>248</v>
      </c>
      <c r="DN5" s="7" t="s">
        <v>248</v>
      </c>
      <c r="DO5" s="7" t="s">
        <v>248</v>
      </c>
      <c r="DP5" s="7" t="s">
        <v>248</v>
      </c>
      <c r="DQ5" s="7" t="s">
        <v>248</v>
      </c>
      <c r="DR5" s="7" t="s">
        <v>248</v>
      </c>
      <c r="DS5" s="7" t="s">
        <v>248</v>
      </c>
      <c r="DT5" s="7" t="s">
        <v>248</v>
      </c>
      <c r="DU5" s="7" t="s">
        <v>248</v>
      </c>
      <c r="DV5" s="7" t="s">
        <v>248</v>
      </c>
      <c r="DW5" s="7" t="s">
        <v>248</v>
      </c>
      <c r="DX5" s="7" t="s">
        <v>248</v>
      </c>
      <c r="DY5" s="7" t="s">
        <v>248</v>
      </c>
      <c r="DZ5" s="7" t="s">
        <v>248</v>
      </c>
      <c r="EA5" s="7" t="s">
        <v>248</v>
      </c>
      <c r="EB5" s="7" t="s">
        <v>248</v>
      </c>
      <c r="EC5" s="7" t="s">
        <v>248</v>
      </c>
      <c r="ED5" s="7" t="s">
        <v>248</v>
      </c>
      <c r="EE5" s="7" t="s">
        <v>248</v>
      </c>
      <c r="EF5" s="7" t="s">
        <v>248</v>
      </c>
      <c r="EG5" s="7" t="s">
        <v>248</v>
      </c>
      <c r="EH5" s="7" t="s">
        <v>248</v>
      </c>
      <c r="EI5" s="7" t="s">
        <v>248</v>
      </c>
      <c r="EJ5" s="7" t="s">
        <v>248</v>
      </c>
      <c r="EK5" s="7" t="s">
        <v>248</v>
      </c>
      <c r="EL5" s="7" t="s">
        <v>248</v>
      </c>
      <c r="EM5" s="7" t="s">
        <v>248</v>
      </c>
      <c r="EN5" s="7" t="s">
        <v>248</v>
      </c>
      <c r="EO5" s="7" t="s">
        <v>248</v>
      </c>
      <c r="EP5" s="7" t="s">
        <v>248</v>
      </c>
      <c r="EQ5" s="7" t="s">
        <v>248</v>
      </c>
      <c r="ER5" s="7" t="s">
        <v>248</v>
      </c>
      <c r="ES5" s="7" t="s">
        <v>248</v>
      </c>
      <c r="ET5" s="7" t="s">
        <v>248</v>
      </c>
      <c r="EU5" s="7" t="s">
        <v>248</v>
      </c>
      <c r="EV5" s="7" t="s">
        <v>248</v>
      </c>
      <c r="EW5" s="7" t="s">
        <v>248</v>
      </c>
      <c r="EX5" s="7" t="s">
        <v>248</v>
      </c>
      <c r="EY5" s="7" t="s">
        <v>248</v>
      </c>
      <c r="EZ5" s="7" t="s">
        <v>248</v>
      </c>
      <c r="FA5" s="7" t="s">
        <v>248</v>
      </c>
      <c r="FB5" s="7" t="s">
        <v>248</v>
      </c>
      <c r="FC5" s="7" t="s">
        <v>248</v>
      </c>
      <c r="FD5" s="7" t="s">
        <v>248</v>
      </c>
      <c r="FE5" s="7" t="s">
        <v>248</v>
      </c>
      <c r="FF5" s="7" t="s">
        <v>248</v>
      </c>
      <c r="FG5" s="7" t="s">
        <v>248</v>
      </c>
      <c r="FH5" s="7" t="s">
        <v>248</v>
      </c>
      <c r="FI5" s="7" t="s">
        <v>248</v>
      </c>
      <c r="FJ5" s="7" t="s">
        <v>248</v>
      </c>
      <c r="FK5" s="7" t="s">
        <v>248</v>
      </c>
      <c r="FL5" s="7" t="s">
        <v>248</v>
      </c>
      <c r="FM5" s="7" t="s">
        <v>248</v>
      </c>
      <c r="FN5" s="7" t="s">
        <v>248</v>
      </c>
      <c r="FO5" s="7" t="s">
        <v>248</v>
      </c>
      <c r="FP5" s="7" t="s">
        <v>248</v>
      </c>
      <c r="FQ5" s="7" t="s">
        <v>248</v>
      </c>
      <c r="FR5" s="7" t="s">
        <v>248</v>
      </c>
      <c r="FS5" s="7" t="s">
        <v>248</v>
      </c>
      <c r="FT5" s="7" t="s">
        <v>248</v>
      </c>
      <c r="FU5" s="7" t="s">
        <v>248</v>
      </c>
      <c r="FV5" s="7" t="s">
        <v>248</v>
      </c>
      <c r="FW5" s="7" t="s">
        <v>248</v>
      </c>
      <c r="FX5" s="7" t="s">
        <v>248</v>
      </c>
      <c r="FY5" s="7" t="s">
        <v>248</v>
      </c>
      <c r="FZ5" s="7" t="s">
        <v>248</v>
      </c>
      <c r="GA5" s="7" t="s">
        <v>248</v>
      </c>
      <c r="GB5" s="7" t="s">
        <v>248</v>
      </c>
      <c r="GC5" s="7" t="s">
        <v>248</v>
      </c>
      <c r="GD5" s="7" t="s">
        <v>248</v>
      </c>
      <c r="GE5" s="7" t="s">
        <v>248</v>
      </c>
      <c r="GF5" s="7" t="s">
        <v>248</v>
      </c>
      <c r="GG5" s="7" t="s">
        <v>248</v>
      </c>
      <c r="GH5" s="7" t="s">
        <v>248</v>
      </c>
      <c r="GI5" s="7" t="s">
        <v>248</v>
      </c>
      <c r="GJ5" s="7" t="s">
        <v>248</v>
      </c>
      <c r="GK5" s="7" t="s">
        <v>248</v>
      </c>
      <c r="GL5" s="7" t="s">
        <v>248</v>
      </c>
      <c r="GM5" s="7" t="s">
        <v>248</v>
      </c>
      <c r="GN5" s="7" t="s">
        <v>248</v>
      </c>
      <c r="GO5" s="7" t="s">
        <v>248</v>
      </c>
      <c r="GP5" s="7" t="s">
        <v>248</v>
      </c>
      <c r="GQ5" s="7" t="s">
        <v>248</v>
      </c>
      <c r="GR5" s="7" t="s">
        <v>248</v>
      </c>
      <c r="GS5" s="7" t="s">
        <v>248</v>
      </c>
      <c r="GT5" s="7" t="s">
        <v>248</v>
      </c>
      <c r="GU5" s="7" t="s">
        <v>248</v>
      </c>
      <c r="GV5" s="7" t="s">
        <v>248</v>
      </c>
      <c r="GW5" s="7" t="s">
        <v>248</v>
      </c>
      <c r="GX5" s="7" t="s">
        <v>248</v>
      </c>
      <c r="GY5" s="7" t="s">
        <v>248</v>
      </c>
      <c r="GZ5" s="7" t="s">
        <v>248</v>
      </c>
      <c r="HA5" s="7" t="s">
        <v>248</v>
      </c>
      <c r="HB5" s="7" t="s">
        <v>248</v>
      </c>
      <c r="HC5" s="7" t="s">
        <v>248</v>
      </c>
      <c r="HD5" s="7" t="s">
        <v>248</v>
      </c>
      <c r="HE5" s="7" t="s">
        <v>248</v>
      </c>
      <c r="HF5" s="7" t="s">
        <v>248</v>
      </c>
      <c r="HG5" s="7" t="s">
        <v>248</v>
      </c>
      <c r="HH5" s="7" t="s">
        <v>248</v>
      </c>
      <c r="HI5" s="7" t="s">
        <v>248</v>
      </c>
      <c r="HJ5" s="7" t="s">
        <v>248</v>
      </c>
      <c r="HK5" s="7" t="s">
        <v>248</v>
      </c>
      <c r="HL5" s="7" t="s">
        <v>248</v>
      </c>
      <c r="HM5" s="7" t="s">
        <v>248</v>
      </c>
      <c r="HN5" s="7" t="s">
        <v>248</v>
      </c>
      <c r="HO5" s="7" t="s">
        <v>248</v>
      </c>
      <c r="HP5" s="7" t="s">
        <v>248</v>
      </c>
      <c r="HQ5" s="7" t="s">
        <v>248</v>
      </c>
      <c r="HR5" s="7" t="s">
        <v>248</v>
      </c>
      <c r="HS5" s="7" t="s">
        <v>248</v>
      </c>
      <c r="HT5" s="7" t="s">
        <v>248</v>
      </c>
      <c r="HU5" s="7" t="s">
        <v>248</v>
      </c>
      <c r="HV5" s="7" t="s">
        <v>248</v>
      </c>
      <c r="HW5" s="7" t="s">
        <v>248</v>
      </c>
      <c r="HX5" s="7" t="s">
        <v>248</v>
      </c>
      <c r="HY5" s="7" t="s">
        <v>248</v>
      </c>
      <c r="HZ5" s="7" t="s">
        <v>248</v>
      </c>
      <c r="IA5" s="7" t="s">
        <v>248</v>
      </c>
      <c r="IB5" s="7" t="s">
        <v>248</v>
      </c>
      <c r="IC5" s="7" t="s">
        <v>248</v>
      </c>
      <c r="ID5" s="7" t="s">
        <v>248</v>
      </c>
      <c r="IE5" s="7" t="s">
        <v>248</v>
      </c>
      <c r="IF5" s="7" t="s">
        <v>248</v>
      </c>
      <c r="IG5" s="7" t="s">
        <v>248</v>
      </c>
      <c r="IH5" s="7" t="s">
        <v>248</v>
      </c>
      <c r="II5" s="7" t="s">
        <v>248</v>
      </c>
      <c r="IJ5" s="7" t="s">
        <v>248</v>
      </c>
      <c r="IK5" s="7" t="s">
        <v>248</v>
      </c>
      <c r="IL5" s="7" t="s">
        <v>248</v>
      </c>
      <c r="IM5" s="7" t="s">
        <v>248</v>
      </c>
      <c r="IN5" s="7" t="s">
        <v>248</v>
      </c>
      <c r="IO5" s="7" t="s">
        <v>248</v>
      </c>
      <c r="IP5" s="7" t="s">
        <v>248</v>
      </c>
      <c r="IQ5" s="7" t="s">
        <v>248</v>
      </c>
    </row>
    <row r="6" spans="1:251" x14ac:dyDescent="0.2">
      <c r="A6" s="4" t="s">
        <v>240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3</v>
      </c>
      <c r="DX6" s="1">
        <v>3</v>
      </c>
      <c r="DY6" s="1">
        <v>3</v>
      </c>
      <c r="DZ6" s="1">
        <v>3</v>
      </c>
      <c r="EA6" s="1">
        <v>3</v>
      </c>
      <c r="EB6" s="1">
        <v>3</v>
      </c>
      <c r="EC6" s="1">
        <v>3</v>
      </c>
      <c r="ED6" s="1">
        <v>3</v>
      </c>
      <c r="EE6" s="1">
        <v>3</v>
      </c>
      <c r="EF6" s="1">
        <v>3</v>
      </c>
      <c r="EG6" s="1">
        <v>3</v>
      </c>
      <c r="EH6" s="1">
        <v>3</v>
      </c>
      <c r="EI6" s="1">
        <v>3</v>
      </c>
      <c r="EJ6" s="1">
        <v>3</v>
      </c>
      <c r="EK6" s="1">
        <v>3</v>
      </c>
      <c r="EL6" s="1">
        <v>3</v>
      </c>
      <c r="EM6" s="1">
        <v>3</v>
      </c>
      <c r="EN6" s="1">
        <v>3</v>
      </c>
      <c r="EO6" s="1">
        <v>3</v>
      </c>
      <c r="EP6" s="1">
        <v>3</v>
      </c>
      <c r="EQ6" s="1">
        <v>3</v>
      </c>
      <c r="ER6" s="1">
        <v>3</v>
      </c>
      <c r="ES6" s="1">
        <v>3</v>
      </c>
      <c r="ET6" s="1">
        <v>3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3</v>
      </c>
      <c r="FA6" s="1">
        <v>3</v>
      </c>
      <c r="FB6" s="1">
        <v>3</v>
      </c>
      <c r="FC6" s="1">
        <v>3</v>
      </c>
      <c r="FD6" s="1">
        <v>3</v>
      </c>
      <c r="FE6" s="1">
        <v>3</v>
      </c>
      <c r="FF6" s="1">
        <v>3</v>
      </c>
      <c r="FG6" s="1">
        <v>3</v>
      </c>
      <c r="FH6" s="1">
        <v>3</v>
      </c>
      <c r="FI6" s="1">
        <v>3</v>
      </c>
      <c r="FJ6" s="1">
        <v>3</v>
      </c>
      <c r="FK6" s="1">
        <v>3</v>
      </c>
      <c r="FL6" s="1">
        <v>3</v>
      </c>
      <c r="FM6" s="1">
        <v>3</v>
      </c>
      <c r="FN6" s="1">
        <v>3</v>
      </c>
      <c r="FO6" s="1">
        <v>3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3</v>
      </c>
      <c r="FW6" s="1">
        <v>3</v>
      </c>
      <c r="FX6" s="1">
        <v>3</v>
      </c>
      <c r="FY6" s="1">
        <v>3</v>
      </c>
      <c r="FZ6" s="1">
        <v>3</v>
      </c>
      <c r="GA6" s="1">
        <v>3</v>
      </c>
      <c r="GB6" s="1">
        <v>3</v>
      </c>
      <c r="GC6" s="1">
        <v>3</v>
      </c>
      <c r="GD6" s="1">
        <v>3</v>
      </c>
      <c r="GE6" s="1">
        <v>3</v>
      </c>
      <c r="GF6" s="1">
        <v>3</v>
      </c>
      <c r="GG6" s="1">
        <v>3</v>
      </c>
      <c r="GH6" s="1">
        <v>3</v>
      </c>
      <c r="GI6" s="1">
        <v>3</v>
      </c>
      <c r="GJ6" s="1">
        <v>3</v>
      </c>
      <c r="GK6" s="1">
        <v>3</v>
      </c>
      <c r="GL6" s="1">
        <v>3</v>
      </c>
      <c r="GM6" s="1">
        <v>3</v>
      </c>
      <c r="GN6" s="1">
        <v>3</v>
      </c>
      <c r="GO6" s="1">
        <v>3</v>
      </c>
      <c r="GP6" s="1">
        <v>3</v>
      </c>
      <c r="GQ6" s="1">
        <v>3</v>
      </c>
      <c r="GR6" s="1">
        <v>3</v>
      </c>
      <c r="GS6" s="1">
        <v>3</v>
      </c>
      <c r="GT6" s="1">
        <v>3</v>
      </c>
      <c r="GU6" s="1">
        <v>3</v>
      </c>
      <c r="GV6" s="1">
        <v>3</v>
      </c>
      <c r="GW6" s="1">
        <v>3</v>
      </c>
      <c r="GX6" s="1">
        <v>3</v>
      </c>
      <c r="GY6" s="1">
        <v>3</v>
      </c>
      <c r="GZ6" s="1">
        <v>3</v>
      </c>
      <c r="HA6" s="1">
        <v>3</v>
      </c>
      <c r="HB6" s="1">
        <v>3</v>
      </c>
      <c r="HC6" s="1">
        <v>3</v>
      </c>
      <c r="HD6" s="1">
        <v>3</v>
      </c>
      <c r="HE6" s="1">
        <v>3</v>
      </c>
      <c r="HF6" s="1">
        <v>3</v>
      </c>
      <c r="HG6" s="1">
        <v>3</v>
      </c>
      <c r="HH6" s="1">
        <v>3</v>
      </c>
      <c r="HI6" s="1">
        <v>3</v>
      </c>
      <c r="HJ6" s="1">
        <v>3</v>
      </c>
      <c r="HK6" s="1">
        <v>3</v>
      </c>
      <c r="HL6" s="1">
        <v>3</v>
      </c>
      <c r="HM6" s="1">
        <v>3</v>
      </c>
      <c r="HN6" s="1">
        <v>3</v>
      </c>
      <c r="HO6" s="1">
        <v>3</v>
      </c>
      <c r="HP6" s="1">
        <v>3</v>
      </c>
      <c r="HQ6" s="1">
        <v>3</v>
      </c>
      <c r="HR6" s="1">
        <v>3</v>
      </c>
      <c r="HS6" s="1">
        <v>3</v>
      </c>
      <c r="HT6" s="1">
        <v>3</v>
      </c>
      <c r="HU6" s="1">
        <v>3</v>
      </c>
      <c r="HV6" s="1">
        <v>3</v>
      </c>
      <c r="HW6" s="1">
        <v>3</v>
      </c>
      <c r="HX6" s="1">
        <v>3</v>
      </c>
      <c r="HY6" s="1">
        <v>3</v>
      </c>
      <c r="HZ6" s="1">
        <v>3</v>
      </c>
      <c r="IA6" s="1">
        <v>3</v>
      </c>
      <c r="IB6" s="1">
        <v>3</v>
      </c>
      <c r="IC6" s="1">
        <v>3</v>
      </c>
      <c r="ID6" s="1">
        <v>3</v>
      </c>
      <c r="IE6" s="1">
        <v>3</v>
      </c>
      <c r="IF6" s="1">
        <v>3</v>
      </c>
      <c r="IG6" s="1">
        <v>3</v>
      </c>
      <c r="IH6" s="1">
        <v>3</v>
      </c>
      <c r="II6" s="1">
        <v>3</v>
      </c>
      <c r="IJ6" s="1">
        <v>3</v>
      </c>
      <c r="IK6" s="1">
        <v>3</v>
      </c>
      <c r="IL6" s="1">
        <v>3</v>
      </c>
      <c r="IM6" s="1">
        <v>3</v>
      </c>
      <c r="IN6" s="1">
        <v>3</v>
      </c>
      <c r="IO6" s="1">
        <v>3</v>
      </c>
      <c r="IP6" s="1">
        <v>3</v>
      </c>
      <c r="IQ6" s="1">
        <v>3</v>
      </c>
    </row>
    <row r="7" spans="1:251" s="6" customFormat="1" x14ac:dyDescent="0.2">
      <c r="A7" s="5" t="s">
        <v>241</v>
      </c>
      <c r="B7" s="6">
        <v>17777</v>
      </c>
      <c r="C7" s="6">
        <v>26543</v>
      </c>
      <c r="D7" s="6">
        <v>26543</v>
      </c>
      <c r="E7" s="6">
        <v>29465</v>
      </c>
      <c r="F7" s="6">
        <v>29465</v>
      </c>
      <c r="G7" s="6">
        <v>29465</v>
      </c>
      <c r="H7" s="6">
        <v>29465</v>
      </c>
      <c r="I7" s="6">
        <v>26543</v>
      </c>
      <c r="J7" s="6">
        <v>26543</v>
      </c>
      <c r="K7" s="6">
        <v>29465</v>
      </c>
      <c r="L7" s="6">
        <v>26543</v>
      </c>
      <c r="M7" s="6">
        <v>26543</v>
      </c>
      <c r="N7" s="6">
        <v>29465</v>
      </c>
      <c r="O7" s="6">
        <v>28004</v>
      </c>
      <c r="P7" s="6">
        <v>26543</v>
      </c>
      <c r="Q7" s="6">
        <v>29465</v>
      </c>
      <c r="R7" s="6">
        <v>29465</v>
      </c>
      <c r="S7" s="6">
        <v>29465</v>
      </c>
      <c r="T7" s="6">
        <v>32752</v>
      </c>
      <c r="U7" s="6">
        <v>32752</v>
      </c>
      <c r="V7" s="6">
        <v>32752</v>
      </c>
      <c r="W7" s="6">
        <v>32752</v>
      </c>
      <c r="X7" s="6">
        <v>29465</v>
      </c>
      <c r="Y7" s="6">
        <v>29465</v>
      </c>
      <c r="Z7" s="6">
        <v>32752</v>
      </c>
      <c r="AA7" s="6">
        <v>32752</v>
      </c>
      <c r="AB7" s="6">
        <v>32752</v>
      </c>
      <c r="AC7" s="6">
        <v>29465</v>
      </c>
      <c r="AD7" s="6">
        <v>32752</v>
      </c>
      <c r="AE7" s="6">
        <v>29465</v>
      </c>
      <c r="AF7" s="6">
        <v>32752</v>
      </c>
      <c r="AG7" s="6">
        <v>28004</v>
      </c>
      <c r="AH7" s="6">
        <v>29465</v>
      </c>
      <c r="AI7" s="6">
        <v>29465</v>
      </c>
      <c r="AJ7" s="6">
        <v>26543</v>
      </c>
      <c r="AK7" s="6">
        <v>26543</v>
      </c>
      <c r="AL7" s="6">
        <v>29465</v>
      </c>
      <c r="AM7" s="6">
        <v>29465</v>
      </c>
      <c r="AN7" s="6">
        <v>26543</v>
      </c>
      <c r="AO7" s="6">
        <v>26543</v>
      </c>
      <c r="AP7" s="6">
        <v>26543</v>
      </c>
      <c r="AQ7" s="6">
        <v>26543</v>
      </c>
      <c r="AR7" s="6">
        <v>32752</v>
      </c>
      <c r="AS7" s="6">
        <v>32752</v>
      </c>
      <c r="AT7" s="6">
        <v>32752</v>
      </c>
      <c r="AU7" s="6">
        <v>32752</v>
      </c>
      <c r="AV7" s="6">
        <v>26543</v>
      </c>
      <c r="AW7" s="6">
        <v>29465</v>
      </c>
      <c r="AX7" s="6">
        <v>29465</v>
      </c>
      <c r="AY7" s="6">
        <v>29465</v>
      </c>
      <c r="AZ7" s="6">
        <v>35947</v>
      </c>
      <c r="BA7" s="6">
        <v>35947</v>
      </c>
      <c r="BB7" s="6">
        <v>26543</v>
      </c>
      <c r="BC7" s="6">
        <v>26543</v>
      </c>
      <c r="BD7" s="6">
        <v>26543</v>
      </c>
      <c r="BE7" s="6">
        <v>26543</v>
      </c>
      <c r="BF7" s="6">
        <v>35947</v>
      </c>
      <c r="BG7" s="6">
        <v>35947</v>
      </c>
      <c r="BH7" s="6">
        <v>35947</v>
      </c>
      <c r="BI7" s="6">
        <v>29465</v>
      </c>
      <c r="BJ7" s="6">
        <v>35947</v>
      </c>
      <c r="BK7" s="6">
        <v>26543</v>
      </c>
      <c r="BL7" s="6">
        <v>35947</v>
      </c>
      <c r="BM7" s="6">
        <v>29465</v>
      </c>
      <c r="BN7" s="6">
        <v>32752</v>
      </c>
      <c r="BO7" s="6">
        <v>26543</v>
      </c>
      <c r="BP7" s="6">
        <v>26543</v>
      </c>
      <c r="BQ7" s="6">
        <v>29465</v>
      </c>
      <c r="BR7" s="6">
        <v>29465</v>
      </c>
      <c r="BS7" s="6">
        <v>26543</v>
      </c>
      <c r="BT7" s="6">
        <v>26543</v>
      </c>
      <c r="BU7" s="6">
        <v>32752</v>
      </c>
      <c r="BV7" s="6">
        <v>26543</v>
      </c>
      <c r="BW7" s="6">
        <v>26543</v>
      </c>
      <c r="BX7" s="6">
        <v>32752</v>
      </c>
      <c r="BY7" s="6">
        <v>29465</v>
      </c>
      <c r="BZ7" s="6">
        <v>32752</v>
      </c>
      <c r="CA7" s="6">
        <v>29465</v>
      </c>
      <c r="CB7" s="6">
        <v>29465</v>
      </c>
      <c r="CC7" s="6">
        <v>32752</v>
      </c>
      <c r="CD7" s="6">
        <v>32752</v>
      </c>
      <c r="CE7" s="6">
        <v>30011</v>
      </c>
      <c r="CF7" s="6">
        <v>26543</v>
      </c>
      <c r="CG7" s="6">
        <v>32752</v>
      </c>
      <c r="CH7" s="6">
        <v>32752</v>
      </c>
      <c r="CI7" s="6">
        <v>31747</v>
      </c>
      <c r="CJ7" s="6">
        <v>29465</v>
      </c>
      <c r="CK7" s="6">
        <v>31747</v>
      </c>
      <c r="CL7" s="6">
        <v>29465</v>
      </c>
      <c r="CM7" s="6">
        <v>29465</v>
      </c>
      <c r="CN7" s="6">
        <v>29465</v>
      </c>
      <c r="CO7" s="6">
        <v>26543</v>
      </c>
      <c r="CP7" s="6">
        <v>26543</v>
      </c>
      <c r="CQ7" s="6">
        <v>26543</v>
      </c>
      <c r="CR7" s="6">
        <v>29465</v>
      </c>
      <c r="CS7" s="6">
        <v>26543</v>
      </c>
      <c r="CT7" s="6">
        <v>29465</v>
      </c>
      <c r="CU7" s="6">
        <v>29465</v>
      </c>
      <c r="CV7" s="6">
        <v>26543</v>
      </c>
      <c r="CW7" s="6">
        <v>26543</v>
      </c>
      <c r="CX7" s="6">
        <v>26543</v>
      </c>
      <c r="CY7" s="6">
        <v>26543</v>
      </c>
      <c r="CZ7" s="6">
        <v>29465</v>
      </c>
      <c r="DA7" s="6">
        <v>29465</v>
      </c>
      <c r="DB7" s="6">
        <v>32752</v>
      </c>
      <c r="DC7" s="6">
        <v>32752</v>
      </c>
      <c r="DD7" s="6">
        <v>29465</v>
      </c>
      <c r="DE7" s="6">
        <v>32752</v>
      </c>
      <c r="DF7" s="6">
        <v>32752</v>
      </c>
      <c r="DG7" s="6">
        <v>35947</v>
      </c>
      <c r="DH7" s="6">
        <v>35947</v>
      </c>
      <c r="DI7" s="6">
        <v>30011</v>
      </c>
      <c r="DJ7" s="6">
        <v>30011</v>
      </c>
      <c r="DK7" s="6">
        <v>30011</v>
      </c>
      <c r="DL7" s="6">
        <v>32752</v>
      </c>
      <c r="DM7" s="6">
        <v>35947</v>
      </c>
      <c r="DN7" s="6">
        <v>35947</v>
      </c>
      <c r="DO7" s="6">
        <v>29465</v>
      </c>
      <c r="DP7" s="6">
        <v>31747</v>
      </c>
      <c r="DQ7" s="6">
        <v>35947</v>
      </c>
      <c r="DR7" s="6">
        <v>35947</v>
      </c>
      <c r="DS7" s="6">
        <v>30011</v>
      </c>
      <c r="DT7" s="6">
        <v>30011</v>
      </c>
      <c r="DU7" s="6">
        <v>36678</v>
      </c>
      <c r="DV7" s="6">
        <v>36678</v>
      </c>
      <c r="DW7" s="6">
        <v>36678</v>
      </c>
      <c r="DX7" s="6">
        <v>38504</v>
      </c>
      <c r="DY7" s="6">
        <v>32752</v>
      </c>
      <c r="DZ7" s="6">
        <v>32752</v>
      </c>
      <c r="EA7" s="6">
        <v>40695</v>
      </c>
      <c r="EB7" s="6">
        <v>40695</v>
      </c>
      <c r="EC7" s="6">
        <v>38504</v>
      </c>
      <c r="ED7" s="6">
        <v>17868</v>
      </c>
      <c r="EE7" s="6">
        <v>26634</v>
      </c>
      <c r="EF7" s="6">
        <v>26634</v>
      </c>
      <c r="EG7" s="6">
        <v>29556</v>
      </c>
      <c r="EH7" s="6">
        <v>29556</v>
      </c>
      <c r="EI7" s="6">
        <v>29556</v>
      </c>
      <c r="EJ7" s="6">
        <v>29556</v>
      </c>
      <c r="EK7" s="6">
        <v>26634</v>
      </c>
      <c r="EL7" s="6">
        <v>26634</v>
      </c>
      <c r="EM7" s="6">
        <v>29556</v>
      </c>
      <c r="EN7" s="6">
        <v>26634</v>
      </c>
      <c r="EO7" s="6">
        <v>26634</v>
      </c>
      <c r="EP7" s="6">
        <v>29556</v>
      </c>
      <c r="EQ7" s="6">
        <v>28095</v>
      </c>
      <c r="ER7" s="6">
        <v>26634</v>
      </c>
      <c r="ES7" s="6">
        <v>29556</v>
      </c>
      <c r="ET7" s="6">
        <v>29556</v>
      </c>
      <c r="EU7" s="6">
        <v>29556</v>
      </c>
      <c r="EV7" s="6">
        <v>32843</v>
      </c>
      <c r="EW7" s="6">
        <v>32843</v>
      </c>
      <c r="EX7" s="6">
        <v>32843</v>
      </c>
      <c r="EY7" s="6">
        <v>32843</v>
      </c>
      <c r="EZ7" s="6">
        <v>29556</v>
      </c>
      <c r="FA7" s="6">
        <v>29556</v>
      </c>
      <c r="FB7" s="6">
        <v>32843</v>
      </c>
      <c r="FC7" s="6">
        <v>32843</v>
      </c>
      <c r="FD7" s="6">
        <v>32843</v>
      </c>
      <c r="FE7" s="6">
        <v>29556</v>
      </c>
      <c r="FF7" s="6">
        <v>32843</v>
      </c>
      <c r="FG7" s="6">
        <v>29556</v>
      </c>
      <c r="FH7" s="6">
        <v>32843</v>
      </c>
      <c r="FI7" s="6">
        <v>28095</v>
      </c>
      <c r="FJ7" s="6">
        <v>29556</v>
      </c>
      <c r="FK7" s="6">
        <v>29556</v>
      </c>
      <c r="FL7" s="6">
        <v>26634</v>
      </c>
      <c r="FM7" s="6">
        <v>26634</v>
      </c>
      <c r="FN7" s="6">
        <v>29556</v>
      </c>
      <c r="FO7" s="6">
        <v>29556</v>
      </c>
      <c r="FP7" s="6">
        <v>26634</v>
      </c>
      <c r="FQ7" s="6">
        <v>26634</v>
      </c>
      <c r="FR7" s="6">
        <v>26634</v>
      </c>
      <c r="FS7" s="6">
        <v>26634</v>
      </c>
      <c r="FT7" s="6">
        <v>32843</v>
      </c>
      <c r="FU7" s="6">
        <v>32843</v>
      </c>
      <c r="FV7" s="6">
        <v>32843</v>
      </c>
      <c r="FW7" s="6">
        <v>32843</v>
      </c>
      <c r="FX7" s="6">
        <v>26634</v>
      </c>
      <c r="FY7" s="6">
        <v>29556</v>
      </c>
      <c r="FZ7" s="6">
        <v>29556</v>
      </c>
      <c r="GA7" s="6">
        <v>29556</v>
      </c>
      <c r="GB7" s="6">
        <v>36039</v>
      </c>
      <c r="GC7" s="6">
        <v>36039</v>
      </c>
      <c r="GD7" s="6">
        <v>26634</v>
      </c>
      <c r="GE7" s="6">
        <v>26634</v>
      </c>
      <c r="GF7" s="6">
        <v>26634</v>
      </c>
      <c r="GG7" s="6">
        <v>26634</v>
      </c>
      <c r="GH7" s="6">
        <v>36039</v>
      </c>
      <c r="GI7" s="6">
        <v>36039</v>
      </c>
      <c r="GJ7" s="6">
        <v>36039</v>
      </c>
      <c r="GK7" s="6">
        <v>29556</v>
      </c>
      <c r="GL7" s="6">
        <v>36039</v>
      </c>
      <c r="GM7" s="6">
        <v>26634</v>
      </c>
      <c r="GN7" s="6">
        <v>36039</v>
      </c>
      <c r="GO7" s="6">
        <v>29556</v>
      </c>
      <c r="GP7" s="6">
        <v>32843</v>
      </c>
      <c r="GQ7" s="6">
        <v>26634</v>
      </c>
      <c r="GR7" s="6">
        <v>26634</v>
      </c>
      <c r="GS7" s="6">
        <v>29556</v>
      </c>
      <c r="GT7" s="6">
        <v>29556</v>
      </c>
      <c r="GU7" s="6">
        <v>26634</v>
      </c>
      <c r="GV7" s="6">
        <v>26634</v>
      </c>
      <c r="GW7" s="6">
        <v>32843</v>
      </c>
      <c r="GX7" s="6">
        <v>26634</v>
      </c>
      <c r="GY7" s="6">
        <v>26634</v>
      </c>
      <c r="GZ7" s="6">
        <v>32843</v>
      </c>
      <c r="HA7" s="6">
        <v>29556</v>
      </c>
      <c r="HB7" s="6">
        <v>32843</v>
      </c>
      <c r="HC7" s="6">
        <v>29556</v>
      </c>
      <c r="HD7" s="6">
        <v>29556</v>
      </c>
      <c r="HE7" s="6">
        <v>32843</v>
      </c>
      <c r="HF7" s="6">
        <v>32843</v>
      </c>
      <c r="HG7" s="6">
        <v>30103</v>
      </c>
      <c r="HH7" s="6">
        <v>26634</v>
      </c>
      <c r="HI7" s="6">
        <v>32843</v>
      </c>
      <c r="HJ7" s="6">
        <v>32843</v>
      </c>
      <c r="HK7" s="6">
        <v>31837</v>
      </c>
      <c r="HL7" s="6">
        <v>29556</v>
      </c>
      <c r="HM7" s="6">
        <v>31837</v>
      </c>
      <c r="HN7" s="6">
        <v>29556</v>
      </c>
      <c r="HO7" s="6">
        <v>29556</v>
      </c>
      <c r="HP7" s="6">
        <v>29556</v>
      </c>
      <c r="HQ7" s="6">
        <v>26634</v>
      </c>
      <c r="HR7" s="6">
        <v>26634</v>
      </c>
      <c r="HS7" s="6">
        <v>26634</v>
      </c>
      <c r="HT7" s="6">
        <v>29556</v>
      </c>
      <c r="HU7" s="6">
        <v>26634</v>
      </c>
      <c r="HV7" s="6">
        <v>29556</v>
      </c>
      <c r="HW7" s="6">
        <v>29556</v>
      </c>
      <c r="HX7" s="6">
        <v>26634</v>
      </c>
      <c r="HY7" s="6">
        <v>26634</v>
      </c>
      <c r="HZ7" s="6">
        <v>26634</v>
      </c>
      <c r="IA7" s="6">
        <v>26634</v>
      </c>
      <c r="IB7" s="6">
        <v>29556</v>
      </c>
      <c r="IC7" s="6">
        <v>29556</v>
      </c>
      <c r="ID7" s="6">
        <v>32843</v>
      </c>
      <c r="IE7" s="6">
        <v>32843</v>
      </c>
      <c r="IF7" s="6">
        <v>29556</v>
      </c>
      <c r="IG7" s="6">
        <v>32843</v>
      </c>
      <c r="IH7" s="6">
        <v>32843</v>
      </c>
      <c r="II7" s="6">
        <v>36039</v>
      </c>
      <c r="IJ7" s="6">
        <v>36039</v>
      </c>
      <c r="IK7" s="6">
        <v>30103</v>
      </c>
      <c r="IL7" s="6">
        <v>30103</v>
      </c>
      <c r="IM7" s="6">
        <v>30103</v>
      </c>
      <c r="IN7" s="6">
        <v>32843</v>
      </c>
      <c r="IO7" s="6">
        <v>36039</v>
      </c>
      <c r="IP7" s="6">
        <v>36039</v>
      </c>
      <c r="IQ7" s="6">
        <v>29556</v>
      </c>
    </row>
    <row r="8" spans="1:251" s="6" customFormat="1" x14ac:dyDescent="0.2">
      <c r="A8" s="5" t="s">
        <v>242</v>
      </c>
      <c r="B8" s="6">
        <v>45992</v>
      </c>
      <c r="C8" s="6">
        <v>45992</v>
      </c>
      <c r="D8" s="6">
        <v>45992</v>
      </c>
      <c r="E8" s="6">
        <v>45992</v>
      </c>
      <c r="F8" s="6">
        <v>45992</v>
      </c>
      <c r="G8" s="6">
        <v>45992</v>
      </c>
      <c r="H8" s="6">
        <v>45992</v>
      </c>
      <c r="I8" s="6">
        <v>45992</v>
      </c>
      <c r="J8" s="6">
        <v>45992</v>
      </c>
      <c r="K8" s="6">
        <v>45992</v>
      </c>
      <c r="L8" s="6">
        <v>45992</v>
      </c>
      <c r="M8" s="6">
        <v>45992</v>
      </c>
      <c r="N8" s="6">
        <v>45992</v>
      </c>
      <c r="O8" s="6">
        <v>45992</v>
      </c>
      <c r="P8" s="6">
        <v>45992</v>
      </c>
      <c r="Q8" s="6">
        <v>45992</v>
      </c>
      <c r="R8" s="6">
        <v>45992</v>
      </c>
      <c r="S8" s="6">
        <v>45992</v>
      </c>
      <c r="T8" s="6">
        <v>45992</v>
      </c>
      <c r="U8" s="6">
        <v>45992</v>
      </c>
      <c r="V8" s="6">
        <v>45992</v>
      </c>
      <c r="W8" s="6">
        <v>45992</v>
      </c>
      <c r="X8" s="6">
        <v>45992</v>
      </c>
      <c r="Y8" s="6">
        <v>45992</v>
      </c>
      <c r="Z8" s="6">
        <v>45992</v>
      </c>
      <c r="AA8" s="6">
        <v>45992</v>
      </c>
      <c r="AB8" s="6">
        <v>45992</v>
      </c>
      <c r="AC8" s="6">
        <v>45992</v>
      </c>
      <c r="AD8" s="6">
        <v>45992</v>
      </c>
      <c r="AE8" s="6">
        <v>45992</v>
      </c>
      <c r="AF8" s="6">
        <v>45992</v>
      </c>
      <c r="AG8" s="6">
        <v>45992</v>
      </c>
      <c r="AH8" s="6">
        <v>45992</v>
      </c>
      <c r="AI8" s="6">
        <v>45992</v>
      </c>
      <c r="AJ8" s="6">
        <v>45992</v>
      </c>
      <c r="AK8" s="6">
        <v>45992</v>
      </c>
      <c r="AL8" s="6">
        <v>45992</v>
      </c>
      <c r="AM8" s="6">
        <v>45992</v>
      </c>
      <c r="AN8" s="6">
        <v>45992</v>
      </c>
      <c r="AO8" s="6">
        <v>45992</v>
      </c>
      <c r="AP8" s="6">
        <v>45992</v>
      </c>
      <c r="AQ8" s="6">
        <v>45992</v>
      </c>
      <c r="AR8" s="6">
        <v>45992</v>
      </c>
      <c r="AS8" s="6">
        <v>45992</v>
      </c>
      <c r="AT8" s="6">
        <v>45992</v>
      </c>
      <c r="AU8" s="6">
        <v>45992</v>
      </c>
      <c r="AV8" s="6">
        <v>45992</v>
      </c>
      <c r="AW8" s="6">
        <v>45992</v>
      </c>
      <c r="AX8" s="6">
        <v>45992</v>
      </c>
      <c r="AY8" s="6">
        <v>45992</v>
      </c>
      <c r="AZ8" s="6">
        <v>45992</v>
      </c>
      <c r="BA8" s="6">
        <v>45992</v>
      </c>
      <c r="BB8" s="6">
        <v>45992</v>
      </c>
      <c r="BC8" s="6">
        <v>45992</v>
      </c>
      <c r="BD8" s="6">
        <v>45992</v>
      </c>
      <c r="BE8" s="6">
        <v>45992</v>
      </c>
      <c r="BF8" s="6">
        <v>45992</v>
      </c>
      <c r="BG8" s="6">
        <v>45992</v>
      </c>
      <c r="BH8" s="6">
        <v>45992</v>
      </c>
      <c r="BI8" s="6">
        <v>45992</v>
      </c>
      <c r="BJ8" s="6">
        <v>45992</v>
      </c>
      <c r="BK8" s="6">
        <v>45992</v>
      </c>
      <c r="BL8" s="6">
        <v>45992</v>
      </c>
      <c r="BM8" s="6">
        <v>45992</v>
      </c>
      <c r="BN8" s="6">
        <v>45992</v>
      </c>
      <c r="BO8" s="6">
        <v>45992</v>
      </c>
      <c r="BP8" s="6">
        <v>45992</v>
      </c>
      <c r="BQ8" s="6">
        <v>45992</v>
      </c>
      <c r="BR8" s="6">
        <v>45992</v>
      </c>
      <c r="BS8" s="6">
        <v>45992</v>
      </c>
      <c r="BT8" s="6">
        <v>45992</v>
      </c>
      <c r="BU8" s="6">
        <v>45992</v>
      </c>
      <c r="BV8" s="6">
        <v>45992</v>
      </c>
      <c r="BW8" s="6">
        <v>45992</v>
      </c>
      <c r="BX8" s="6">
        <v>45992</v>
      </c>
      <c r="BY8" s="6">
        <v>45992</v>
      </c>
      <c r="BZ8" s="6">
        <v>45992</v>
      </c>
      <c r="CA8" s="6">
        <v>45992</v>
      </c>
      <c r="CB8" s="6">
        <v>45992</v>
      </c>
      <c r="CC8" s="6">
        <v>45992</v>
      </c>
      <c r="CD8" s="6">
        <v>45992</v>
      </c>
      <c r="CE8" s="6">
        <v>45992</v>
      </c>
      <c r="CF8" s="6">
        <v>45992</v>
      </c>
      <c r="CG8" s="6">
        <v>45992</v>
      </c>
      <c r="CH8" s="6">
        <v>45992</v>
      </c>
      <c r="CI8" s="6">
        <v>45992</v>
      </c>
      <c r="CJ8" s="6">
        <v>45992</v>
      </c>
      <c r="CK8" s="6">
        <v>45992</v>
      </c>
      <c r="CL8" s="6">
        <v>45992</v>
      </c>
      <c r="CM8" s="6">
        <v>45992</v>
      </c>
      <c r="CN8" s="6">
        <v>45992</v>
      </c>
      <c r="CO8" s="6">
        <v>45992</v>
      </c>
      <c r="CP8" s="6">
        <v>45992</v>
      </c>
      <c r="CQ8" s="6">
        <v>45992</v>
      </c>
      <c r="CR8" s="6">
        <v>45992</v>
      </c>
      <c r="CS8" s="6">
        <v>45992</v>
      </c>
      <c r="CT8" s="6">
        <v>45992</v>
      </c>
      <c r="CU8" s="6">
        <v>45992</v>
      </c>
      <c r="CV8" s="6">
        <v>45992</v>
      </c>
      <c r="CW8" s="6">
        <v>45992</v>
      </c>
      <c r="CX8" s="6">
        <v>45992</v>
      </c>
      <c r="CY8" s="6">
        <v>45992</v>
      </c>
      <c r="CZ8" s="6">
        <v>45992</v>
      </c>
      <c r="DA8" s="6">
        <v>45992</v>
      </c>
      <c r="DB8" s="6">
        <v>45992</v>
      </c>
      <c r="DC8" s="6">
        <v>45992</v>
      </c>
      <c r="DD8" s="6">
        <v>45992</v>
      </c>
      <c r="DE8" s="6">
        <v>45992</v>
      </c>
      <c r="DF8" s="6">
        <v>45992</v>
      </c>
      <c r="DG8" s="6">
        <v>45992</v>
      </c>
      <c r="DH8" s="6">
        <v>45992</v>
      </c>
      <c r="DI8" s="6">
        <v>45992</v>
      </c>
      <c r="DJ8" s="6">
        <v>45992</v>
      </c>
      <c r="DK8" s="6">
        <v>45992</v>
      </c>
      <c r="DL8" s="6">
        <v>45992</v>
      </c>
      <c r="DM8" s="6">
        <v>45992</v>
      </c>
      <c r="DN8" s="6">
        <v>45992</v>
      </c>
      <c r="DO8" s="6">
        <v>45992</v>
      </c>
      <c r="DP8" s="6">
        <v>45992</v>
      </c>
      <c r="DQ8" s="6">
        <v>45992</v>
      </c>
      <c r="DR8" s="6">
        <v>45992</v>
      </c>
      <c r="DS8" s="6">
        <v>45992</v>
      </c>
      <c r="DT8" s="6">
        <v>45992</v>
      </c>
      <c r="DU8" s="6">
        <v>45992</v>
      </c>
      <c r="DV8" s="6">
        <v>45992</v>
      </c>
      <c r="DW8" s="6">
        <v>45992</v>
      </c>
      <c r="DX8" s="6">
        <v>45992</v>
      </c>
      <c r="DY8" s="6">
        <v>45992</v>
      </c>
      <c r="DZ8" s="6">
        <v>45992</v>
      </c>
      <c r="EA8" s="6">
        <v>45992</v>
      </c>
      <c r="EB8" s="6">
        <v>45992</v>
      </c>
      <c r="EC8" s="6">
        <v>45992</v>
      </c>
      <c r="ED8" s="6">
        <v>45992</v>
      </c>
      <c r="EE8" s="6">
        <v>45992</v>
      </c>
      <c r="EF8" s="6">
        <v>45992</v>
      </c>
      <c r="EG8" s="6">
        <v>45992</v>
      </c>
      <c r="EH8" s="6">
        <v>45992</v>
      </c>
      <c r="EI8" s="6">
        <v>45992</v>
      </c>
      <c r="EJ8" s="6">
        <v>45992</v>
      </c>
      <c r="EK8" s="6">
        <v>45992</v>
      </c>
      <c r="EL8" s="6">
        <v>45992</v>
      </c>
      <c r="EM8" s="6">
        <v>45992</v>
      </c>
      <c r="EN8" s="6">
        <v>45992</v>
      </c>
      <c r="EO8" s="6">
        <v>45992</v>
      </c>
      <c r="EP8" s="6">
        <v>45992</v>
      </c>
      <c r="EQ8" s="6">
        <v>45992</v>
      </c>
      <c r="ER8" s="6">
        <v>45992</v>
      </c>
      <c r="ES8" s="6">
        <v>45992</v>
      </c>
      <c r="ET8" s="6">
        <v>45992</v>
      </c>
      <c r="EU8" s="6">
        <v>45992</v>
      </c>
      <c r="EV8" s="6">
        <v>45992</v>
      </c>
      <c r="EW8" s="6">
        <v>45992</v>
      </c>
      <c r="EX8" s="6">
        <v>45992</v>
      </c>
      <c r="EY8" s="6">
        <v>45992</v>
      </c>
      <c r="EZ8" s="6">
        <v>45992</v>
      </c>
      <c r="FA8" s="6">
        <v>45992</v>
      </c>
      <c r="FB8" s="6">
        <v>45992</v>
      </c>
      <c r="FC8" s="6">
        <v>45992</v>
      </c>
      <c r="FD8" s="6">
        <v>45992</v>
      </c>
      <c r="FE8" s="6">
        <v>45992</v>
      </c>
      <c r="FF8" s="6">
        <v>45992</v>
      </c>
      <c r="FG8" s="6">
        <v>45992</v>
      </c>
      <c r="FH8" s="6">
        <v>45992</v>
      </c>
      <c r="FI8" s="6">
        <v>45992</v>
      </c>
      <c r="FJ8" s="6">
        <v>45992</v>
      </c>
      <c r="FK8" s="6">
        <v>45992</v>
      </c>
      <c r="FL8" s="6">
        <v>45992</v>
      </c>
      <c r="FM8" s="6">
        <v>45992</v>
      </c>
      <c r="FN8" s="6">
        <v>45992</v>
      </c>
      <c r="FO8" s="6">
        <v>45992</v>
      </c>
      <c r="FP8" s="6">
        <v>45992</v>
      </c>
      <c r="FQ8" s="6">
        <v>45992</v>
      </c>
      <c r="FR8" s="6">
        <v>45992</v>
      </c>
      <c r="FS8" s="6">
        <v>45992</v>
      </c>
      <c r="FT8" s="6">
        <v>45992</v>
      </c>
      <c r="FU8" s="6">
        <v>45992</v>
      </c>
      <c r="FV8" s="6">
        <v>45992</v>
      </c>
      <c r="FW8" s="6">
        <v>45992</v>
      </c>
      <c r="FX8" s="6">
        <v>45992</v>
      </c>
      <c r="FY8" s="6">
        <v>45992</v>
      </c>
      <c r="FZ8" s="6">
        <v>45992</v>
      </c>
      <c r="GA8" s="6">
        <v>45992</v>
      </c>
      <c r="GB8" s="6">
        <v>45992</v>
      </c>
      <c r="GC8" s="6">
        <v>45992</v>
      </c>
      <c r="GD8" s="6">
        <v>45992</v>
      </c>
      <c r="GE8" s="6">
        <v>45992</v>
      </c>
      <c r="GF8" s="6">
        <v>45992</v>
      </c>
      <c r="GG8" s="6">
        <v>45992</v>
      </c>
      <c r="GH8" s="6">
        <v>45992</v>
      </c>
      <c r="GI8" s="6">
        <v>45992</v>
      </c>
      <c r="GJ8" s="6">
        <v>45992</v>
      </c>
      <c r="GK8" s="6">
        <v>45992</v>
      </c>
      <c r="GL8" s="6">
        <v>45992</v>
      </c>
      <c r="GM8" s="6">
        <v>45992</v>
      </c>
      <c r="GN8" s="6">
        <v>45992</v>
      </c>
      <c r="GO8" s="6">
        <v>45992</v>
      </c>
      <c r="GP8" s="6">
        <v>45992</v>
      </c>
      <c r="GQ8" s="6">
        <v>45992</v>
      </c>
      <c r="GR8" s="6">
        <v>45992</v>
      </c>
      <c r="GS8" s="6">
        <v>45992</v>
      </c>
      <c r="GT8" s="6">
        <v>45992</v>
      </c>
      <c r="GU8" s="6">
        <v>45992</v>
      </c>
      <c r="GV8" s="6">
        <v>45992</v>
      </c>
      <c r="GW8" s="6">
        <v>45992</v>
      </c>
      <c r="GX8" s="6">
        <v>45992</v>
      </c>
      <c r="GY8" s="6">
        <v>45992</v>
      </c>
      <c r="GZ8" s="6">
        <v>45992</v>
      </c>
      <c r="HA8" s="6">
        <v>45992</v>
      </c>
      <c r="HB8" s="6">
        <v>45992</v>
      </c>
      <c r="HC8" s="6">
        <v>45992</v>
      </c>
      <c r="HD8" s="6">
        <v>45992</v>
      </c>
      <c r="HE8" s="6">
        <v>45992</v>
      </c>
      <c r="HF8" s="6">
        <v>45992</v>
      </c>
      <c r="HG8" s="6">
        <v>45992</v>
      </c>
      <c r="HH8" s="6">
        <v>45992</v>
      </c>
      <c r="HI8" s="6">
        <v>45992</v>
      </c>
      <c r="HJ8" s="6">
        <v>45992</v>
      </c>
      <c r="HK8" s="6">
        <v>45992</v>
      </c>
      <c r="HL8" s="6">
        <v>45992</v>
      </c>
      <c r="HM8" s="6">
        <v>45992</v>
      </c>
      <c r="HN8" s="6">
        <v>45992</v>
      </c>
      <c r="HO8" s="6">
        <v>45992</v>
      </c>
      <c r="HP8" s="6">
        <v>45992</v>
      </c>
      <c r="HQ8" s="6">
        <v>45992</v>
      </c>
      <c r="HR8" s="6">
        <v>45992</v>
      </c>
      <c r="HS8" s="6">
        <v>45992</v>
      </c>
      <c r="HT8" s="6">
        <v>45992</v>
      </c>
      <c r="HU8" s="6">
        <v>45992</v>
      </c>
      <c r="HV8" s="6">
        <v>45992</v>
      </c>
      <c r="HW8" s="6">
        <v>45992</v>
      </c>
      <c r="HX8" s="6">
        <v>45992</v>
      </c>
      <c r="HY8" s="6">
        <v>45992</v>
      </c>
      <c r="HZ8" s="6">
        <v>45992</v>
      </c>
      <c r="IA8" s="6">
        <v>45992</v>
      </c>
      <c r="IB8" s="6">
        <v>45992</v>
      </c>
      <c r="IC8" s="6">
        <v>45992</v>
      </c>
      <c r="ID8" s="6">
        <v>45992</v>
      </c>
      <c r="IE8" s="6">
        <v>45992</v>
      </c>
      <c r="IF8" s="6">
        <v>45992</v>
      </c>
      <c r="IG8" s="6">
        <v>45992</v>
      </c>
      <c r="IH8" s="6">
        <v>45992</v>
      </c>
      <c r="II8" s="6">
        <v>45992</v>
      </c>
      <c r="IJ8" s="6">
        <v>45992</v>
      </c>
      <c r="IK8" s="6">
        <v>45992</v>
      </c>
      <c r="IL8" s="6">
        <v>45992</v>
      </c>
      <c r="IM8" s="6">
        <v>45992</v>
      </c>
      <c r="IN8" s="6">
        <v>45992</v>
      </c>
      <c r="IO8" s="6">
        <v>45992</v>
      </c>
      <c r="IP8" s="6">
        <v>45992</v>
      </c>
      <c r="IQ8" s="6">
        <v>45992</v>
      </c>
    </row>
    <row r="9" spans="1:251" x14ac:dyDescent="0.2">
      <c r="A9" s="4" t="s">
        <v>243</v>
      </c>
      <c r="B9" s="1">
        <v>310</v>
      </c>
      <c r="C9" s="1">
        <v>214</v>
      </c>
      <c r="D9" s="1">
        <v>214</v>
      </c>
      <c r="E9" s="1">
        <v>182</v>
      </c>
      <c r="F9" s="1">
        <v>182</v>
      </c>
      <c r="G9" s="1">
        <v>182</v>
      </c>
      <c r="H9" s="1">
        <v>182</v>
      </c>
      <c r="I9" s="1">
        <v>214</v>
      </c>
      <c r="J9" s="1">
        <v>214</v>
      </c>
      <c r="K9" s="1">
        <v>182</v>
      </c>
      <c r="L9" s="1">
        <v>214</v>
      </c>
      <c r="M9" s="1">
        <v>214</v>
      </c>
      <c r="N9" s="1">
        <v>182</v>
      </c>
      <c r="O9" s="1">
        <v>198</v>
      </c>
      <c r="P9" s="1">
        <v>214</v>
      </c>
      <c r="Q9" s="1">
        <v>182</v>
      </c>
      <c r="R9" s="1">
        <v>182</v>
      </c>
      <c r="S9" s="1">
        <v>182</v>
      </c>
      <c r="T9" s="1">
        <v>146</v>
      </c>
      <c r="U9" s="1">
        <v>146</v>
      </c>
      <c r="V9" s="1">
        <v>146</v>
      </c>
      <c r="W9" s="1">
        <v>146</v>
      </c>
      <c r="X9" s="1">
        <v>182</v>
      </c>
      <c r="Y9" s="1">
        <v>182</v>
      </c>
      <c r="Z9" s="1">
        <v>146</v>
      </c>
      <c r="AA9" s="1">
        <v>146</v>
      </c>
      <c r="AB9" s="1">
        <v>146</v>
      </c>
      <c r="AC9" s="1">
        <v>182</v>
      </c>
      <c r="AD9" s="1">
        <v>146</v>
      </c>
      <c r="AE9" s="1">
        <v>182</v>
      </c>
      <c r="AF9" s="1">
        <v>146</v>
      </c>
      <c r="AG9" s="1">
        <v>198</v>
      </c>
      <c r="AH9" s="1">
        <v>182</v>
      </c>
      <c r="AI9" s="1">
        <v>182</v>
      </c>
      <c r="AJ9" s="1">
        <v>214</v>
      </c>
      <c r="AK9" s="1">
        <v>214</v>
      </c>
      <c r="AL9" s="1">
        <v>182</v>
      </c>
      <c r="AM9" s="1">
        <v>182</v>
      </c>
      <c r="AN9" s="1">
        <v>214</v>
      </c>
      <c r="AO9" s="1">
        <v>214</v>
      </c>
      <c r="AP9" s="1">
        <v>214</v>
      </c>
      <c r="AQ9" s="1">
        <v>214</v>
      </c>
      <c r="AR9" s="1">
        <v>146</v>
      </c>
      <c r="AS9" s="1">
        <v>146</v>
      </c>
      <c r="AT9" s="1">
        <v>146</v>
      </c>
      <c r="AU9" s="1">
        <v>146</v>
      </c>
      <c r="AV9" s="1">
        <v>214</v>
      </c>
      <c r="AW9" s="1">
        <v>182</v>
      </c>
      <c r="AX9" s="1">
        <v>182</v>
      </c>
      <c r="AY9" s="1">
        <v>182</v>
      </c>
      <c r="AZ9" s="1">
        <v>111</v>
      </c>
      <c r="BA9" s="1">
        <v>111</v>
      </c>
      <c r="BB9" s="1">
        <v>214</v>
      </c>
      <c r="BC9" s="1">
        <v>214</v>
      </c>
      <c r="BD9" s="1">
        <v>214</v>
      </c>
      <c r="BE9" s="1">
        <v>214</v>
      </c>
      <c r="BF9" s="1">
        <v>111</v>
      </c>
      <c r="BG9" s="1">
        <v>111</v>
      </c>
      <c r="BH9" s="1">
        <v>111</v>
      </c>
      <c r="BI9" s="1">
        <v>182</v>
      </c>
      <c r="BJ9" s="1">
        <v>111</v>
      </c>
      <c r="BK9" s="1">
        <v>214</v>
      </c>
      <c r="BL9" s="1">
        <v>111</v>
      </c>
      <c r="BM9" s="1">
        <v>182</v>
      </c>
      <c r="BN9" s="1">
        <v>146</v>
      </c>
      <c r="BO9" s="1">
        <v>214</v>
      </c>
      <c r="BP9" s="1">
        <v>214</v>
      </c>
      <c r="BQ9" s="1">
        <v>182</v>
      </c>
      <c r="BR9" s="1">
        <v>182</v>
      </c>
      <c r="BS9" s="1">
        <v>214</v>
      </c>
      <c r="BT9" s="1">
        <v>214</v>
      </c>
      <c r="BU9" s="1">
        <v>146</v>
      </c>
      <c r="BV9" s="1">
        <v>214</v>
      </c>
      <c r="BW9" s="1">
        <v>214</v>
      </c>
      <c r="BX9" s="1">
        <v>146</v>
      </c>
      <c r="BY9" s="1">
        <v>182</v>
      </c>
      <c r="BZ9" s="1">
        <v>146</v>
      </c>
      <c r="CA9" s="1">
        <v>182</v>
      </c>
      <c r="CB9" s="1">
        <v>182</v>
      </c>
      <c r="CC9" s="1">
        <v>146</v>
      </c>
      <c r="CD9" s="1">
        <v>146</v>
      </c>
      <c r="CE9" s="1">
        <v>176</v>
      </c>
      <c r="CF9" s="1">
        <v>214</v>
      </c>
      <c r="CG9" s="1">
        <v>146</v>
      </c>
      <c r="CH9" s="1">
        <v>146</v>
      </c>
      <c r="CI9" s="1">
        <v>157</v>
      </c>
      <c r="CJ9" s="1">
        <v>182</v>
      </c>
      <c r="CK9" s="1">
        <v>157</v>
      </c>
      <c r="CL9" s="1">
        <v>182</v>
      </c>
      <c r="CM9" s="1">
        <v>182</v>
      </c>
      <c r="CN9" s="1">
        <v>182</v>
      </c>
      <c r="CO9" s="1">
        <v>214</v>
      </c>
      <c r="CP9" s="1">
        <v>214</v>
      </c>
      <c r="CQ9" s="1">
        <v>214</v>
      </c>
      <c r="CR9" s="1">
        <v>182</v>
      </c>
      <c r="CS9" s="1">
        <v>214</v>
      </c>
      <c r="CT9" s="1">
        <v>182</v>
      </c>
      <c r="CU9" s="1">
        <v>182</v>
      </c>
      <c r="CV9" s="1">
        <v>214</v>
      </c>
      <c r="CW9" s="1">
        <v>214</v>
      </c>
      <c r="CX9" s="1">
        <v>214</v>
      </c>
      <c r="CY9" s="1">
        <v>214</v>
      </c>
      <c r="CZ9" s="1">
        <v>182</v>
      </c>
      <c r="DA9" s="1">
        <v>182</v>
      </c>
      <c r="DB9" s="1">
        <v>146</v>
      </c>
      <c r="DC9" s="1">
        <v>146</v>
      </c>
      <c r="DD9" s="1">
        <v>182</v>
      </c>
      <c r="DE9" s="1">
        <v>146</v>
      </c>
      <c r="DF9" s="1">
        <v>146</v>
      </c>
      <c r="DG9" s="1">
        <v>111</v>
      </c>
      <c r="DH9" s="1">
        <v>111</v>
      </c>
      <c r="DI9" s="1">
        <v>176</v>
      </c>
      <c r="DJ9" s="1">
        <v>176</v>
      </c>
      <c r="DK9" s="1">
        <v>176</v>
      </c>
      <c r="DL9" s="1">
        <v>146</v>
      </c>
      <c r="DM9" s="1">
        <v>111</v>
      </c>
      <c r="DN9" s="1">
        <v>111</v>
      </c>
      <c r="DO9" s="1">
        <v>182</v>
      </c>
      <c r="DP9" s="1">
        <v>157</v>
      </c>
      <c r="DQ9" s="1">
        <v>111</v>
      </c>
      <c r="DR9" s="1">
        <v>111</v>
      </c>
      <c r="DS9" s="1">
        <v>176</v>
      </c>
      <c r="DT9" s="1">
        <v>176</v>
      </c>
      <c r="DU9" s="1">
        <v>103</v>
      </c>
      <c r="DV9" s="1">
        <v>103</v>
      </c>
      <c r="DW9" s="1">
        <v>103</v>
      </c>
      <c r="DX9" s="1">
        <v>83</v>
      </c>
      <c r="DY9" s="1">
        <v>146</v>
      </c>
      <c r="DZ9" s="1">
        <v>146</v>
      </c>
      <c r="EA9" s="1">
        <v>59</v>
      </c>
      <c r="EB9" s="1">
        <v>59</v>
      </c>
      <c r="EC9" s="1">
        <v>83</v>
      </c>
      <c r="ED9" s="1">
        <v>309</v>
      </c>
      <c r="EE9" s="1">
        <v>213</v>
      </c>
      <c r="EF9" s="1">
        <v>213</v>
      </c>
      <c r="EG9" s="1">
        <v>181</v>
      </c>
      <c r="EH9" s="1">
        <v>181</v>
      </c>
      <c r="EI9" s="1">
        <v>181</v>
      </c>
      <c r="EJ9" s="1">
        <v>181</v>
      </c>
      <c r="EK9" s="1">
        <v>213</v>
      </c>
      <c r="EL9" s="1">
        <v>213</v>
      </c>
      <c r="EM9" s="1">
        <v>181</v>
      </c>
      <c r="EN9" s="1">
        <v>213</v>
      </c>
      <c r="EO9" s="1">
        <v>213</v>
      </c>
      <c r="EP9" s="1">
        <v>181</v>
      </c>
      <c r="EQ9" s="1">
        <v>197</v>
      </c>
      <c r="ER9" s="1">
        <v>213</v>
      </c>
      <c r="ES9" s="1">
        <v>181</v>
      </c>
      <c r="ET9" s="1">
        <v>181</v>
      </c>
      <c r="EU9" s="1">
        <v>181</v>
      </c>
      <c r="EV9" s="1">
        <v>145</v>
      </c>
      <c r="EW9" s="1">
        <v>145</v>
      </c>
      <c r="EX9" s="1">
        <v>145</v>
      </c>
      <c r="EY9" s="1">
        <v>145</v>
      </c>
      <c r="EZ9" s="1">
        <v>181</v>
      </c>
      <c r="FA9" s="1">
        <v>181</v>
      </c>
      <c r="FB9" s="1">
        <v>145</v>
      </c>
      <c r="FC9" s="1">
        <v>145</v>
      </c>
      <c r="FD9" s="1">
        <v>145</v>
      </c>
      <c r="FE9" s="1">
        <v>181</v>
      </c>
      <c r="FF9" s="1">
        <v>145</v>
      </c>
      <c r="FG9" s="1">
        <v>181</v>
      </c>
      <c r="FH9" s="1">
        <v>145</v>
      </c>
      <c r="FI9" s="1">
        <v>197</v>
      </c>
      <c r="FJ9" s="1">
        <v>181</v>
      </c>
      <c r="FK9" s="1">
        <v>181</v>
      </c>
      <c r="FL9" s="1">
        <v>213</v>
      </c>
      <c r="FM9" s="1">
        <v>213</v>
      </c>
      <c r="FN9" s="1">
        <v>181</v>
      </c>
      <c r="FO9" s="1">
        <v>181</v>
      </c>
      <c r="FP9" s="1">
        <v>213</v>
      </c>
      <c r="FQ9" s="1">
        <v>213</v>
      </c>
      <c r="FR9" s="1">
        <v>213</v>
      </c>
      <c r="FS9" s="1">
        <v>213</v>
      </c>
      <c r="FT9" s="1">
        <v>145</v>
      </c>
      <c r="FU9" s="1">
        <v>145</v>
      </c>
      <c r="FV9" s="1">
        <v>145</v>
      </c>
      <c r="FW9" s="1">
        <v>145</v>
      </c>
      <c r="FX9" s="1">
        <v>213</v>
      </c>
      <c r="FY9" s="1">
        <v>181</v>
      </c>
      <c r="FZ9" s="1">
        <v>181</v>
      </c>
      <c r="GA9" s="1">
        <v>181</v>
      </c>
      <c r="GB9" s="1">
        <v>110</v>
      </c>
      <c r="GC9" s="1">
        <v>110</v>
      </c>
      <c r="GD9" s="1">
        <v>213</v>
      </c>
      <c r="GE9" s="1">
        <v>213</v>
      </c>
      <c r="GF9" s="1">
        <v>213</v>
      </c>
      <c r="GG9" s="1">
        <v>213</v>
      </c>
      <c r="GH9" s="1">
        <v>110</v>
      </c>
      <c r="GI9" s="1">
        <v>110</v>
      </c>
      <c r="GJ9" s="1">
        <v>110</v>
      </c>
      <c r="GK9" s="1">
        <v>181</v>
      </c>
      <c r="GL9" s="1">
        <v>110</v>
      </c>
      <c r="GM9" s="1">
        <v>213</v>
      </c>
      <c r="GN9" s="1">
        <v>110</v>
      </c>
      <c r="GO9" s="1">
        <v>181</v>
      </c>
      <c r="GP9" s="1">
        <v>145</v>
      </c>
      <c r="GQ9" s="1">
        <v>213</v>
      </c>
      <c r="GR9" s="1">
        <v>213</v>
      </c>
      <c r="GS9" s="1">
        <v>181</v>
      </c>
      <c r="GT9" s="1">
        <v>181</v>
      </c>
      <c r="GU9" s="1">
        <v>213</v>
      </c>
      <c r="GV9" s="1">
        <v>213</v>
      </c>
      <c r="GW9" s="1">
        <v>145</v>
      </c>
      <c r="GX9" s="1">
        <v>213</v>
      </c>
      <c r="GY9" s="1">
        <v>213</v>
      </c>
      <c r="GZ9" s="1">
        <v>145</v>
      </c>
      <c r="HA9" s="1">
        <v>181</v>
      </c>
      <c r="HB9" s="1">
        <v>145</v>
      </c>
      <c r="HC9" s="1">
        <v>181</v>
      </c>
      <c r="HD9" s="1">
        <v>181</v>
      </c>
      <c r="HE9" s="1">
        <v>145</v>
      </c>
      <c r="HF9" s="1">
        <v>145</v>
      </c>
      <c r="HG9" s="1">
        <v>175</v>
      </c>
      <c r="HH9" s="1">
        <v>213</v>
      </c>
      <c r="HI9" s="1">
        <v>145</v>
      </c>
      <c r="HJ9" s="1">
        <v>145</v>
      </c>
      <c r="HK9" s="1">
        <v>156</v>
      </c>
      <c r="HL9" s="1">
        <v>181</v>
      </c>
      <c r="HM9" s="1">
        <v>156</v>
      </c>
      <c r="HN9" s="1">
        <v>181</v>
      </c>
      <c r="HO9" s="1">
        <v>181</v>
      </c>
      <c r="HP9" s="1">
        <v>181</v>
      </c>
      <c r="HQ9" s="1">
        <v>213</v>
      </c>
      <c r="HR9" s="1">
        <v>213</v>
      </c>
      <c r="HS9" s="1">
        <v>213</v>
      </c>
      <c r="HT9" s="1">
        <v>181</v>
      </c>
      <c r="HU9" s="1">
        <v>213</v>
      </c>
      <c r="HV9" s="1">
        <v>181</v>
      </c>
      <c r="HW9" s="1">
        <v>181</v>
      </c>
      <c r="HX9" s="1">
        <v>213</v>
      </c>
      <c r="HY9" s="1">
        <v>213</v>
      </c>
      <c r="HZ9" s="1">
        <v>213</v>
      </c>
      <c r="IA9" s="1">
        <v>213</v>
      </c>
      <c r="IB9" s="1">
        <v>181</v>
      </c>
      <c r="IC9" s="1">
        <v>181</v>
      </c>
      <c r="ID9" s="1">
        <v>145</v>
      </c>
      <c r="IE9" s="1">
        <v>145</v>
      </c>
      <c r="IF9" s="1">
        <v>181</v>
      </c>
      <c r="IG9" s="1">
        <v>145</v>
      </c>
      <c r="IH9" s="1">
        <v>145</v>
      </c>
      <c r="II9" s="1">
        <v>110</v>
      </c>
      <c r="IJ9" s="1">
        <v>110</v>
      </c>
      <c r="IK9" s="1">
        <v>175</v>
      </c>
      <c r="IL9" s="1">
        <v>175</v>
      </c>
      <c r="IM9" s="1">
        <v>175</v>
      </c>
      <c r="IN9" s="1">
        <v>145</v>
      </c>
      <c r="IO9" s="1">
        <v>110</v>
      </c>
      <c r="IP9" s="1">
        <v>110</v>
      </c>
      <c r="IQ9" s="1">
        <v>181</v>
      </c>
    </row>
    <row r="10" spans="1:251" x14ac:dyDescent="0.2">
      <c r="A10" s="4" t="s">
        <v>244</v>
      </c>
      <c r="B10" s="7" t="s">
        <v>249</v>
      </c>
      <c r="C10" s="7" t="s">
        <v>250</v>
      </c>
      <c r="D10" s="7" t="s">
        <v>251</v>
      </c>
      <c r="E10" s="7" t="s">
        <v>252</v>
      </c>
      <c r="F10" s="7" t="s">
        <v>253</v>
      </c>
      <c r="G10" s="7" t="s">
        <v>254</v>
      </c>
      <c r="H10" s="7" t="s">
        <v>255</v>
      </c>
      <c r="I10" s="7" t="s">
        <v>256</v>
      </c>
      <c r="J10" s="7" t="s">
        <v>257</v>
      </c>
      <c r="K10" s="7" t="s">
        <v>258</v>
      </c>
      <c r="L10" s="7" t="s">
        <v>259</v>
      </c>
      <c r="M10" s="7" t="s">
        <v>260</v>
      </c>
      <c r="N10" s="7" t="s">
        <v>261</v>
      </c>
      <c r="O10" s="7" t="s">
        <v>262</v>
      </c>
      <c r="P10" s="7" t="s">
        <v>263</v>
      </c>
      <c r="Q10" s="7" t="s">
        <v>264</v>
      </c>
      <c r="R10" s="7" t="s">
        <v>265</v>
      </c>
      <c r="S10" s="7" t="s">
        <v>266</v>
      </c>
      <c r="T10" s="7" t="s">
        <v>267</v>
      </c>
      <c r="U10" s="7" t="s">
        <v>268</v>
      </c>
      <c r="V10" s="7" t="s">
        <v>269</v>
      </c>
      <c r="W10" s="7" t="s">
        <v>270</v>
      </c>
      <c r="X10" s="7" t="s">
        <v>271</v>
      </c>
      <c r="Y10" s="7" t="s">
        <v>272</v>
      </c>
      <c r="Z10" s="7" t="s">
        <v>273</v>
      </c>
      <c r="AA10" s="7" t="s">
        <v>274</v>
      </c>
      <c r="AB10" s="7" t="s">
        <v>275</v>
      </c>
      <c r="AC10" s="7" t="s">
        <v>276</v>
      </c>
      <c r="AD10" s="7" t="s">
        <v>277</v>
      </c>
      <c r="AE10" s="7" t="s">
        <v>278</v>
      </c>
      <c r="AF10" s="7" t="s">
        <v>279</v>
      </c>
      <c r="AG10" s="7" t="s">
        <v>280</v>
      </c>
      <c r="AH10" s="7" t="s">
        <v>281</v>
      </c>
      <c r="AI10" s="7" t="s">
        <v>282</v>
      </c>
      <c r="AJ10" s="7" t="s">
        <v>283</v>
      </c>
      <c r="AK10" s="7" t="s">
        <v>284</v>
      </c>
      <c r="AL10" s="7" t="s">
        <v>285</v>
      </c>
      <c r="AM10" s="7" t="s">
        <v>286</v>
      </c>
      <c r="AN10" s="7" t="s">
        <v>287</v>
      </c>
      <c r="AO10" s="7" t="s">
        <v>288</v>
      </c>
      <c r="AP10" s="7" t="s">
        <v>289</v>
      </c>
      <c r="AQ10" s="7" t="s">
        <v>290</v>
      </c>
      <c r="AR10" s="7" t="s">
        <v>291</v>
      </c>
      <c r="AS10" s="7" t="s">
        <v>292</v>
      </c>
      <c r="AT10" s="7" t="s">
        <v>293</v>
      </c>
      <c r="AU10" s="7" t="s">
        <v>294</v>
      </c>
      <c r="AV10" s="7" t="s">
        <v>295</v>
      </c>
      <c r="AW10" s="7" t="s">
        <v>296</v>
      </c>
      <c r="AX10" s="7" t="s">
        <v>297</v>
      </c>
      <c r="AY10" s="7" t="s">
        <v>298</v>
      </c>
      <c r="AZ10" s="7" t="s">
        <v>299</v>
      </c>
      <c r="BA10" s="7" t="s">
        <v>300</v>
      </c>
      <c r="BB10" s="7" t="s">
        <v>301</v>
      </c>
      <c r="BC10" s="7" t="s">
        <v>302</v>
      </c>
      <c r="BD10" s="7" t="s">
        <v>303</v>
      </c>
      <c r="BE10" s="7" t="s">
        <v>304</v>
      </c>
      <c r="BF10" s="7" t="s">
        <v>305</v>
      </c>
      <c r="BG10" s="7" t="s">
        <v>306</v>
      </c>
      <c r="BH10" s="7" t="s">
        <v>307</v>
      </c>
      <c r="BI10" s="7" t="s">
        <v>308</v>
      </c>
      <c r="BJ10" s="7" t="s">
        <v>309</v>
      </c>
      <c r="BK10" s="7" t="s">
        <v>310</v>
      </c>
      <c r="BL10" s="7" t="s">
        <v>311</v>
      </c>
      <c r="BM10" s="7" t="s">
        <v>312</v>
      </c>
      <c r="BN10" s="7" t="s">
        <v>313</v>
      </c>
      <c r="BO10" s="7" t="s">
        <v>314</v>
      </c>
      <c r="BP10" s="7" t="s">
        <v>315</v>
      </c>
      <c r="BQ10" s="7" t="s">
        <v>316</v>
      </c>
      <c r="BR10" s="7" t="s">
        <v>317</v>
      </c>
      <c r="BS10" s="7" t="s">
        <v>318</v>
      </c>
      <c r="BT10" s="7" t="s">
        <v>319</v>
      </c>
      <c r="BU10" s="7" t="s">
        <v>320</v>
      </c>
      <c r="BV10" s="7" t="s">
        <v>321</v>
      </c>
      <c r="BW10" s="7" t="s">
        <v>322</v>
      </c>
      <c r="BX10" s="7" t="s">
        <v>323</v>
      </c>
      <c r="BY10" s="7" t="s">
        <v>324</v>
      </c>
      <c r="BZ10" s="7" t="s">
        <v>325</v>
      </c>
      <c r="CA10" s="7" t="s">
        <v>326</v>
      </c>
      <c r="CB10" s="7" t="s">
        <v>327</v>
      </c>
      <c r="CC10" s="7" t="s">
        <v>328</v>
      </c>
      <c r="CD10" s="7" t="s">
        <v>329</v>
      </c>
      <c r="CE10" s="7" t="s">
        <v>330</v>
      </c>
      <c r="CF10" s="7" t="s">
        <v>331</v>
      </c>
      <c r="CG10" s="7" t="s">
        <v>332</v>
      </c>
      <c r="CH10" s="7" t="s">
        <v>333</v>
      </c>
      <c r="CI10" s="7" t="s">
        <v>334</v>
      </c>
      <c r="CJ10" s="7" t="s">
        <v>335</v>
      </c>
      <c r="CK10" s="7" t="s">
        <v>336</v>
      </c>
      <c r="CL10" s="7" t="s">
        <v>337</v>
      </c>
      <c r="CM10" s="7" t="s">
        <v>338</v>
      </c>
      <c r="CN10" s="7" t="s">
        <v>339</v>
      </c>
      <c r="CO10" s="7" t="s">
        <v>340</v>
      </c>
      <c r="CP10" s="7" t="s">
        <v>341</v>
      </c>
      <c r="CQ10" s="7" t="s">
        <v>342</v>
      </c>
      <c r="CR10" s="7" t="s">
        <v>343</v>
      </c>
      <c r="CS10" s="7" t="s">
        <v>344</v>
      </c>
      <c r="CT10" s="7" t="s">
        <v>345</v>
      </c>
      <c r="CU10" s="7" t="s">
        <v>346</v>
      </c>
      <c r="CV10" s="7" t="s">
        <v>347</v>
      </c>
      <c r="CW10" s="7" t="s">
        <v>348</v>
      </c>
      <c r="CX10" s="7" t="s">
        <v>349</v>
      </c>
      <c r="CY10" s="7" t="s">
        <v>350</v>
      </c>
      <c r="CZ10" s="7" t="s">
        <v>351</v>
      </c>
      <c r="DA10" s="7" t="s">
        <v>352</v>
      </c>
      <c r="DB10" s="7" t="s">
        <v>353</v>
      </c>
      <c r="DC10" s="7" t="s">
        <v>354</v>
      </c>
      <c r="DD10" s="7" t="s">
        <v>355</v>
      </c>
      <c r="DE10" s="7" t="s">
        <v>356</v>
      </c>
      <c r="DF10" s="7" t="s">
        <v>357</v>
      </c>
      <c r="DG10" s="7" t="s">
        <v>358</v>
      </c>
      <c r="DH10" s="7" t="s">
        <v>359</v>
      </c>
      <c r="DI10" s="7" t="s">
        <v>360</v>
      </c>
      <c r="DJ10" s="7" t="s">
        <v>361</v>
      </c>
      <c r="DK10" s="7" t="s">
        <v>362</v>
      </c>
      <c r="DL10" s="7" t="s">
        <v>363</v>
      </c>
      <c r="DM10" s="7" t="s">
        <v>364</v>
      </c>
      <c r="DN10" s="7" t="s">
        <v>365</v>
      </c>
      <c r="DO10" s="7" t="s">
        <v>366</v>
      </c>
      <c r="DP10" s="7" t="s">
        <v>367</v>
      </c>
      <c r="DQ10" s="7" t="s">
        <v>368</v>
      </c>
      <c r="DR10" s="7" t="s">
        <v>369</v>
      </c>
      <c r="DS10" s="7" t="s">
        <v>370</v>
      </c>
      <c r="DT10" s="7" t="s">
        <v>371</v>
      </c>
      <c r="DU10" s="7" t="s">
        <v>372</v>
      </c>
      <c r="DV10" s="7" t="s">
        <v>373</v>
      </c>
      <c r="DW10" s="7" t="s">
        <v>374</v>
      </c>
      <c r="DX10" s="7" t="s">
        <v>375</v>
      </c>
      <c r="DY10" s="7" t="s">
        <v>376</v>
      </c>
      <c r="DZ10" s="7" t="s">
        <v>377</v>
      </c>
      <c r="EA10" s="7" t="s">
        <v>378</v>
      </c>
      <c r="EB10" s="7" t="s">
        <v>379</v>
      </c>
      <c r="EC10" s="7" t="s">
        <v>380</v>
      </c>
      <c r="ED10" s="7" t="s">
        <v>383</v>
      </c>
      <c r="EE10" s="7" t="s">
        <v>384</v>
      </c>
      <c r="EF10" s="7" t="s">
        <v>385</v>
      </c>
      <c r="EG10" s="7" t="s">
        <v>386</v>
      </c>
      <c r="EH10" s="7" t="s">
        <v>387</v>
      </c>
      <c r="EI10" s="7" t="s">
        <v>388</v>
      </c>
      <c r="EJ10" s="7" t="s">
        <v>389</v>
      </c>
      <c r="EK10" s="7" t="s">
        <v>390</v>
      </c>
      <c r="EL10" s="7" t="s">
        <v>391</v>
      </c>
      <c r="EM10" s="7" t="s">
        <v>392</v>
      </c>
      <c r="EN10" s="7" t="s">
        <v>393</v>
      </c>
      <c r="EO10" s="7" t="s">
        <v>394</v>
      </c>
      <c r="EP10" s="7" t="s">
        <v>395</v>
      </c>
      <c r="EQ10" s="7" t="s">
        <v>396</v>
      </c>
      <c r="ER10" s="7" t="s">
        <v>397</v>
      </c>
      <c r="ES10" s="7" t="s">
        <v>398</v>
      </c>
      <c r="ET10" s="7" t="s">
        <v>399</v>
      </c>
      <c r="EU10" s="7" t="s">
        <v>400</v>
      </c>
      <c r="EV10" s="7" t="s">
        <v>401</v>
      </c>
      <c r="EW10" s="7" t="s">
        <v>402</v>
      </c>
      <c r="EX10" s="7" t="s">
        <v>403</v>
      </c>
      <c r="EY10" s="7" t="s">
        <v>404</v>
      </c>
      <c r="EZ10" s="7" t="s">
        <v>405</v>
      </c>
      <c r="FA10" s="7" t="s">
        <v>406</v>
      </c>
      <c r="FB10" s="7" t="s">
        <v>407</v>
      </c>
      <c r="FC10" s="7" t="s">
        <v>408</v>
      </c>
      <c r="FD10" s="7" t="s">
        <v>409</v>
      </c>
      <c r="FE10" s="7" t="s">
        <v>410</v>
      </c>
      <c r="FF10" s="7" t="s">
        <v>411</v>
      </c>
      <c r="FG10" s="7" t="s">
        <v>412</v>
      </c>
      <c r="FH10" s="7" t="s">
        <v>413</v>
      </c>
      <c r="FI10" s="7" t="s">
        <v>414</v>
      </c>
      <c r="FJ10" s="7" t="s">
        <v>415</v>
      </c>
      <c r="FK10" s="7" t="s">
        <v>416</v>
      </c>
      <c r="FL10" s="7" t="s">
        <v>417</v>
      </c>
      <c r="FM10" s="7" t="s">
        <v>418</v>
      </c>
      <c r="FN10" s="7" t="s">
        <v>419</v>
      </c>
      <c r="FO10" s="7" t="s">
        <v>420</v>
      </c>
      <c r="FP10" s="7" t="s">
        <v>421</v>
      </c>
      <c r="FQ10" s="7" t="s">
        <v>422</v>
      </c>
      <c r="FR10" s="7" t="s">
        <v>423</v>
      </c>
      <c r="FS10" s="7" t="s">
        <v>424</v>
      </c>
      <c r="FT10" s="7" t="s">
        <v>425</v>
      </c>
      <c r="FU10" s="7" t="s">
        <v>426</v>
      </c>
      <c r="FV10" s="7" t="s">
        <v>427</v>
      </c>
      <c r="FW10" s="7" t="s">
        <v>428</v>
      </c>
      <c r="FX10" s="7" t="s">
        <v>429</v>
      </c>
      <c r="FY10" s="7" t="s">
        <v>430</v>
      </c>
      <c r="FZ10" s="7" t="s">
        <v>431</v>
      </c>
      <c r="GA10" s="7" t="s">
        <v>432</v>
      </c>
      <c r="GB10" s="7" t="s">
        <v>433</v>
      </c>
      <c r="GC10" s="7" t="s">
        <v>434</v>
      </c>
      <c r="GD10" s="7" t="s">
        <v>435</v>
      </c>
      <c r="GE10" s="7" t="s">
        <v>436</v>
      </c>
      <c r="GF10" s="7" t="s">
        <v>437</v>
      </c>
      <c r="GG10" s="7" t="s">
        <v>438</v>
      </c>
      <c r="GH10" s="7" t="s">
        <v>439</v>
      </c>
      <c r="GI10" s="7" t="s">
        <v>440</v>
      </c>
      <c r="GJ10" s="7" t="s">
        <v>441</v>
      </c>
      <c r="GK10" s="7" t="s">
        <v>442</v>
      </c>
      <c r="GL10" s="7" t="s">
        <v>443</v>
      </c>
      <c r="GM10" s="7" t="s">
        <v>444</v>
      </c>
      <c r="GN10" s="7" t="s">
        <v>445</v>
      </c>
      <c r="GO10" s="7" t="s">
        <v>446</v>
      </c>
      <c r="GP10" s="7" t="s">
        <v>447</v>
      </c>
      <c r="GQ10" s="7" t="s">
        <v>448</v>
      </c>
      <c r="GR10" s="7" t="s">
        <v>449</v>
      </c>
      <c r="GS10" s="7" t="s">
        <v>450</v>
      </c>
      <c r="GT10" s="7" t="s">
        <v>451</v>
      </c>
      <c r="GU10" s="7" t="s">
        <v>452</v>
      </c>
      <c r="GV10" s="7" t="s">
        <v>453</v>
      </c>
      <c r="GW10" s="7" t="s">
        <v>454</v>
      </c>
      <c r="GX10" s="7" t="s">
        <v>455</v>
      </c>
      <c r="GY10" s="7" t="s">
        <v>456</v>
      </c>
      <c r="GZ10" s="7" t="s">
        <v>457</v>
      </c>
      <c r="HA10" s="7" t="s">
        <v>458</v>
      </c>
      <c r="HB10" s="7" t="s">
        <v>459</v>
      </c>
      <c r="HC10" s="7" t="s">
        <v>460</v>
      </c>
      <c r="HD10" s="7" t="s">
        <v>461</v>
      </c>
      <c r="HE10" s="7" t="s">
        <v>462</v>
      </c>
      <c r="HF10" s="7" t="s">
        <v>463</v>
      </c>
      <c r="HG10" s="7" t="s">
        <v>464</v>
      </c>
      <c r="HH10" s="7" t="s">
        <v>465</v>
      </c>
      <c r="HI10" s="7" t="s">
        <v>466</v>
      </c>
      <c r="HJ10" s="7" t="s">
        <v>467</v>
      </c>
      <c r="HK10" s="7" t="s">
        <v>468</v>
      </c>
      <c r="HL10" s="7" t="s">
        <v>469</v>
      </c>
      <c r="HM10" s="7" t="s">
        <v>470</v>
      </c>
      <c r="HN10" s="7" t="s">
        <v>471</v>
      </c>
      <c r="HO10" s="7" t="s">
        <v>472</v>
      </c>
      <c r="HP10" s="7" t="s">
        <v>473</v>
      </c>
      <c r="HQ10" s="7" t="s">
        <v>474</v>
      </c>
      <c r="HR10" s="7" t="s">
        <v>475</v>
      </c>
      <c r="HS10" s="7" t="s">
        <v>476</v>
      </c>
      <c r="HT10" s="7" t="s">
        <v>477</v>
      </c>
      <c r="HU10" s="7" t="s">
        <v>478</v>
      </c>
      <c r="HV10" s="7" t="s">
        <v>479</v>
      </c>
      <c r="HW10" s="7" t="s">
        <v>480</v>
      </c>
      <c r="HX10" s="7" t="s">
        <v>481</v>
      </c>
      <c r="HY10" s="7" t="s">
        <v>482</v>
      </c>
      <c r="HZ10" s="7" t="s">
        <v>483</v>
      </c>
      <c r="IA10" s="7" t="s">
        <v>484</v>
      </c>
      <c r="IB10" s="7" t="s">
        <v>485</v>
      </c>
      <c r="IC10" s="7" t="s">
        <v>486</v>
      </c>
      <c r="ID10" s="7" t="s">
        <v>487</v>
      </c>
      <c r="IE10" s="7" t="s">
        <v>488</v>
      </c>
      <c r="IF10" s="7" t="s">
        <v>489</v>
      </c>
      <c r="IG10" s="7" t="s">
        <v>490</v>
      </c>
      <c r="IH10" s="7" t="s">
        <v>491</v>
      </c>
      <c r="II10" s="7" t="s">
        <v>492</v>
      </c>
      <c r="IJ10" s="7" t="s">
        <v>493</v>
      </c>
      <c r="IK10" s="7" t="s">
        <v>494</v>
      </c>
      <c r="IL10" s="7" t="s">
        <v>495</v>
      </c>
      <c r="IM10" s="7" t="s">
        <v>496</v>
      </c>
      <c r="IN10" s="7" t="s">
        <v>497</v>
      </c>
      <c r="IO10" s="7" t="s">
        <v>498</v>
      </c>
      <c r="IP10" s="7" t="s">
        <v>499</v>
      </c>
      <c r="IQ10" s="7" t="s">
        <v>500</v>
      </c>
    </row>
    <row r="11" spans="1:251" x14ac:dyDescent="0.2">
      <c r="A11" s="10">
        <v>17777</v>
      </c>
      <c r="B11" s="8">
        <v>2.59</v>
      </c>
    </row>
    <row r="12" spans="1:251" x14ac:dyDescent="0.2">
      <c r="A12" s="10">
        <v>17868</v>
      </c>
      <c r="B12" s="8">
        <v>2.63</v>
      </c>
      <c r="ED12" s="9">
        <v>1.5</v>
      </c>
    </row>
    <row r="13" spans="1:251" x14ac:dyDescent="0.2">
      <c r="A13" s="10">
        <v>17958</v>
      </c>
      <c r="B13" s="8">
        <v>2.71</v>
      </c>
      <c r="ED13" s="9">
        <v>3</v>
      </c>
    </row>
    <row r="14" spans="1:251" x14ac:dyDescent="0.2">
      <c r="A14" s="10">
        <v>18050</v>
      </c>
      <c r="B14" s="8">
        <v>2.74</v>
      </c>
      <c r="ED14" s="9">
        <v>1.1000000000000001</v>
      </c>
    </row>
    <row r="15" spans="1:251" x14ac:dyDescent="0.2">
      <c r="A15" s="10">
        <v>18142</v>
      </c>
      <c r="B15" s="8">
        <v>2.82</v>
      </c>
      <c r="ED15" s="9">
        <v>2.9</v>
      </c>
    </row>
    <row r="16" spans="1:251" x14ac:dyDescent="0.2">
      <c r="A16" s="10">
        <v>18233</v>
      </c>
      <c r="B16" s="8">
        <v>2.86</v>
      </c>
      <c r="ED16" s="9">
        <v>1.4</v>
      </c>
    </row>
    <row r="17" spans="1:134" x14ac:dyDescent="0.2">
      <c r="A17" s="10">
        <v>18323</v>
      </c>
      <c r="B17" s="8">
        <v>2.9</v>
      </c>
      <c r="ED17" s="9">
        <v>1.4</v>
      </c>
    </row>
    <row r="18" spans="1:134" x14ac:dyDescent="0.2">
      <c r="A18" s="10">
        <v>18415</v>
      </c>
      <c r="B18" s="8">
        <v>3.02</v>
      </c>
      <c r="ED18" s="9">
        <v>4.0999999999999996</v>
      </c>
    </row>
    <row r="19" spans="1:134" x14ac:dyDescent="0.2">
      <c r="A19" s="10">
        <v>18507</v>
      </c>
      <c r="B19" s="8">
        <v>3.05</v>
      </c>
      <c r="ED19" s="9">
        <v>1</v>
      </c>
    </row>
    <row r="20" spans="1:134" x14ac:dyDescent="0.2">
      <c r="A20" s="10">
        <v>18598</v>
      </c>
      <c r="B20" s="8">
        <v>3.17</v>
      </c>
      <c r="ED20" s="9">
        <v>3.9</v>
      </c>
    </row>
    <row r="21" spans="1:134" x14ac:dyDescent="0.2">
      <c r="A21" s="10">
        <v>18688</v>
      </c>
      <c r="B21" s="8">
        <v>3.32</v>
      </c>
      <c r="ED21" s="9">
        <v>4.7</v>
      </c>
    </row>
    <row r="22" spans="1:134" x14ac:dyDescent="0.2">
      <c r="A22" s="10">
        <v>18780</v>
      </c>
      <c r="B22" s="8">
        <v>3.52</v>
      </c>
      <c r="ED22" s="9">
        <v>6</v>
      </c>
    </row>
    <row r="23" spans="1:134" x14ac:dyDescent="0.2">
      <c r="A23" s="10">
        <v>18872</v>
      </c>
      <c r="B23" s="8">
        <v>3.71</v>
      </c>
      <c r="ED23" s="9">
        <v>5.4</v>
      </c>
    </row>
    <row r="24" spans="1:134" x14ac:dyDescent="0.2">
      <c r="A24" s="10">
        <v>18963</v>
      </c>
      <c r="B24" s="8">
        <v>3.98</v>
      </c>
      <c r="ED24" s="9">
        <v>7.3</v>
      </c>
    </row>
    <row r="25" spans="1:134" x14ac:dyDescent="0.2">
      <c r="A25" s="10">
        <v>19054</v>
      </c>
      <c r="B25" s="8">
        <v>4.0999999999999996</v>
      </c>
      <c r="ED25" s="9">
        <v>3</v>
      </c>
    </row>
    <row r="26" spans="1:134" x14ac:dyDescent="0.2">
      <c r="A26" s="10">
        <v>19146</v>
      </c>
      <c r="B26" s="8">
        <v>4.25</v>
      </c>
      <c r="ED26" s="9">
        <v>3.7</v>
      </c>
    </row>
    <row r="27" spans="1:134" x14ac:dyDescent="0.2">
      <c r="A27" s="10">
        <v>19238</v>
      </c>
      <c r="B27" s="8">
        <v>4.33</v>
      </c>
      <c r="ED27" s="9">
        <v>1.9</v>
      </c>
    </row>
    <row r="28" spans="1:134" x14ac:dyDescent="0.2">
      <c r="A28" s="10">
        <v>19329</v>
      </c>
      <c r="B28" s="8">
        <v>4.37</v>
      </c>
      <c r="ED28" s="9">
        <v>0.9</v>
      </c>
    </row>
    <row r="29" spans="1:134" x14ac:dyDescent="0.2">
      <c r="A29" s="10">
        <v>19419</v>
      </c>
      <c r="B29" s="8">
        <v>4.41</v>
      </c>
      <c r="ED29" s="9">
        <v>0.9</v>
      </c>
    </row>
    <row r="30" spans="1:134" x14ac:dyDescent="0.2">
      <c r="A30" s="10">
        <v>19511</v>
      </c>
      <c r="B30" s="8">
        <v>4.45</v>
      </c>
      <c r="ED30" s="9">
        <v>0.9</v>
      </c>
    </row>
    <row r="31" spans="1:134" x14ac:dyDescent="0.2">
      <c r="A31" s="10">
        <v>19603</v>
      </c>
      <c r="B31" s="8">
        <v>4.4800000000000004</v>
      </c>
      <c r="ED31" s="9">
        <v>0.7</v>
      </c>
    </row>
    <row r="32" spans="1:134" x14ac:dyDescent="0.2">
      <c r="A32" s="10">
        <v>19694</v>
      </c>
      <c r="B32" s="8">
        <v>4.45</v>
      </c>
      <c r="ED32" s="9">
        <v>-0.7</v>
      </c>
    </row>
    <row r="33" spans="1:134" x14ac:dyDescent="0.2">
      <c r="A33" s="10">
        <v>19784</v>
      </c>
      <c r="B33" s="8">
        <v>4.4800000000000004</v>
      </c>
      <c r="ED33" s="9">
        <v>0.7</v>
      </c>
    </row>
    <row r="34" spans="1:134" x14ac:dyDescent="0.2">
      <c r="A34" s="10">
        <v>19876</v>
      </c>
      <c r="B34" s="8">
        <v>4.4800000000000004</v>
      </c>
      <c r="ED34" s="9">
        <v>0</v>
      </c>
    </row>
    <row r="35" spans="1:134" x14ac:dyDescent="0.2">
      <c r="A35" s="10">
        <v>19968</v>
      </c>
      <c r="B35" s="8">
        <v>4.4800000000000004</v>
      </c>
      <c r="ED35" s="9">
        <v>0</v>
      </c>
    </row>
    <row r="36" spans="1:134" x14ac:dyDescent="0.2">
      <c r="A36" s="10">
        <v>20059</v>
      </c>
      <c r="B36" s="8">
        <v>4.4800000000000004</v>
      </c>
      <c r="ED36" s="9">
        <v>0</v>
      </c>
    </row>
    <row r="37" spans="1:134" x14ac:dyDescent="0.2">
      <c r="A37" s="10">
        <v>20149</v>
      </c>
      <c r="B37" s="8">
        <v>4.5199999999999996</v>
      </c>
      <c r="ED37" s="9">
        <v>0.9</v>
      </c>
    </row>
    <row r="38" spans="1:134" x14ac:dyDescent="0.2">
      <c r="A38" s="10">
        <v>20241</v>
      </c>
      <c r="B38" s="8">
        <v>4.5599999999999996</v>
      </c>
      <c r="ED38" s="9">
        <v>0.9</v>
      </c>
    </row>
    <row r="39" spans="1:134" x14ac:dyDescent="0.2">
      <c r="A39" s="10">
        <v>20333</v>
      </c>
      <c r="B39" s="8">
        <v>4.5999999999999996</v>
      </c>
      <c r="ED39" s="9">
        <v>0.9</v>
      </c>
    </row>
    <row r="40" spans="1:134" x14ac:dyDescent="0.2">
      <c r="A40" s="10">
        <v>20424</v>
      </c>
      <c r="B40" s="8">
        <v>4.6399999999999997</v>
      </c>
      <c r="ED40" s="9">
        <v>0.9</v>
      </c>
    </row>
    <row r="41" spans="1:134" x14ac:dyDescent="0.2">
      <c r="A41" s="10">
        <v>20515</v>
      </c>
      <c r="B41" s="8">
        <v>4.68</v>
      </c>
      <c r="ED41" s="9">
        <v>0.9</v>
      </c>
    </row>
    <row r="42" spans="1:134" x14ac:dyDescent="0.2">
      <c r="A42" s="10">
        <v>20607</v>
      </c>
      <c r="B42" s="8">
        <v>4.83</v>
      </c>
      <c r="ED42" s="9">
        <v>3.2</v>
      </c>
    </row>
    <row r="43" spans="1:134" x14ac:dyDescent="0.2">
      <c r="A43" s="10">
        <v>20699</v>
      </c>
      <c r="B43" s="8">
        <v>4.95</v>
      </c>
      <c r="ED43" s="9">
        <v>2.5</v>
      </c>
    </row>
    <row r="44" spans="1:134" x14ac:dyDescent="0.2">
      <c r="A44" s="10">
        <v>20790</v>
      </c>
      <c r="B44" s="8">
        <v>4.95</v>
      </c>
      <c r="ED44" s="9">
        <v>0</v>
      </c>
    </row>
    <row r="45" spans="1:134" x14ac:dyDescent="0.2">
      <c r="A45" s="10">
        <v>20880</v>
      </c>
      <c r="B45" s="8">
        <v>4.95</v>
      </c>
      <c r="ED45" s="9">
        <v>0</v>
      </c>
    </row>
    <row r="46" spans="1:134" x14ac:dyDescent="0.2">
      <c r="A46" s="10">
        <v>20972</v>
      </c>
      <c r="B46" s="8">
        <v>4.99</v>
      </c>
      <c r="ED46" s="9">
        <v>0.8</v>
      </c>
    </row>
    <row r="47" spans="1:134" x14ac:dyDescent="0.2">
      <c r="A47" s="10">
        <v>21064</v>
      </c>
      <c r="B47" s="8">
        <v>4.99</v>
      </c>
      <c r="ED47" s="9">
        <v>0</v>
      </c>
    </row>
    <row r="48" spans="1:134" x14ac:dyDescent="0.2">
      <c r="A48" s="10">
        <v>21155</v>
      </c>
      <c r="B48" s="8">
        <v>4.99</v>
      </c>
      <c r="ED48" s="9">
        <v>0</v>
      </c>
    </row>
    <row r="49" spans="1:134" x14ac:dyDescent="0.2">
      <c r="A49" s="10">
        <v>21245</v>
      </c>
      <c r="B49" s="8">
        <v>5.03</v>
      </c>
      <c r="ED49" s="9">
        <v>0.8</v>
      </c>
    </row>
    <row r="50" spans="1:134" x14ac:dyDescent="0.2">
      <c r="A50" s="10">
        <v>21337</v>
      </c>
      <c r="B50" s="8">
        <v>5.03</v>
      </c>
      <c r="ED50" s="9">
        <v>0</v>
      </c>
    </row>
    <row r="51" spans="1:134" x14ac:dyDescent="0.2">
      <c r="A51" s="10">
        <v>21429</v>
      </c>
      <c r="B51" s="8">
        <v>5.03</v>
      </c>
      <c r="ED51" s="9">
        <v>0</v>
      </c>
    </row>
    <row r="52" spans="1:134" x14ac:dyDescent="0.2">
      <c r="A52" s="10">
        <v>21520</v>
      </c>
      <c r="B52" s="8">
        <v>5.0599999999999996</v>
      </c>
      <c r="ED52" s="9">
        <v>0.6</v>
      </c>
    </row>
    <row r="53" spans="1:134" x14ac:dyDescent="0.2">
      <c r="A53" s="10">
        <v>21610</v>
      </c>
      <c r="B53" s="8">
        <v>5.0999999999999996</v>
      </c>
      <c r="ED53" s="9">
        <v>0.8</v>
      </c>
    </row>
    <row r="54" spans="1:134" x14ac:dyDescent="0.2">
      <c r="A54" s="10">
        <v>21702</v>
      </c>
      <c r="B54" s="8">
        <v>5.0999999999999996</v>
      </c>
      <c r="ED54" s="9">
        <v>0</v>
      </c>
    </row>
    <row r="55" spans="1:134" x14ac:dyDescent="0.2">
      <c r="A55" s="10">
        <v>21794</v>
      </c>
      <c r="B55" s="8">
        <v>5.14</v>
      </c>
      <c r="ED55" s="9">
        <v>0.8</v>
      </c>
    </row>
    <row r="56" spans="1:134" x14ac:dyDescent="0.2">
      <c r="A56" s="10">
        <v>21885</v>
      </c>
      <c r="B56" s="8">
        <v>5.18</v>
      </c>
      <c r="ED56" s="9">
        <v>0.8</v>
      </c>
    </row>
    <row r="57" spans="1:134" x14ac:dyDescent="0.2">
      <c r="A57" s="10">
        <v>21976</v>
      </c>
      <c r="B57" s="8">
        <v>5.22</v>
      </c>
      <c r="ED57" s="9">
        <v>0.8</v>
      </c>
    </row>
    <row r="58" spans="1:134" x14ac:dyDescent="0.2">
      <c r="A58" s="10">
        <v>22068</v>
      </c>
      <c r="B58" s="8">
        <v>5.3</v>
      </c>
      <c r="ED58" s="9">
        <v>1.5</v>
      </c>
    </row>
    <row r="59" spans="1:134" x14ac:dyDescent="0.2">
      <c r="A59" s="10">
        <v>22160</v>
      </c>
      <c r="B59" s="8">
        <v>5.37</v>
      </c>
      <c r="ED59" s="9">
        <v>1.3</v>
      </c>
    </row>
    <row r="60" spans="1:134" x14ac:dyDescent="0.2">
      <c r="A60" s="10">
        <v>22251</v>
      </c>
      <c r="B60" s="8">
        <v>5.41</v>
      </c>
      <c r="ED60" s="9">
        <v>0.7</v>
      </c>
    </row>
    <row r="61" spans="1:134" x14ac:dyDescent="0.2">
      <c r="A61" s="10">
        <v>22341</v>
      </c>
      <c r="B61" s="8">
        <v>5.45</v>
      </c>
      <c r="ED61" s="9">
        <v>0.7</v>
      </c>
    </row>
    <row r="62" spans="1:134" x14ac:dyDescent="0.2">
      <c r="A62" s="10">
        <v>22433</v>
      </c>
      <c r="B62" s="8">
        <v>5.49</v>
      </c>
      <c r="ED62" s="9">
        <v>0.7</v>
      </c>
    </row>
    <row r="63" spans="1:134" x14ac:dyDescent="0.2">
      <c r="A63" s="10">
        <v>22525</v>
      </c>
      <c r="B63" s="8">
        <v>5.45</v>
      </c>
      <c r="ED63" s="9">
        <v>-0.7</v>
      </c>
    </row>
    <row r="64" spans="1:134" x14ac:dyDescent="0.2">
      <c r="A64" s="10">
        <v>22616</v>
      </c>
      <c r="B64" s="8">
        <v>5.45</v>
      </c>
      <c r="ED64" s="9">
        <v>0</v>
      </c>
    </row>
    <row r="65" spans="1:134" x14ac:dyDescent="0.2">
      <c r="A65" s="10">
        <v>22706</v>
      </c>
      <c r="B65" s="8">
        <v>5.45</v>
      </c>
      <c r="ED65" s="9">
        <v>0</v>
      </c>
    </row>
    <row r="66" spans="1:134" x14ac:dyDescent="0.2">
      <c r="A66" s="10">
        <v>22798</v>
      </c>
      <c r="B66" s="8">
        <v>5.45</v>
      </c>
      <c r="ED66" s="9">
        <v>0</v>
      </c>
    </row>
    <row r="67" spans="1:134" x14ac:dyDescent="0.2">
      <c r="A67" s="10">
        <v>22890</v>
      </c>
      <c r="B67" s="8">
        <v>5.45</v>
      </c>
      <c r="ED67" s="9">
        <v>0</v>
      </c>
    </row>
    <row r="68" spans="1:134" x14ac:dyDescent="0.2">
      <c r="A68" s="10">
        <v>22981</v>
      </c>
      <c r="B68" s="8">
        <v>5.45</v>
      </c>
      <c r="ED68" s="9">
        <v>0</v>
      </c>
    </row>
    <row r="69" spans="1:134" x14ac:dyDescent="0.2">
      <c r="A69" s="10">
        <v>23071</v>
      </c>
      <c r="B69" s="8">
        <v>5.45</v>
      </c>
      <c r="ED69" s="9">
        <v>0</v>
      </c>
    </row>
    <row r="70" spans="1:134" x14ac:dyDescent="0.2">
      <c r="A70" s="10">
        <v>23163</v>
      </c>
      <c r="B70" s="8">
        <v>5.45</v>
      </c>
      <c r="ED70" s="9">
        <v>0</v>
      </c>
    </row>
    <row r="71" spans="1:134" x14ac:dyDescent="0.2">
      <c r="A71" s="10">
        <v>23255</v>
      </c>
      <c r="B71" s="8">
        <v>5.49</v>
      </c>
      <c r="ED71" s="9">
        <v>0.7</v>
      </c>
    </row>
    <row r="72" spans="1:134" x14ac:dyDescent="0.2">
      <c r="A72" s="10">
        <v>23346</v>
      </c>
      <c r="B72" s="8">
        <v>5.49</v>
      </c>
      <c r="ED72" s="9">
        <v>0</v>
      </c>
    </row>
    <row r="73" spans="1:134" x14ac:dyDescent="0.2">
      <c r="A73" s="10">
        <v>23437</v>
      </c>
      <c r="B73" s="8">
        <v>5.53</v>
      </c>
      <c r="ED73" s="9">
        <v>0.7</v>
      </c>
    </row>
    <row r="74" spans="1:134" x14ac:dyDescent="0.2">
      <c r="A74" s="10">
        <v>23529</v>
      </c>
      <c r="B74" s="8">
        <v>5.57</v>
      </c>
      <c r="ED74" s="9">
        <v>0.7</v>
      </c>
    </row>
    <row r="75" spans="1:134" x14ac:dyDescent="0.2">
      <c r="A75" s="10">
        <v>23621</v>
      </c>
      <c r="B75" s="8">
        <v>5.64</v>
      </c>
      <c r="ED75" s="9">
        <v>1.3</v>
      </c>
    </row>
    <row r="76" spans="1:134" x14ac:dyDescent="0.2">
      <c r="A76" s="10">
        <v>23712</v>
      </c>
      <c r="B76" s="8">
        <v>5.68</v>
      </c>
      <c r="ED76" s="9">
        <v>0.7</v>
      </c>
    </row>
    <row r="77" spans="1:134" x14ac:dyDescent="0.2">
      <c r="A77" s="10">
        <v>23802</v>
      </c>
      <c r="B77" s="8">
        <v>5.72</v>
      </c>
      <c r="ED77" s="9">
        <v>0.7</v>
      </c>
    </row>
    <row r="78" spans="1:134" x14ac:dyDescent="0.2">
      <c r="A78" s="10">
        <v>23894</v>
      </c>
      <c r="B78" s="8">
        <v>5.8</v>
      </c>
      <c r="ED78" s="9">
        <v>1.4</v>
      </c>
    </row>
    <row r="79" spans="1:134" x14ac:dyDescent="0.2">
      <c r="A79" s="10">
        <v>23986</v>
      </c>
      <c r="B79" s="8">
        <v>5.84</v>
      </c>
      <c r="ED79" s="9">
        <v>0.7</v>
      </c>
    </row>
    <row r="80" spans="1:134" x14ac:dyDescent="0.2">
      <c r="A80" s="10">
        <v>24077</v>
      </c>
      <c r="B80" s="8">
        <v>5.91</v>
      </c>
      <c r="ED80" s="9">
        <v>1.2</v>
      </c>
    </row>
    <row r="81" spans="1:134" x14ac:dyDescent="0.2">
      <c r="A81" s="10">
        <v>24167</v>
      </c>
      <c r="B81" s="8">
        <v>5.95</v>
      </c>
      <c r="ED81" s="9">
        <v>0.7</v>
      </c>
    </row>
    <row r="82" spans="1:134" x14ac:dyDescent="0.2">
      <c r="A82" s="10">
        <v>24259</v>
      </c>
      <c r="B82" s="8">
        <v>5.99</v>
      </c>
      <c r="ED82" s="9">
        <v>0.7</v>
      </c>
    </row>
    <row r="83" spans="1:134" x14ac:dyDescent="0.2">
      <c r="A83" s="10">
        <v>24351</v>
      </c>
      <c r="B83" s="8">
        <v>5.99</v>
      </c>
      <c r="ED83" s="9">
        <v>0</v>
      </c>
    </row>
    <row r="84" spans="1:134" x14ac:dyDescent="0.2">
      <c r="A84" s="10">
        <v>24442</v>
      </c>
      <c r="B84" s="8">
        <v>6.07</v>
      </c>
      <c r="ED84" s="9">
        <v>1.3</v>
      </c>
    </row>
    <row r="85" spans="1:134" x14ac:dyDescent="0.2">
      <c r="A85" s="10">
        <v>24532</v>
      </c>
      <c r="B85" s="8">
        <v>6.11</v>
      </c>
      <c r="ED85" s="9">
        <v>0.7</v>
      </c>
    </row>
    <row r="86" spans="1:134" x14ac:dyDescent="0.2">
      <c r="A86" s="10">
        <v>24624</v>
      </c>
      <c r="B86" s="8">
        <v>6.15</v>
      </c>
      <c r="ED86" s="9">
        <v>0.7</v>
      </c>
    </row>
    <row r="87" spans="1:134" x14ac:dyDescent="0.2">
      <c r="A87" s="10">
        <v>24716</v>
      </c>
      <c r="B87" s="8">
        <v>6.26</v>
      </c>
      <c r="ED87" s="9">
        <v>1.8</v>
      </c>
    </row>
    <row r="88" spans="1:134" x14ac:dyDescent="0.2">
      <c r="A88" s="10">
        <v>24807</v>
      </c>
      <c r="B88" s="8">
        <v>6.26</v>
      </c>
      <c r="ED88" s="9">
        <v>0</v>
      </c>
    </row>
    <row r="89" spans="1:134" x14ac:dyDescent="0.2">
      <c r="A89" s="10">
        <v>24898</v>
      </c>
      <c r="B89" s="8">
        <v>6.3</v>
      </c>
      <c r="ED89" s="9">
        <v>0.6</v>
      </c>
    </row>
    <row r="90" spans="1:134" x14ac:dyDescent="0.2">
      <c r="A90" s="10">
        <v>24990</v>
      </c>
      <c r="B90" s="8">
        <v>6.34</v>
      </c>
      <c r="ED90" s="9">
        <v>0.6</v>
      </c>
    </row>
    <row r="91" spans="1:134" x14ac:dyDescent="0.2">
      <c r="A91" s="10">
        <v>25082</v>
      </c>
      <c r="B91" s="8">
        <v>6.38</v>
      </c>
      <c r="ED91" s="9">
        <v>0.6</v>
      </c>
    </row>
    <row r="92" spans="1:134" x14ac:dyDescent="0.2">
      <c r="A92" s="10">
        <v>25173</v>
      </c>
      <c r="B92" s="8">
        <v>6.42</v>
      </c>
      <c r="ED92" s="9">
        <v>0.6</v>
      </c>
    </row>
    <row r="93" spans="1:134" x14ac:dyDescent="0.2">
      <c r="A93" s="10">
        <v>25263</v>
      </c>
      <c r="B93" s="8">
        <v>6.49</v>
      </c>
      <c r="ED93" s="9">
        <v>1.1000000000000001</v>
      </c>
    </row>
    <row r="94" spans="1:134" x14ac:dyDescent="0.2">
      <c r="A94" s="10">
        <v>25355</v>
      </c>
      <c r="B94" s="8">
        <v>6.53</v>
      </c>
      <c r="ED94" s="9">
        <v>0.6</v>
      </c>
    </row>
    <row r="95" spans="1:134" x14ac:dyDescent="0.2">
      <c r="A95" s="10">
        <v>25447</v>
      </c>
      <c r="B95" s="8">
        <v>6.57</v>
      </c>
      <c r="ED95" s="9">
        <v>0.6</v>
      </c>
    </row>
    <row r="96" spans="1:134" x14ac:dyDescent="0.2">
      <c r="A96" s="10">
        <v>25538</v>
      </c>
      <c r="B96" s="8">
        <v>6.61</v>
      </c>
      <c r="ED96" s="9">
        <v>0.6</v>
      </c>
    </row>
    <row r="97" spans="1:235" x14ac:dyDescent="0.2">
      <c r="A97" s="10">
        <v>25628</v>
      </c>
      <c r="B97" s="8">
        <v>6.69</v>
      </c>
      <c r="ED97" s="9">
        <v>1.2</v>
      </c>
    </row>
    <row r="98" spans="1:235" x14ac:dyDescent="0.2">
      <c r="A98" s="10">
        <v>25720</v>
      </c>
      <c r="B98" s="8">
        <v>6.77</v>
      </c>
      <c r="ED98" s="9">
        <v>1.2</v>
      </c>
    </row>
    <row r="99" spans="1:235" x14ac:dyDescent="0.2">
      <c r="A99" s="10">
        <v>25812</v>
      </c>
      <c r="B99" s="8">
        <v>6.8</v>
      </c>
      <c r="ED99" s="9">
        <v>0.4</v>
      </c>
    </row>
    <row r="100" spans="1:235" x14ac:dyDescent="0.2">
      <c r="A100" s="10">
        <v>25903</v>
      </c>
      <c r="B100" s="8">
        <v>6.92</v>
      </c>
      <c r="ED100" s="9">
        <v>1.8</v>
      </c>
    </row>
    <row r="101" spans="1:235" x14ac:dyDescent="0.2">
      <c r="A101" s="10">
        <v>25993</v>
      </c>
      <c r="B101" s="8">
        <v>7</v>
      </c>
      <c r="ED101" s="9">
        <v>1.2</v>
      </c>
    </row>
    <row r="102" spans="1:235" x14ac:dyDescent="0.2">
      <c r="A102" s="10">
        <v>26085</v>
      </c>
      <c r="B102" s="8">
        <v>7.11</v>
      </c>
      <c r="ED102" s="9">
        <v>1.6</v>
      </c>
    </row>
    <row r="103" spans="1:235" x14ac:dyDescent="0.2">
      <c r="A103" s="10">
        <v>26177</v>
      </c>
      <c r="B103" s="8">
        <v>7.27</v>
      </c>
      <c r="ED103" s="9">
        <v>2.2999999999999998</v>
      </c>
    </row>
    <row r="104" spans="1:235" x14ac:dyDescent="0.2">
      <c r="A104" s="10">
        <v>26268</v>
      </c>
      <c r="B104" s="8">
        <v>7.42</v>
      </c>
      <c r="ED104" s="9">
        <v>2.1</v>
      </c>
    </row>
    <row r="105" spans="1:235" x14ac:dyDescent="0.2">
      <c r="A105" s="10">
        <v>26359</v>
      </c>
      <c r="B105" s="8">
        <v>7.5</v>
      </c>
      <c r="ED105" s="9">
        <v>1.1000000000000001</v>
      </c>
    </row>
    <row r="106" spans="1:235" x14ac:dyDescent="0.2">
      <c r="A106" s="10">
        <v>26451</v>
      </c>
      <c r="B106" s="8">
        <v>7.58</v>
      </c>
      <c r="ED106" s="9">
        <v>1.1000000000000001</v>
      </c>
    </row>
    <row r="107" spans="1:235" x14ac:dyDescent="0.2">
      <c r="A107" s="10">
        <v>26543</v>
      </c>
      <c r="B107" s="8">
        <v>7.69</v>
      </c>
      <c r="C107" s="8">
        <v>7.24</v>
      </c>
      <c r="D107" s="8">
        <v>7.03</v>
      </c>
      <c r="I107" s="8">
        <v>8.5</v>
      </c>
      <c r="J107" s="8">
        <v>7.19</v>
      </c>
      <c r="L107" s="8">
        <v>4.78</v>
      </c>
      <c r="M107" s="8">
        <v>25.66</v>
      </c>
      <c r="P107" s="8">
        <v>9.15</v>
      </c>
      <c r="AJ107" s="8">
        <v>2.61</v>
      </c>
      <c r="AK107" s="8">
        <v>7.04</v>
      </c>
      <c r="AN107" s="8">
        <v>5.15</v>
      </c>
      <c r="AO107" s="8">
        <v>0.49</v>
      </c>
      <c r="AP107" s="8">
        <v>0.49</v>
      </c>
      <c r="AQ107" s="8">
        <v>18.84</v>
      </c>
      <c r="AV107" s="8">
        <v>22.55</v>
      </c>
      <c r="BB107" s="8">
        <v>4.32</v>
      </c>
      <c r="BC107" s="8">
        <v>6.51</v>
      </c>
      <c r="BD107" s="8">
        <v>7.07</v>
      </c>
      <c r="BE107" s="8">
        <v>7.07</v>
      </c>
      <c r="BK107" s="8">
        <v>4.33</v>
      </c>
      <c r="BO107" s="8">
        <v>14.01</v>
      </c>
      <c r="BP107" s="8">
        <v>11.89</v>
      </c>
      <c r="BS107" s="8">
        <v>18.54</v>
      </c>
      <c r="BT107" s="8">
        <v>18.54</v>
      </c>
      <c r="BV107" s="8">
        <v>44.33</v>
      </c>
      <c r="BW107" s="8">
        <v>50.57</v>
      </c>
      <c r="CF107" s="8">
        <v>3.92</v>
      </c>
      <c r="CO107" s="8">
        <v>8.66</v>
      </c>
      <c r="CP107" s="8">
        <v>8.81</v>
      </c>
      <c r="CQ107" s="8">
        <v>19.86</v>
      </c>
      <c r="CS107" s="8">
        <v>5.3</v>
      </c>
      <c r="CV107" s="8">
        <v>6.46</v>
      </c>
      <c r="CW107" s="8">
        <v>6.46</v>
      </c>
      <c r="CX107" s="8">
        <v>37.26</v>
      </c>
      <c r="CY107" s="8">
        <v>37.26</v>
      </c>
      <c r="ED107" s="9">
        <v>1.5</v>
      </c>
    </row>
    <row r="108" spans="1:235" x14ac:dyDescent="0.2">
      <c r="A108" s="10">
        <v>26634</v>
      </c>
      <c r="B108" s="8">
        <v>7.77</v>
      </c>
      <c r="C108" s="8">
        <v>7.35</v>
      </c>
      <c r="D108" s="8">
        <v>7.03</v>
      </c>
      <c r="I108" s="8">
        <v>8.6300000000000008</v>
      </c>
      <c r="J108" s="8">
        <v>7.3</v>
      </c>
      <c r="L108" s="8">
        <v>4.88</v>
      </c>
      <c r="M108" s="8">
        <v>25.89</v>
      </c>
      <c r="P108" s="8">
        <v>9.19</v>
      </c>
      <c r="AJ108" s="8">
        <v>2.63</v>
      </c>
      <c r="AK108" s="8">
        <v>7.11</v>
      </c>
      <c r="AN108" s="8">
        <v>5.23</v>
      </c>
      <c r="AO108" s="8">
        <v>0.49</v>
      </c>
      <c r="AP108" s="8">
        <v>0.49</v>
      </c>
      <c r="AQ108" s="8">
        <v>19.11</v>
      </c>
      <c r="AV108" s="8">
        <v>22.77</v>
      </c>
      <c r="BB108" s="8">
        <v>4.41</v>
      </c>
      <c r="BC108" s="8">
        <v>6.62</v>
      </c>
      <c r="BD108" s="8">
        <v>7.18</v>
      </c>
      <c r="BE108" s="8">
        <v>7.18</v>
      </c>
      <c r="BK108" s="8">
        <v>4.33</v>
      </c>
      <c r="BO108" s="8">
        <v>14.13</v>
      </c>
      <c r="BP108" s="8">
        <v>12.07</v>
      </c>
      <c r="BS108" s="8">
        <v>18.64</v>
      </c>
      <c r="BT108" s="8">
        <v>18.64</v>
      </c>
      <c r="BV108" s="8">
        <v>44.53</v>
      </c>
      <c r="BW108" s="8">
        <v>50.79</v>
      </c>
      <c r="CF108" s="8">
        <v>4.07</v>
      </c>
      <c r="CO108" s="8">
        <v>8.7100000000000009</v>
      </c>
      <c r="CP108" s="8">
        <v>8.81</v>
      </c>
      <c r="CQ108" s="8">
        <v>19.86</v>
      </c>
      <c r="CS108" s="8">
        <v>5.3</v>
      </c>
      <c r="CV108" s="8">
        <v>6.46</v>
      </c>
      <c r="CW108" s="8">
        <v>6.46</v>
      </c>
      <c r="CX108" s="8">
        <v>37.26</v>
      </c>
      <c r="CY108" s="8">
        <v>37.26</v>
      </c>
      <c r="ED108" s="9">
        <v>1</v>
      </c>
      <c r="EE108" s="9">
        <v>1.5</v>
      </c>
      <c r="EF108" s="9">
        <v>0</v>
      </c>
      <c r="EK108" s="9">
        <v>1.5</v>
      </c>
      <c r="EL108" s="9">
        <v>1.5</v>
      </c>
      <c r="EN108" s="9">
        <v>2.1</v>
      </c>
      <c r="EO108" s="9">
        <v>0.9</v>
      </c>
      <c r="ER108" s="9">
        <v>0.4</v>
      </c>
      <c r="FL108" s="9">
        <v>0.8</v>
      </c>
      <c r="FM108" s="9">
        <v>1</v>
      </c>
      <c r="FP108" s="9">
        <v>1.6</v>
      </c>
      <c r="FQ108" s="9">
        <v>0</v>
      </c>
      <c r="FR108" s="9">
        <v>0</v>
      </c>
      <c r="FS108" s="9">
        <v>1.4</v>
      </c>
      <c r="FX108" s="9">
        <v>1</v>
      </c>
      <c r="GD108" s="9">
        <v>2.1</v>
      </c>
      <c r="GE108" s="9">
        <v>1.7</v>
      </c>
      <c r="GF108" s="9">
        <v>1.6</v>
      </c>
      <c r="GG108" s="9">
        <v>1.6</v>
      </c>
      <c r="GM108" s="9">
        <v>0</v>
      </c>
      <c r="GQ108" s="9">
        <v>0.9</v>
      </c>
      <c r="GR108" s="9">
        <v>1.5</v>
      </c>
      <c r="GU108" s="9">
        <v>0.5</v>
      </c>
      <c r="GV108" s="9">
        <v>0.5</v>
      </c>
      <c r="GX108" s="9">
        <v>0.5</v>
      </c>
      <c r="GY108" s="9">
        <v>0.4</v>
      </c>
      <c r="HH108" s="9">
        <v>3.8</v>
      </c>
      <c r="HQ108" s="9">
        <v>0.6</v>
      </c>
      <c r="HR108" s="9">
        <v>0</v>
      </c>
      <c r="HS108" s="9">
        <v>0</v>
      </c>
      <c r="HU108" s="9">
        <v>0</v>
      </c>
      <c r="HX108" s="9">
        <v>0</v>
      </c>
      <c r="HY108" s="9">
        <v>0</v>
      </c>
      <c r="HZ108" s="9">
        <v>0</v>
      </c>
      <c r="IA108" s="9">
        <v>0</v>
      </c>
    </row>
    <row r="109" spans="1:235" x14ac:dyDescent="0.2">
      <c r="A109" s="10">
        <v>26724</v>
      </c>
      <c r="B109" s="8">
        <v>7.93</v>
      </c>
      <c r="C109" s="8">
        <v>7.68</v>
      </c>
      <c r="D109" s="8">
        <v>7.14</v>
      </c>
      <c r="I109" s="8">
        <v>9.33</v>
      </c>
      <c r="J109" s="8">
        <v>7.74</v>
      </c>
      <c r="L109" s="8">
        <v>5.79</v>
      </c>
      <c r="M109" s="8">
        <v>25.74</v>
      </c>
      <c r="P109" s="8">
        <v>9.3800000000000008</v>
      </c>
      <c r="AJ109" s="8">
        <v>2.68</v>
      </c>
      <c r="AK109" s="8">
        <v>7.14</v>
      </c>
      <c r="AN109" s="8">
        <v>5.25</v>
      </c>
      <c r="AO109" s="8">
        <v>0.5</v>
      </c>
      <c r="AP109" s="8">
        <v>0.5</v>
      </c>
      <c r="AQ109" s="8">
        <v>19.38</v>
      </c>
      <c r="AV109" s="8">
        <v>23.44</v>
      </c>
      <c r="BB109" s="8">
        <v>4.47</v>
      </c>
      <c r="BC109" s="8">
        <v>6.69</v>
      </c>
      <c r="BD109" s="8">
        <v>7.29</v>
      </c>
      <c r="BE109" s="8">
        <v>7.29</v>
      </c>
      <c r="BK109" s="8">
        <v>4.3499999999999996</v>
      </c>
      <c r="BO109" s="8">
        <v>14.26</v>
      </c>
      <c r="BP109" s="8">
        <v>12.42</v>
      </c>
      <c r="BS109" s="8">
        <v>18.96</v>
      </c>
      <c r="BT109" s="8">
        <v>18.96</v>
      </c>
      <c r="BV109" s="8">
        <v>44.53</v>
      </c>
      <c r="BW109" s="8">
        <v>50.79</v>
      </c>
      <c r="CF109" s="8">
        <v>4.1900000000000004</v>
      </c>
      <c r="CO109" s="8">
        <v>8.75</v>
      </c>
      <c r="CP109" s="8">
        <v>8.85</v>
      </c>
      <c r="CQ109" s="8">
        <v>19.86</v>
      </c>
      <c r="CS109" s="8">
        <v>5.27</v>
      </c>
      <c r="CV109" s="8">
        <v>6.52</v>
      </c>
      <c r="CW109" s="8">
        <v>6.53</v>
      </c>
      <c r="CX109" s="8">
        <v>37.26</v>
      </c>
      <c r="CY109" s="8">
        <v>37.26</v>
      </c>
      <c r="ED109" s="9">
        <v>2.1</v>
      </c>
      <c r="EE109" s="9">
        <v>4.5</v>
      </c>
      <c r="EF109" s="9">
        <v>1.6</v>
      </c>
      <c r="EK109" s="9">
        <v>8.1</v>
      </c>
      <c r="EL109" s="9">
        <v>6</v>
      </c>
      <c r="EN109" s="9">
        <v>18.600000000000001</v>
      </c>
      <c r="EO109" s="9">
        <v>-0.6</v>
      </c>
      <c r="ER109" s="9">
        <v>2.1</v>
      </c>
      <c r="FL109" s="9">
        <v>1.9</v>
      </c>
      <c r="FM109" s="9">
        <v>0.4</v>
      </c>
      <c r="FP109" s="9">
        <v>0.4</v>
      </c>
      <c r="FQ109" s="9">
        <v>2</v>
      </c>
      <c r="FR109" s="9">
        <v>2</v>
      </c>
      <c r="FS109" s="9">
        <v>1.4</v>
      </c>
      <c r="FX109" s="9">
        <v>2.9</v>
      </c>
      <c r="GD109" s="9">
        <v>1.4</v>
      </c>
      <c r="GE109" s="9">
        <v>1.1000000000000001</v>
      </c>
      <c r="GF109" s="9">
        <v>1.5</v>
      </c>
      <c r="GG109" s="9">
        <v>1.5</v>
      </c>
      <c r="GM109" s="9">
        <v>0.5</v>
      </c>
      <c r="GQ109" s="9">
        <v>0.9</v>
      </c>
      <c r="GR109" s="9">
        <v>2.9</v>
      </c>
      <c r="GU109" s="9">
        <v>1.7</v>
      </c>
      <c r="GV109" s="9">
        <v>1.7</v>
      </c>
      <c r="GX109" s="9">
        <v>0</v>
      </c>
      <c r="GY109" s="9">
        <v>0</v>
      </c>
      <c r="HH109" s="9">
        <v>2.9</v>
      </c>
      <c r="HQ109" s="9">
        <v>0.5</v>
      </c>
      <c r="HR109" s="9">
        <v>0.5</v>
      </c>
      <c r="HS109" s="9">
        <v>0</v>
      </c>
      <c r="HU109" s="9">
        <v>-0.6</v>
      </c>
      <c r="HX109" s="9">
        <v>0.9</v>
      </c>
      <c r="HY109" s="9">
        <v>1.1000000000000001</v>
      </c>
      <c r="HZ109" s="9">
        <v>0</v>
      </c>
      <c r="IA109" s="9">
        <v>0</v>
      </c>
    </row>
    <row r="110" spans="1:235" x14ac:dyDescent="0.2">
      <c r="A110" s="10">
        <v>26816</v>
      </c>
      <c r="B110" s="8">
        <v>8.1999999999999993</v>
      </c>
      <c r="C110" s="8">
        <v>8.08</v>
      </c>
      <c r="D110" s="8">
        <v>7.29</v>
      </c>
      <c r="I110" s="8">
        <v>10.36</v>
      </c>
      <c r="J110" s="8">
        <v>8.48</v>
      </c>
      <c r="L110" s="8">
        <v>6.71</v>
      </c>
      <c r="M110" s="8">
        <v>27.76</v>
      </c>
      <c r="P110" s="8">
        <v>9.61</v>
      </c>
      <c r="AJ110" s="8">
        <v>2.77</v>
      </c>
      <c r="AK110" s="8">
        <v>7.61</v>
      </c>
      <c r="AN110" s="8">
        <v>5.58</v>
      </c>
      <c r="AO110" s="8">
        <v>0.5</v>
      </c>
      <c r="AP110" s="8">
        <v>0.5</v>
      </c>
      <c r="AQ110" s="8">
        <v>20.190000000000001</v>
      </c>
      <c r="AV110" s="8">
        <v>24.34</v>
      </c>
      <c r="BB110" s="8">
        <v>4.6500000000000004</v>
      </c>
      <c r="BC110" s="8">
        <v>6.88</v>
      </c>
      <c r="BD110" s="8">
        <v>7.4</v>
      </c>
      <c r="BE110" s="8">
        <v>7.4</v>
      </c>
      <c r="BK110" s="8">
        <v>4.3499999999999996</v>
      </c>
      <c r="BO110" s="8">
        <v>14.57</v>
      </c>
      <c r="BP110" s="8">
        <v>12.89</v>
      </c>
      <c r="BS110" s="8">
        <v>21.29</v>
      </c>
      <c r="BT110" s="8">
        <v>21.29</v>
      </c>
      <c r="BV110" s="8">
        <v>44.72</v>
      </c>
      <c r="BW110" s="8">
        <v>51.01</v>
      </c>
      <c r="CF110" s="8">
        <v>4.22</v>
      </c>
      <c r="CO110" s="8">
        <v>8.8000000000000007</v>
      </c>
      <c r="CP110" s="8">
        <v>8.9</v>
      </c>
      <c r="CQ110" s="8">
        <v>19.95</v>
      </c>
      <c r="CS110" s="8">
        <v>5.24</v>
      </c>
      <c r="CV110" s="8">
        <v>6.59</v>
      </c>
      <c r="CW110" s="8">
        <v>6.59</v>
      </c>
      <c r="CX110" s="8">
        <v>37.26</v>
      </c>
      <c r="CY110" s="8">
        <v>37.26</v>
      </c>
      <c r="ED110" s="9">
        <v>3.4</v>
      </c>
      <c r="EE110" s="9">
        <v>5.2</v>
      </c>
      <c r="EF110" s="9">
        <v>2.1</v>
      </c>
      <c r="EK110" s="9">
        <v>11</v>
      </c>
      <c r="EL110" s="9">
        <v>9.6</v>
      </c>
      <c r="EN110" s="9">
        <v>15.9</v>
      </c>
      <c r="EO110" s="9">
        <v>7.8</v>
      </c>
      <c r="ER110" s="9">
        <v>2.5</v>
      </c>
      <c r="FL110" s="9">
        <v>3.4</v>
      </c>
      <c r="FM110" s="9">
        <v>6.6</v>
      </c>
      <c r="FP110" s="9">
        <v>6.3</v>
      </c>
      <c r="FQ110" s="9">
        <v>0</v>
      </c>
      <c r="FR110" s="9">
        <v>0</v>
      </c>
      <c r="FS110" s="9">
        <v>4.2</v>
      </c>
      <c r="FX110" s="9">
        <v>3.8</v>
      </c>
      <c r="GD110" s="9">
        <v>4</v>
      </c>
      <c r="GE110" s="9">
        <v>2.8</v>
      </c>
      <c r="GF110" s="9">
        <v>1.5</v>
      </c>
      <c r="GG110" s="9">
        <v>1.5</v>
      </c>
      <c r="GM110" s="9">
        <v>0</v>
      </c>
      <c r="GQ110" s="9">
        <v>2.2000000000000002</v>
      </c>
      <c r="GR110" s="9">
        <v>3.8</v>
      </c>
      <c r="GU110" s="9">
        <v>12.3</v>
      </c>
      <c r="GV110" s="9">
        <v>12.3</v>
      </c>
      <c r="GX110" s="9">
        <v>0.4</v>
      </c>
      <c r="GY110" s="9">
        <v>0.4</v>
      </c>
      <c r="HH110" s="9">
        <v>0.7</v>
      </c>
      <c r="HQ110" s="9">
        <v>0.6</v>
      </c>
      <c r="HR110" s="9">
        <v>0.6</v>
      </c>
      <c r="HS110" s="9">
        <v>0.5</v>
      </c>
      <c r="HU110" s="9">
        <v>-0.6</v>
      </c>
      <c r="HX110" s="9">
        <v>1.1000000000000001</v>
      </c>
      <c r="HY110" s="9">
        <v>0.9</v>
      </c>
      <c r="HZ110" s="9">
        <v>0</v>
      </c>
      <c r="IA110" s="9">
        <v>0</v>
      </c>
    </row>
    <row r="111" spans="1:235" x14ac:dyDescent="0.2">
      <c r="A111" s="10">
        <v>26908</v>
      </c>
      <c r="B111" s="8">
        <v>8.4700000000000006</v>
      </c>
      <c r="C111" s="8">
        <v>8.56</v>
      </c>
      <c r="D111" s="8">
        <v>7.51</v>
      </c>
      <c r="I111" s="8">
        <v>11.1</v>
      </c>
      <c r="J111" s="8">
        <v>8.9600000000000009</v>
      </c>
      <c r="L111" s="8">
        <v>7.48</v>
      </c>
      <c r="M111" s="8">
        <v>29.56</v>
      </c>
      <c r="P111" s="8">
        <v>9.76</v>
      </c>
      <c r="AJ111" s="8">
        <v>2.77</v>
      </c>
      <c r="AK111" s="8">
        <v>7.64</v>
      </c>
      <c r="AN111" s="8">
        <v>5.58</v>
      </c>
      <c r="AO111" s="8">
        <v>0.5</v>
      </c>
      <c r="AP111" s="8">
        <v>0.5</v>
      </c>
      <c r="AQ111" s="8">
        <v>20.73</v>
      </c>
      <c r="AV111" s="8">
        <v>25.79</v>
      </c>
      <c r="BB111" s="8">
        <v>5.01</v>
      </c>
      <c r="BC111" s="8">
        <v>7.02</v>
      </c>
      <c r="BD111" s="8">
        <v>7.55</v>
      </c>
      <c r="BE111" s="8">
        <v>7.55</v>
      </c>
      <c r="BK111" s="8">
        <v>4.5599999999999996</v>
      </c>
      <c r="BO111" s="8">
        <v>15.01</v>
      </c>
      <c r="BP111" s="8">
        <v>13.18</v>
      </c>
      <c r="BS111" s="8">
        <v>22.35</v>
      </c>
      <c r="BT111" s="8">
        <v>22.35</v>
      </c>
      <c r="BV111" s="8">
        <v>45.41</v>
      </c>
      <c r="BW111" s="8">
        <v>51.79</v>
      </c>
      <c r="CF111" s="8">
        <v>4.6399999999999997</v>
      </c>
      <c r="CO111" s="8">
        <v>9.02</v>
      </c>
      <c r="CP111" s="8">
        <v>9.1300000000000008</v>
      </c>
      <c r="CQ111" s="8">
        <v>20.34</v>
      </c>
      <c r="CS111" s="8">
        <v>5.42</v>
      </c>
      <c r="CV111" s="8">
        <v>6.68</v>
      </c>
      <c r="CW111" s="8">
        <v>6.68</v>
      </c>
      <c r="CX111" s="8">
        <v>37.26</v>
      </c>
      <c r="CY111" s="8">
        <v>37.26</v>
      </c>
      <c r="ED111" s="9">
        <v>3.3</v>
      </c>
      <c r="EE111" s="9">
        <v>5.9</v>
      </c>
      <c r="EF111" s="9">
        <v>3</v>
      </c>
      <c r="EK111" s="9">
        <v>7.1</v>
      </c>
      <c r="EL111" s="9">
        <v>5.7</v>
      </c>
      <c r="EN111" s="9">
        <v>11.5</v>
      </c>
      <c r="EO111" s="9">
        <v>6.5</v>
      </c>
      <c r="ER111" s="9">
        <v>1.6</v>
      </c>
      <c r="FL111" s="9">
        <v>0</v>
      </c>
      <c r="FM111" s="9">
        <v>0.4</v>
      </c>
      <c r="FP111" s="9">
        <v>0</v>
      </c>
      <c r="FQ111" s="9">
        <v>0</v>
      </c>
      <c r="FR111" s="9">
        <v>0</v>
      </c>
      <c r="FS111" s="9">
        <v>2.7</v>
      </c>
      <c r="FX111" s="9">
        <v>6</v>
      </c>
      <c r="GD111" s="9">
        <v>7.7</v>
      </c>
      <c r="GE111" s="9">
        <v>2</v>
      </c>
      <c r="GF111" s="9">
        <v>2</v>
      </c>
      <c r="GG111" s="9">
        <v>2</v>
      </c>
      <c r="GM111" s="9">
        <v>4.8</v>
      </c>
      <c r="GQ111" s="9">
        <v>3</v>
      </c>
      <c r="GR111" s="9">
        <v>2.2000000000000002</v>
      </c>
      <c r="GU111" s="9">
        <v>5</v>
      </c>
      <c r="GV111" s="9">
        <v>5</v>
      </c>
      <c r="GX111" s="9">
        <v>1.5</v>
      </c>
      <c r="GY111" s="9">
        <v>1.5</v>
      </c>
      <c r="HH111" s="9">
        <v>10</v>
      </c>
      <c r="HQ111" s="9">
        <v>2.5</v>
      </c>
      <c r="HR111" s="9">
        <v>2.6</v>
      </c>
      <c r="HS111" s="9">
        <v>2</v>
      </c>
      <c r="HU111" s="9">
        <v>3.4</v>
      </c>
      <c r="HX111" s="9">
        <v>1.4</v>
      </c>
      <c r="HY111" s="9">
        <v>1.4</v>
      </c>
      <c r="HZ111" s="9">
        <v>0</v>
      </c>
      <c r="IA111" s="9">
        <v>0</v>
      </c>
    </row>
    <row r="112" spans="1:235" x14ac:dyDescent="0.2">
      <c r="A112" s="10">
        <v>26999</v>
      </c>
      <c r="B112" s="8">
        <v>8.7799999999999994</v>
      </c>
      <c r="C112" s="8">
        <v>8.8800000000000008</v>
      </c>
      <c r="D112" s="8">
        <v>7.66</v>
      </c>
      <c r="I112" s="8">
        <v>11.56</v>
      </c>
      <c r="J112" s="8">
        <v>9.3000000000000007</v>
      </c>
      <c r="L112" s="8">
        <v>7.62</v>
      </c>
      <c r="M112" s="8">
        <v>29.71</v>
      </c>
      <c r="P112" s="8">
        <v>10.07</v>
      </c>
      <c r="AJ112" s="8">
        <v>2.93</v>
      </c>
      <c r="AK112" s="8">
        <v>7.64</v>
      </c>
      <c r="AN112" s="8">
        <v>5.58</v>
      </c>
      <c r="AO112" s="8">
        <v>0.56000000000000005</v>
      </c>
      <c r="AP112" s="8">
        <v>0.56000000000000005</v>
      </c>
      <c r="AQ112" s="8">
        <v>21.63</v>
      </c>
      <c r="AV112" s="8">
        <v>26.46</v>
      </c>
      <c r="BB112" s="8">
        <v>5.0999999999999996</v>
      </c>
      <c r="BC112" s="8">
        <v>7.28</v>
      </c>
      <c r="BD112" s="8">
        <v>7.8</v>
      </c>
      <c r="BE112" s="8">
        <v>7.8</v>
      </c>
      <c r="BK112" s="8">
        <v>4.5599999999999996</v>
      </c>
      <c r="BO112" s="8">
        <v>15.26</v>
      </c>
      <c r="BP112" s="8">
        <v>13.71</v>
      </c>
      <c r="BS112" s="8">
        <v>23.2</v>
      </c>
      <c r="BT112" s="8">
        <v>23.2</v>
      </c>
      <c r="BV112" s="8">
        <v>45.9</v>
      </c>
      <c r="BW112" s="8">
        <v>52.35</v>
      </c>
      <c r="CF112" s="8">
        <v>4.82</v>
      </c>
      <c r="CO112" s="8">
        <v>9.2799999999999994</v>
      </c>
      <c r="CP112" s="8">
        <v>9.49</v>
      </c>
      <c r="CQ112" s="8">
        <v>20.82</v>
      </c>
      <c r="CS112" s="8">
        <v>6.02</v>
      </c>
      <c r="CV112" s="8">
        <v>6.74</v>
      </c>
      <c r="CW112" s="8">
        <v>6.74</v>
      </c>
      <c r="CX112" s="8">
        <v>37.26</v>
      </c>
      <c r="CY112" s="8">
        <v>37.26</v>
      </c>
      <c r="ED112" s="9">
        <v>3.7</v>
      </c>
      <c r="EE112" s="9">
        <v>3.7</v>
      </c>
      <c r="EF112" s="9">
        <v>2</v>
      </c>
      <c r="EK112" s="9">
        <v>4.0999999999999996</v>
      </c>
      <c r="EL112" s="9">
        <v>3.8</v>
      </c>
      <c r="EN112" s="9">
        <v>1.9</v>
      </c>
      <c r="EO112" s="9">
        <v>0.5</v>
      </c>
      <c r="ER112" s="9">
        <v>3.2</v>
      </c>
      <c r="FL112" s="9">
        <v>5.8</v>
      </c>
      <c r="FM112" s="9">
        <v>0</v>
      </c>
      <c r="FP112" s="9">
        <v>0</v>
      </c>
      <c r="FQ112" s="9">
        <v>12</v>
      </c>
      <c r="FR112" s="9">
        <v>12</v>
      </c>
      <c r="FS112" s="9">
        <v>4.3</v>
      </c>
      <c r="FX112" s="9">
        <v>2.6</v>
      </c>
      <c r="GD112" s="9">
        <v>1.8</v>
      </c>
      <c r="GE112" s="9">
        <v>3.7</v>
      </c>
      <c r="GF112" s="9">
        <v>3.3</v>
      </c>
      <c r="GG112" s="9">
        <v>3.3</v>
      </c>
      <c r="GM112" s="9">
        <v>0</v>
      </c>
      <c r="GQ112" s="9">
        <v>1.7</v>
      </c>
      <c r="GR112" s="9">
        <v>4</v>
      </c>
      <c r="GU112" s="9">
        <v>3.8</v>
      </c>
      <c r="GV112" s="9">
        <v>3.8</v>
      </c>
      <c r="GX112" s="9">
        <v>1.1000000000000001</v>
      </c>
      <c r="GY112" s="9">
        <v>1.1000000000000001</v>
      </c>
      <c r="HH112" s="9">
        <v>3.9</v>
      </c>
      <c r="HQ112" s="9">
        <v>2.9</v>
      </c>
      <c r="HR112" s="9">
        <v>3.9</v>
      </c>
      <c r="HS112" s="9">
        <v>2.4</v>
      </c>
      <c r="HU112" s="9">
        <v>11.1</v>
      </c>
      <c r="HX112" s="9">
        <v>0.9</v>
      </c>
      <c r="HY112" s="9">
        <v>0.9</v>
      </c>
      <c r="HZ112" s="9">
        <v>0</v>
      </c>
      <c r="IA112" s="9">
        <v>0</v>
      </c>
    </row>
    <row r="113" spans="1:235" x14ac:dyDescent="0.2">
      <c r="A113" s="10">
        <v>27089</v>
      </c>
      <c r="B113" s="8">
        <v>9.01</v>
      </c>
      <c r="C113" s="8">
        <v>9.17</v>
      </c>
      <c r="D113" s="8">
        <v>7.92</v>
      </c>
      <c r="I113" s="8">
        <v>12.42</v>
      </c>
      <c r="J113" s="8">
        <v>9.67</v>
      </c>
      <c r="L113" s="8">
        <v>8.69</v>
      </c>
      <c r="M113" s="8">
        <v>31.59</v>
      </c>
      <c r="P113" s="8">
        <v>10.3</v>
      </c>
      <c r="AJ113" s="8">
        <v>2.93</v>
      </c>
      <c r="AK113" s="8">
        <v>7.68</v>
      </c>
      <c r="AN113" s="8">
        <v>5.61</v>
      </c>
      <c r="AO113" s="8">
        <v>0.56000000000000005</v>
      </c>
      <c r="AP113" s="8">
        <v>0.56000000000000005</v>
      </c>
      <c r="AQ113" s="8">
        <v>22.08</v>
      </c>
      <c r="AV113" s="8">
        <v>27.35</v>
      </c>
      <c r="BB113" s="8">
        <v>5.33</v>
      </c>
      <c r="BC113" s="8">
        <v>7.47</v>
      </c>
      <c r="BD113" s="8">
        <v>7.91</v>
      </c>
      <c r="BE113" s="8">
        <v>7.91</v>
      </c>
      <c r="BK113" s="8">
        <v>4.72</v>
      </c>
      <c r="BO113" s="8">
        <v>15.69</v>
      </c>
      <c r="BP113" s="8">
        <v>14.29</v>
      </c>
      <c r="BS113" s="8">
        <v>24.58</v>
      </c>
      <c r="BT113" s="8">
        <v>24.58</v>
      </c>
      <c r="BV113" s="8">
        <v>46.39</v>
      </c>
      <c r="BW113" s="8">
        <v>52.91</v>
      </c>
      <c r="CF113" s="8">
        <v>5.12</v>
      </c>
      <c r="CO113" s="8">
        <v>9.5</v>
      </c>
      <c r="CP113" s="8">
        <v>9.7100000000000009</v>
      </c>
      <c r="CQ113" s="8">
        <v>21.5</v>
      </c>
      <c r="CS113" s="8">
        <v>6.08</v>
      </c>
      <c r="CV113" s="8">
        <v>6.77</v>
      </c>
      <c r="CW113" s="8">
        <v>6.77</v>
      </c>
      <c r="CX113" s="8">
        <v>37.26</v>
      </c>
      <c r="CY113" s="8">
        <v>37.26</v>
      </c>
      <c r="ED113" s="9">
        <v>2.6</v>
      </c>
      <c r="EE113" s="9">
        <v>3.3</v>
      </c>
      <c r="EF113" s="9">
        <v>3.4</v>
      </c>
      <c r="EK113" s="9">
        <v>7.4</v>
      </c>
      <c r="EL113" s="9">
        <v>4</v>
      </c>
      <c r="EN113" s="9">
        <v>14</v>
      </c>
      <c r="EO113" s="9">
        <v>6.3</v>
      </c>
      <c r="ER113" s="9">
        <v>2.2999999999999998</v>
      </c>
      <c r="FL113" s="9">
        <v>0</v>
      </c>
      <c r="FM113" s="9">
        <v>0.5</v>
      </c>
      <c r="FP113" s="9">
        <v>0.5</v>
      </c>
      <c r="FQ113" s="9">
        <v>0</v>
      </c>
      <c r="FR113" s="9">
        <v>0</v>
      </c>
      <c r="FS113" s="9">
        <v>2.1</v>
      </c>
      <c r="FX113" s="9">
        <v>3.4</v>
      </c>
      <c r="GD113" s="9">
        <v>4.5</v>
      </c>
      <c r="GE113" s="9">
        <v>2.6</v>
      </c>
      <c r="GF113" s="9">
        <v>1.4</v>
      </c>
      <c r="GG113" s="9">
        <v>1.4</v>
      </c>
      <c r="GM113" s="9">
        <v>3.5</v>
      </c>
      <c r="GQ113" s="9">
        <v>2.8</v>
      </c>
      <c r="GR113" s="9">
        <v>4.2</v>
      </c>
      <c r="GU113" s="9">
        <v>5.9</v>
      </c>
      <c r="GV113" s="9">
        <v>5.9</v>
      </c>
      <c r="GX113" s="9">
        <v>1.1000000000000001</v>
      </c>
      <c r="GY113" s="9">
        <v>1.1000000000000001</v>
      </c>
      <c r="HH113" s="9">
        <v>6.2</v>
      </c>
      <c r="HQ113" s="9">
        <v>2.4</v>
      </c>
      <c r="HR113" s="9">
        <v>2.2999999999999998</v>
      </c>
      <c r="HS113" s="9">
        <v>3.3</v>
      </c>
      <c r="HU113" s="9">
        <v>1</v>
      </c>
      <c r="HX113" s="9">
        <v>0.4</v>
      </c>
      <c r="HY113" s="9">
        <v>0.4</v>
      </c>
      <c r="HZ113" s="9">
        <v>0</v>
      </c>
      <c r="IA113" s="9">
        <v>0</v>
      </c>
    </row>
    <row r="114" spans="1:235" x14ac:dyDescent="0.2">
      <c r="A114" s="10">
        <v>27181</v>
      </c>
      <c r="B114" s="8">
        <v>9.39</v>
      </c>
      <c r="C114" s="8">
        <v>9.5399999999999991</v>
      </c>
      <c r="D114" s="8">
        <v>8.25</v>
      </c>
      <c r="I114" s="8">
        <v>12.63</v>
      </c>
      <c r="J114" s="8">
        <v>9.5399999999999991</v>
      </c>
      <c r="L114" s="8">
        <v>8.76</v>
      </c>
      <c r="M114" s="8">
        <v>32.44</v>
      </c>
      <c r="P114" s="8">
        <v>10.6</v>
      </c>
      <c r="AJ114" s="8">
        <v>3.08</v>
      </c>
      <c r="AK114" s="8">
        <v>8.24</v>
      </c>
      <c r="AN114" s="8">
        <v>6.07</v>
      </c>
      <c r="AO114" s="8">
        <v>0.56999999999999995</v>
      </c>
      <c r="AP114" s="8">
        <v>0.56999999999999995</v>
      </c>
      <c r="AQ114" s="8">
        <v>23.7</v>
      </c>
      <c r="AV114" s="8">
        <v>28.25</v>
      </c>
      <c r="BB114" s="8">
        <v>5.84</v>
      </c>
      <c r="BC114" s="8">
        <v>7.84</v>
      </c>
      <c r="BD114" s="8">
        <v>8.17</v>
      </c>
      <c r="BE114" s="8">
        <v>8.17</v>
      </c>
      <c r="BK114" s="8">
        <v>4.9000000000000004</v>
      </c>
      <c r="BO114" s="8">
        <v>16.260000000000002</v>
      </c>
      <c r="BP114" s="8">
        <v>15.06</v>
      </c>
      <c r="BS114" s="8">
        <v>26.8</v>
      </c>
      <c r="BT114" s="8">
        <v>26.8</v>
      </c>
      <c r="BV114" s="8">
        <v>46.87</v>
      </c>
      <c r="BW114" s="8">
        <v>53.47</v>
      </c>
      <c r="CF114" s="8">
        <v>5.21</v>
      </c>
      <c r="CO114" s="8">
        <v>9.7200000000000006</v>
      </c>
      <c r="CP114" s="8">
        <v>9.98</v>
      </c>
      <c r="CQ114" s="8">
        <v>21.69</v>
      </c>
      <c r="CS114" s="8">
        <v>6.14</v>
      </c>
      <c r="CV114" s="8">
        <v>6.83</v>
      </c>
      <c r="CW114" s="8">
        <v>6.83</v>
      </c>
      <c r="CX114" s="8">
        <v>37.26</v>
      </c>
      <c r="CY114" s="8">
        <v>37.26</v>
      </c>
      <c r="ED114" s="9">
        <v>4.2</v>
      </c>
      <c r="EE114" s="9">
        <v>4</v>
      </c>
      <c r="EF114" s="9">
        <v>4.2</v>
      </c>
      <c r="EK114" s="9">
        <v>1.7</v>
      </c>
      <c r="EL114" s="9">
        <v>-1.3</v>
      </c>
      <c r="EN114" s="9">
        <v>0.8</v>
      </c>
      <c r="EO114" s="9">
        <v>2.7</v>
      </c>
      <c r="ER114" s="9">
        <v>2.9</v>
      </c>
      <c r="FL114" s="9">
        <v>5.0999999999999996</v>
      </c>
      <c r="FM114" s="9">
        <v>7.3</v>
      </c>
      <c r="FP114" s="9">
        <v>8.1999999999999993</v>
      </c>
      <c r="FQ114" s="9">
        <v>1.8</v>
      </c>
      <c r="FR114" s="9">
        <v>1.8</v>
      </c>
      <c r="FS114" s="9">
        <v>7.3</v>
      </c>
      <c r="FX114" s="9">
        <v>3.3</v>
      </c>
      <c r="GD114" s="9">
        <v>9.6</v>
      </c>
      <c r="GE114" s="9">
        <v>5</v>
      </c>
      <c r="GF114" s="9">
        <v>3.3</v>
      </c>
      <c r="GG114" s="9">
        <v>3.3</v>
      </c>
      <c r="GM114" s="9">
        <v>3.8</v>
      </c>
      <c r="GQ114" s="9">
        <v>3.6</v>
      </c>
      <c r="GR114" s="9">
        <v>5.4</v>
      </c>
      <c r="GU114" s="9">
        <v>9</v>
      </c>
      <c r="GV114" s="9">
        <v>9</v>
      </c>
      <c r="GX114" s="9">
        <v>1</v>
      </c>
      <c r="GY114" s="9">
        <v>1.1000000000000001</v>
      </c>
      <c r="HH114" s="9">
        <v>1.8</v>
      </c>
      <c r="HQ114" s="9">
        <v>2.2999999999999998</v>
      </c>
      <c r="HR114" s="9">
        <v>2.8</v>
      </c>
      <c r="HS114" s="9">
        <v>0.9</v>
      </c>
      <c r="HU114" s="9">
        <v>1</v>
      </c>
      <c r="HX114" s="9">
        <v>0.9</v>
      </c>
      <c r="HY114" s="9">
        <v>0.9</v>
      </c>
      <c r="HZ114" s="9">
        <v>0</v>
      </c>
      <c r="IA114" s="9">
        <v>0</v>
      </c>
    </row>
    <row r="115" spans="1:235" x14ac:dyDescent="0.2">
      <c r="A115" s="10">
        <v>27273</v>
      </c>
      <c r="B115" s="8">
        <v>9.86</v>
      </c>
      <c r="C115" s="8">
        <v>9.76</v>
      </c>
      <c r="D115" s="8">
        <v>8.84</v>
      </c>
      <c r="I115" s="8">
        <v>11.97</v>
      </c>
      <c r="J115" s="8">
        <v>8.76</v>
      </c>
      <c r="L115" s="8">
        <v>7.95</v>
      </c>
      <c r="M115" s="8">
        <v>32.909999999999997</v>
      </c>
      <c r="P115" s="8">
        <v>11.21</v>
      </c>
      <c r="AJ115" s="8">
        <v>3.29</v>
      </c>
      <c r="AK115" s="8">
        <v>8.64</v>
      </c>
      <c r="AN115" s="8">
        <v>6.26</v>
      </c>
      <c r="AO115" s="8">
        <v>0.62</v>
      </c>
      <c r="AP115" s="8">
        <v>0.62</v>
      </c>
      <c r="AQ115" s="8">
        <v>24.79</v>
      </c>
      <c r="AV115" s="8">
        <v>31.59</v>
      </c>
      <c r="BB115" s="8">
        <v>6.31</v>
      </c>
      <c r="BC115" s="8">
        <v>8.2100000000000009</v>
      </c>
      <c r="BD115" s="8">
        <v>8.5</v>
      </c>
      <c r="BE115" s="8">
        <v>8.5</v>
      </c>
      <c r="BK115" s="8">
        <v>5.08</v>
      </c>
      <c r="BO115" s="8">
        <v>17.2</v>
      </c>
      <c r="BP115" s="8">
        <v>16.23</v>
      </c>
      <c r="BS115" s="8">
        <v>27.65</v>
      </c>
      <c r="BT115" s="8">
        <v>27.65</v>
      </c>
      <c r="BV115" s="8">
        <v>49.52</v>
      </c>
      <c r="BW115" s="8">
        <v>56.48</v>
      </c>
      <c r="CF115" s="8">
        <v>6.18</v>
      </c>
      <c r="CO115" s="8">
        <v>10.51</v>
      </c>
      <c r="CP115" s="8">
        <v>10.8</v>
      </c>
      <c r="CQ115" s="8">
        <v>23.33</v>
      </c>
      <c r="CS115" s="8">
        <v>6.42</v>
      </c>
      <c r="CV115" s="8">
        <v>7.11</v>
      </c>
      <c r="CW115" s="8">
        <v>7.11</v>
      </c>
      <c r="CX115" s="8">
        <v>37.26</v>
      </c>
      <c r="CY115" s="8">
        <v>37.26</v>
      </c>
      <c r="ED115" s="9">
        <v>5</v>
      </c>
      <c r="EE115" s="9">
        <v>2.2999999999999998</v>
      </c>
      <c r="EF115" s="9">
        <v>7.2</v>
      </c>
      <c r="EK115" s="9">
        <v>-5.2</v>
      </c>
      <c r="EL115" s="9">
        <v>-8.1999999999999993</v>
      </c>
      <c r="EN115" s="9">
        <v>-9.1999999999999993</v>
      </c>
      <c r="EO115" s="9">
        <v>1.4</v>
      </c>
      <c r="ER115" s="9">
        <v>5.8</v>
      </c>
      <c r="FL115" s="9">
        <v>6.8</v>
      </c>
      <c r="FM115" s="9">
        <v>4.9000000000000004</v>
      </c>
      <c r="FP115" s="9">
        <v>3.1</v>
      </c>
      <c r="FQ115" s="9">
        <v>8.8000000000000007</v>
      </c>
      <c r="FR115" s="9">
        <v>8.8000000000000007</v>
      </c>
      <c r="FS115" s="9">
        <v>4.5999999999999996</v>
      </c>
      <c r="FX115" s="9">
        <v>11.8</v>
      </c>
      <c r="GD115" s="9">
        <v>8</v>
      </c>
      <c r="GE115" s="9">
        <v>4.7</v>
      </c>
      <c r="GF115" s="9">
        <v>4</v>
      </c>
      <c r="GG115" s="9">
        <v>4</v>
      </c>
      <c r="GM115" s="9">
        <v>3.7</v>
      </c>
      <c r="GQ115" s="9">
        <v>5.8</v>
      </c>
      <c r="GR115" s="9">
        <v>7.8</v>
      </c>
      <c r="GU115" s="9">
        <v>3.2</v>
      </c>
      <c r="GV115" s="9">
        <v>3.2</v>
      </c>
      <c r="GX115" s="9">
        <v>5.7</v>
      </c>
      <c r="GY115" s="9">
        <v>5.6</v>
      </c>
      <c r="HH115" s="9">
        <v>18.600000000000001</v>
      </c>
      <c r="HQ115" s="9">
        <v>8.1</v>
      </c>
      <c r="HR115" s="9">
        <v>8.1999999999999993</v>
      </c>
      <c r="HS115" s="9">
        <v>7.6</v>
      </c>
      <c r="HU115" s="9">
        <v>4.5999999999999996</v>
      </c>
      <c r="HX115" s="9">
        <v>4.0999999999999996</v>
      </c>
      <c r="HY115" s="9">
        <v>4.0999999999999996</v>
      </c>
      <c r="HZ115" s="9">
        <v>0</v>
      </c>
      <c r="IA115" s="9">
        <v>0</v>
      </c>
    </row>
    <row r="116" spans="1:235" x14ac:dyDescent="0.2">
      <c r="A116" s="10">
        <v>27364</v>
      </c>
      <c r="B116" s="8">
        <v>10.210000000000001</v>
      </c>
      <c r="C116" s="8">
        <v>9.76</v>
      </c>
      <c r="D116" s="8">
        <v>9.5</v>
      </c>
      <c r="I116" s="8">
        <v>11.18</v>
      </c>
      <c r="J116" s="8">
        <v>7.98</v>
      </c>
      <c r="L116" s="8">
        <v>6.78</v>
      </c>
      <c r="M116" s="8">
        <v>32.44</v>
      </c>
      <c r="P116" s="8">
        <v>11.9</v>
      </c>
      <c r="AJ116" s="8">
        <v>3.34</v>
      </c>
      <c r="AK116" s="8">
        <v>8.92</v>
      </c>
      <c r="AN116" s="8">
        <v>6.45</v>
      </c>
      <c r="AO116" s="8">
        <v>0.62</v>
      </c>
      <c r="AP116" s="8">
        <v>0.62</v>
      </c>
      <c r="AQ116" s="8">
        <v>26.59</v>
      </c>
      <c r="AV116" s="8">
        <v>33.159999999999997</v>
      </c>
      <c r="BB116" s="8">
        <v>6.81</v>
      </c>
      <c r="BC116" s="8">
        <v>8.65</v>
      </c>
      <c r="BD116" s="8">
        <v>8.83</v>
      </c>
      <c r="BE116" s="8">
        <v>8.83</v>
      </c>
      <c r="BK116" s="8">
        <v>5.19</v>
      </c>
      <c r="BO116" s="8">
        <v>18.2</v>
      </c>
      <c r="BP116" s="8">
        <v>17.05</v>
      </c>
      <c r="BS116" s="8">
        <v>28.81</v>
      </c>
      <c r="BT116" s="8">
        <v>28.81</v>
      </c>
      <c r="BV116" s="8">
        <v>50.79</v>
      </c>
      <c r="BW116" s="8">
        <v>57.93</v>
      </c>
      <c r="CF116" s="8">
        <v>6.54</v>
      </c>
      <c r="CO116" s="8">
        <v>11</v>
      </c>
      <c r="CP116" s="8">
        <v>11.29</v>
      </c>
      <c r="CQ116" s="8">
        <v>25.16</v>
      </c>
      <c r="CS116" s="8">
        <v>6.42</v>
      </c>
      <c r="CV116" s="8">
        <v>7.61</v>
      </c>
      <c r="CW116" s="8">
        <v>7.61</v>
      </c>
      <c r="CX116" s="8">
        <v>45.4</v>
      </c>
      <c r="CY116" s="8">
        <v>45.4</v>
      </c>
      <c r="ED116" s="9">
        <v>3.5</v>
      </c>
      <c r="EE116" s="9">
        <v>0</v>
      </c>
      <c r="EF116" s="9">
        <v>7.5</v>
      </c>
      <c r="EK116" s="9">
        <v>-6.6</v>
      </c>
      <c r="EL116" s="9">
        <v>-8.9</v>
      </c>
      <c r="EN116" s="9">
        <v>-14.7</v>
      </c>
      <c r="EO116" s="9">
        <v>-1.4</v>
      </c>
      <c r="ER116" s="9">
        <v>6.2</v>
      </c>
      <c r="FL116" s="9">
        <v>1.5</v>
      </c>
      <c r="FM116" s="9">
        <v>3.2</v>
      </c>
      <c r="FP116" s="9">
        <v>3</v>
      </c>
      <c r="FQ116" s="9">
        <v>0</v>
      </c>
      <c r="FR116" s="9">
        <v>0</v>
      </c>
      <c r="FS116" s="9">
        <v>7.3</v>
      </c>
      <c r="FX116" s="9">
        <v>5</v>
      </c>
      <c r="GD116" s="9">
        <v>7.9</v>
      </c>
      <c r="GE116" s="9">
        <v>5.4</v>
      </c>
      <c r="GF116" s="9">
        <v>3.9</v>
      </c>
      <c r="GG116" s="9">
        <v>3.9</v>
      </c>
      <c r="GM116" s="9">
        <v>2.2000000000000002</v>
      </c>
      <c r="GQ116" s="9">
        <v>5.8</v>
      </c>
      <c r="GR116" s="9">
        <v>5.0999999999999996</v>
      </c>
      <c r="GU116" s="9">
        <v>4.2</v>
      </c>
      <c r="GV116" s="9">
        <v>4.2</v>
      </c>
      <c r="GX116" s="9">
        <v>2.6</v>
      </c>
      <c r="GY116" s="9">
        <v>2.6</v>
      </c>
      <c r="HH116" s="9">
        <v>5.8</v>
      </c>
      <c r="HQ116" s="9">
        <v>4.7</v>
      </c>
      <c r="HR116" s="9">
        <v>4.5</v>
      </c>
      <c r="HS116" s="9">
        <v>7.8</v>
      </c>
      <c r="HU116" s="9">
        <v>0</v>
      </c>
      <c r="HX116" s="9">
        <v>7</v>
      </c>
      <c r="HY116" s="9">
        <v>7</v>
      </c>
      <c r="HZ116" s="9">
        <v>21.8</v>
      </c>
      <c r="IA116" s="9">
        <v>21.8</v>
      </c>
    </row>
    <row r="117" spans="1:235" x14ac:dyDescent="0.2">
      <c r="A117" s="10">
        <v>27454</v>
      </c>
      <c r="B117" s="8">
        <v>10.59</v>
      </c>
      <c r="C117" s="8">
        <v>9.8699999999999992</v>
      </c>
      <c r="D117" s="8">
        <v>9.98</v>
      </c>
      <c r="I117" s="8">
        <v>11.1</v>
      </c>
      <c r="J117" s="8">
        <v>7.6</v>
      </c>
      <c r="L117" s="8">
        <v>7.01</v>
      </c>
      <c r="M117" s="8">
        <v>32.049999999999997</v>
      </c>
      <c r="P117" s="8">
        <v>12.43</v>
      </c>
      <c r="AJ117" s="8">
        <v>3.52</v>
      </c>
      <c r="AK117" s="8">
        <v>9.1999999999999993</v>
      </c>
      <c r="AN117" s="8">
        <v>6.64</v>
      </c>
      <c r="AO117" s="8">
        <v>0.68</v>
      </c>
      <c r="AP117" s="8">
        <v>0.68</v>
      </c>
      <c r="AQ117" s="8">
        <v>26.95</v>
      </c>
      <c r="AV117" s="8">
        <v>34.049999999999997</v>
      </c>
      <c r="BB117" s="8">
        <v>7.02</v>
      </c>
      <c r="BC117" s="8">
        <v>8.91</v>
      </c>
      <c r="BD117" s="8">
        <v>9.1199999999999992</v>
      </c>
      <c r="BE117" s="8">
        <v>9.1199999999999992</v>
      </c>
      <c r="BK117" s="8">
        <v>5.66</v>
      </c>
      <c r="BO117" s="8">
        <v>18.88</v>
      </c>
      <c r="BP117" s="8">
        <v>17.399999999999999</v>
      </c>
      <c r="BS117" s="8">
        <v>29.45</v>
      </c>
      <c r="BT117" s="8">
        <v>29.45</v>
      </c>
      <c r="BV117" s="8">
        <v>51.57</v>
      </c>
      <c r="BW117" s="8">
        <v>58.83</v>
      </c>
      <c r="CF117" s="8">
        <v>7.02</v>
      </c>
      <c r="CO117" s="8">
        <v>11.48</v>
      </c>
      <c r="CP117" s="8">
        <v>11.84</v>
      </c>
      <c r="CQ117" s="8">
        <v>24.2</v>
      </c>
      <c r="CS117" s="8">
        <v>7.14</v>
      </c>
      <c r="CV117" s="8">
        <v>7.76</v>
      </c>
      <c r="CW117" s="8">
        <v>7.76</v>
      </c>
      <c r="CX117" s="8">
        <v>45.4</v>
      </c>
      <c r="CY117" s="8">
        <v>45.4</v>
      </c>
      <c r="ED117" s="9">
        <v>3.7</v>
      </c>
      <c r="EE117" s="9">
        <v>1.1000000000000001</v>
      </c>
      <c r="EF117" s="9">
        <v>5.0999999999999996</v>
      </c>
      <c r="EK117" s="9">
        <v>-0.7</v>
      </c>
      <c r="EL117" s="9">
        <v>-4.8</v>
      </c>
      <c r="EN117" s="9">
        <v>3.4</v>
      </c>
      <c r="EO117" s="9">
        <v>-1.2</v>
      </c>
      <c r="ER117" s="9">
        <v>4.5</v>
      </c>
      <c r="FL117" s="9">
        <v>5.4</v>
      </c>
      <c r="FM117" s="9">
        <v>3.1</v>
      </c>
      <c r="FP117" s="9">
        <v>2.9</v>
      </c>
      <c r="FQ117" s="9">
        <v>9.6999999999999993</v>
      </c>
      <c r="FR117" s="9">
        <v>9.6999999999999993</v>
      </c>
      <c r="FS117" s="9">
        <v>1.4</v>
      </c>
      <c r="FX117" s="9">
        <v>2.7</v>
      </c>
      <c r="GD117" s="9">
        <v>3.1</v>
      </c>
      <c r="GE117" s="9">
        <v>3</v>
      </c>
      <c r="GF117" s="9">
        <v>3.3</v>
      </c>
      <c r="GG117" s="9">
        <v>3.3</v>
      </c>
      <c r="GM117" s="9">
        <v>9.1</v>
      </c>
      <c r="GQ117" s="9">
        <v>3.7</v>
      </c>
      <c r="GR117" s="9">
        <v>2.1</v>
      </c>
      <c r="GU117" s="9">
        <v>2.2000000000000002</v>
      </c>
      <c r="GV117" s="9">
        <v>2.2000000000000002</v>
      </c>
      <c r="GX117" s="9">
        <v>1.5</v>
      </c>
      <c r="GY117" s="9">
        <v>1.6</v>
      </c>
      <c r="HH117" s="9">
        <v>7.3</v>
      </c>
      <c r="HQ117" s="9">
        <v>4.4000000000000004</v>
      </c>
      <c r="HR117" s="9">
        <v>4.9000000000000004</v>
      </c>
      <c r="HS117" s="9">
        <v>-3.8</v>
      </c>
      <c r="HU117" s="9">
        <v>11.2</v>
      </c>
      <c r="HX117" s="9">
        <v>2</v>
      </c>
      <c r="HY117" s="9">
        <v>2</v>
      </c>
      <c r="HZ117" s="9">
        <v>0</v>
      </c>
      <c r="IA117" s="9">
        <v>0</v>
      </c>
    </row>
    <row r="118" spans="1:235" x14ac:dyDescent="0.2">
      <c r="A118" s="10">
        <v>27546</v>
      </c>
      <c r="B118" s="8">
        <v>10.98</v>
      </c>
      <c r="C118" s="8">
        <v>10.19</v>
      </c>
      <c r="D118" s="8">
        <v>10.31</v>
      </c>
      <c r="I118" s="8">
        <v>11.56</v>
      </c>
      <c r="J118" s="8">
        <v>7.6</v>
      </c>
      <c r="L118" s="8">
        <v>7.67</v>
      </c>
      <c r="M118" s="8">
        <v>34.39</v>
      </c>
      <c r="P118" s="8">
        <v>12.7</v>
      </c>
      <c r="AJ118" s="8">
        <v>3.59</v>
      </c>
      <c r="AK118" s="8">
        <v>9.35</v>
      </c>
      <c r="AN118" s="8">
        <v>6.75</v>
      </c>
      <c r="AO118" s="8">
        <v>0.69</v>
      </c>
      <c r="AP118" s="8">
        <v>0.69</v>
      </c>
      <c r="AQ118" s="8">
        <v>28.12</v>
      </c>
      <c r="AV118" s="8">
        <v>35.28</v>
      </c>
      <c r="BB118" s="8">
        <v>7.61</v>
      </c>
      <c r="BC118" s="8">
        <v>9.39</v>
      </c>
      <c r="BD118" s="8">
        <v>9.48</v>
      </c>
      <c r="BE118" s="8">
        <v>9.48</v>
      </c>
      <c r="BK118" s="8">
        <v>5.98</v>
      </c>
      <c r="BO118" s="8">
        <v>19.510000000000002</v>
      </c>
      <c r="BP118" s="8">
        <v>17.75</v>
      </c>
      <c r="BS118" s="8">
        <v>30.83</v>
      </c>
      <c r="BT118" s="8">
        <v>30.83</v>
      </c>
      <c r="BV118" s="8">
        <v>52.35</v>
      </c>
      <c r="BW118" s="8">
        <v>59.72</v>
      </c>
      <c r="CF118" s="8">
        <v>7.14</v>
      </c>
      <c r="CO118" s="8">
        <v>11.83</v>
      </c>
      <c r="CP118" s="8">
        <v>12.24</v>
      </c>
      <c r="CQ118" s="8">
        <v>25.45</v>
      </c>
      <c r="CS118" s="8">
        <v>7.33</v>
      </c>
      <c r="CV118" s="8">
        <v>7.76</v>
      </c>
      <c r="CW118" s="8">
        <v>7.76</v>
      </c>
      <c r="CX118" s="8">
        <v>45.4</v>
      </c>
      <c r="CY118" s="8">
        <v>45.4</v>
      </c>
      <c r="ED118" s="9">
        <v>3.7</v>
      </c>
      <c r="EE118" s="9">
        <v>3.2</v>
      </c>
      <c r="EF118" s="9">
        <v>3.3</v>
      </c>
      <c r="EK118" s="9">
        <v>4.0999999999999996</v>
      </c>
      <c r="EL118" s="9">
        <v>0</v>
      </c>
      <c r="EN118" s="9">
        <v>9.4</v>
      </c>
      <c r="EO118" s="9">
        <v>7.3</v>
      </c>
      <c r="ER118" s="9">
        <v>2.2000000000000002</v>
      </c>
      <c r="FL118" s="9">
        <v>2</v>
      </c>
      <c r="FM118" s="9">
        <v>1.6</v>
      </c>
      <c r="FP118" s="9">
        <v>1.7</v>
      </c>
      <c r="FQ118" s="9">
        <v>1.5</v>
      </c>
      <c r="FR118" s="9">
        <v>1.5</v>
      </c>
      <c r="FS118" s="9">
        <v>4.3</v>
      </c>
      <c r="FX118" s="9">
        <v>3.6</v>
      </c>
      <c r="GD118" s="9">
        <v>8.4</v>
      </c>
      <c r="GE118" s="9">
        <v>5.4</v>
      </c>
      <c r="GF118" s="9">
        <v>3.9</v>
      </c>
      <c r="GG118" s="9">
        <v>3.9</v>
      </c>
      <c r="GM118" s="9">
        <v>5.7</v>
      </c>
      <c r="GQ118" s="9">
        <v>3.3</v>
      </c>
      <c r="GR118" s="9">
        <v>2</v>
      </c>
      <c r="GU118" s="9">
        <v>4.7</v>
      </c>
      <c r="GV118" s="9">
        <v>4.7</v>
      </c>
      <c r="GX118" s="9">
        <v>1.5</v>
      </c>
      <c r="GY118" s="9">
        <v>1.5</v>
      </c>
      <c r="HH118" s="9">
        <v>1.7</v>
      </c>
      <c r="HQ118" s="9">
        <v>3</v>
      </c>
      <c r="HR118" s="9">
        <v>3.4</v>
      </c>
      <c r="HS118" s="9">
        <v>5.2</v>
      </c>
      <c r="HU118" s="9">
        <v>2.7</v>
      </c>
      <c r="HX118" s="9">
        <v>0</v>
      </c>
      <c r="HY118" s="9">
        <v>0</v>
      </c>
      <c r="HZ118" s="9">
        <v>0</v>
      </c>
      <c r="IA118" s="9">
        <v>0</v>
      </c>
    </row>
    <row r="119" spans="1:235" x14ac:dyDescent="0.2">
      <c r="A119" s="10">
        <v>27638</v>
      </c>
      <c r="B119" s="8">
        <v>11.06</v>
      </c>
      <c r="C119" s="8">
        <v>10.34</v>
      </c>
      <c r="D119" s="8">
        <v>10.64</v>
      </c>
      <c r="I119" s="8">
        <v>11.64</v>
      </c>
      <c r="J119" s="8">
        <v>7.5</v>
      </c>
      <c r="L119" s="8">
        <v>7.8</v>
      </c>
      <c r="M119" s="8">
        <v>35.409999999999997</v>
      </c>
      <c r="P119" s="8">
        <v>13.04</v>
      </c>
      <c r="AJ119" s="8">
        <v>3.67</v>
      </c>
      <c r="AK119" s="8">
        <v>9.6</v>
      </c>
      <c r="AN119" s="8">
        <v>6.89</v>
      </c>
      <c r="AO119" s="8">
        <v>0.7</v>
      </c>
      <c r="AP119" s="8">
        <v>0.7</v>
      </c>
      <c r="AQ119" s="8">
        <v>28.75</v>
      </c>
      <c r="AV119" s="8">
        <v>37.06</v>
      </c>
      <c r="BB119" s="8">
        <v>8.2899999999999991</v>
      </c>
      <c r="BC119" s="8">
        <v>9.7200000000000006</v>
      </c>
      <c r="BD119" s="8">
        <v>9.92</v>
      </c>
      <c r="BE119" s="8">
        <v>9.92</v>
      </c>
      <c r="BK119" s="8">
        <v>6.11</v>
      </c>
      <c r="BO119" s="8">
        <v>19.95</v>
      </c>
      <c r="BP119" s="8">
        <v>18.399999999999999</v>
      </c>
      <c r="BS119" s="8">
        <v>31.99</v>
      </c>
      <c r="BT119" s="8">
        <v>31.99</v>
      </c>
      <c r="BV119" s="8">
        <v>52.35</v>
      </c>
      <c r="BW119" s="8">
        <v>59.72</v>
      </c>
      <c r="CF119" s="8">
        <v>7.77</v>
      </c>
      <c r="CO119" s="8">
        <v>12.45</v>
      </c>
      <c r="CP119" s="8">
        <v>12.83</v>
      </c>
      <c r="CQ119" s="8">
        <v>27.47</v>
      </c>
      <c r="CS119" s="8">
        <v>7.26</v>
      </c>
      <c r="CV119" s="8">
        <v>8.3800000000000008</v>
      </c>
      <c r="CW119" s="8">
        <v>8.3800000000000008</v>
      </c>
      <c r="CX119" s="8">
        <v>45.4</v>
      </c>
      <c r="CY119" s="8">
        <v>45.4</v>
      </c>
      <c r="ED119" s="9">
        <v>0.7</v>
      </c>
      <c r="EE119" s="9">
        <v>1.5</v>
      </c>
      <c r="EF119" s="9">
        <v>3.2</v>
      </c>
      <c r="EK119" s="9">
        <v>0.7</v>
      </c>
      <c r="EL119" s="9">
        <v>-1.3</v>
      </c>
      <c r="EN119" s="9">
        <v>1.7</v>
      </c>
      <c r="EO119" s="9">
        <v>3</v>
      </c>
      <c r="ER119" s="9">
        <v>2.7</v>
      </c>
      <c r="FL119" s="9">
        <v>2.2000000000000002</v>
      </c>
      <c r="FM119" s="9">
        <v>2.7</v>
      </c>
      <c r="FP119" s="9">
        <v>2.1</v>
      </c>
      <c r="FQ119" s="9">
        <v>1.4</v>
      </c>
      <c r="FR119" s="9">
        <v>1.4</v>
      </c>
      <c r="FS119" s="9">
        <v>2.2000000000000002</v>
      </c>
      <c r="FX119" s="9">
        <v>5</v>
      </c>
      <c r="GD119" s="9">
        <v>8.9</v>
      </c>
      <c r="GE119" s="9">
        <v>3.5</v>
      </c>
      <c r="GF119" s="9">
        <v>4.5999999999999996</v>
      </c>
      <c r="GG119" s="9">
        <v>4.5999999999999996</v>
      </c>
      <c r="GM119" s="9">
        <v>2.2000000000000002</v>
      </c>
      <c r="GQ119" s="9">
        <v>2.2999999999999998</v>
      </c>
      <c r="GR119" s="9">
        <v>3.7</v>
      </c>
      <c r="GU119" s="9">
        <v>3.8</v>
      </c>
      <c r="GV119" s="9">
        <v>3.8</v>
      </c>
      <c r="GX119" s="9">
        <v>0</v>
      </c>
      <c r="GY119" s="9">
        <v>0</v>
      </c>
      <c r="HH119" s="9">
        <v>8.8000000000000007</v>
      </c>
      <c r="HQ119" s="9">
        <v>5.2</v>
      </c>
      <c r="HR119" s="9">
        <v>4.8</v>
      </c>
      <c r="HS119" s="9">
        <v>7.9</v>
      </c>
      <c r="HU119" s="9">
        <v>-1</v>
      </c>
      <c r="HX119" s="9">
        <v>8</v>
      </c>
      <c r="HY119" s="9">
        <v>8</v>
      </c>
      <c r="HZ119" s="9">
        <v>0</v>
      </c>
      <c r="IA119" s="9">
        <v>0</v>
      </c>
    </row>
    <row r="120" spans="1:235" x14ac:dyDescent="0.2">
      <c r="A120" s="10">
        <v>27729</v>
      </c>
      <c r="B120" s="8">
        <v>11.68</v>
      </c>
      <c r="C120" s="8">
        <v>10.67</v>
      </c>
      <c r="D120" s="8">
        <v>10.94</v>
      </c>
      <c r="I120" s="8">
        <v>11.97</v>
      </c>
      <c r="J120" s="8">
        <v>7.94</v>
      </c>
      <c r="L120" s="8">
        <v>7.77</v>
      </c>
      <c r="M120" s="8">
        <v>35.409999999999997</v>
      </c>
      <c r="P120" s="8">
        <v>13.23</v>
      </c>
      <c r="AJ120" s="8">
        <v>4.3600000000000003</v>
      </c>
      <c r="AK120" s="8">
        <v>11.44</v>
      </c>
      <c r="AN120" s="8">
        <v>8.49</v>
      </c>
      <c r="AO120" s="8">
        <v>0.83</v>
      </c>
      <c r="AP120" s="8">
        <v>0.83</v>
      </c>
      <c r="AQ120" s="8">
        <v>30.82</v>
      </c>
      <c r="AV120" s="8">
        <v>38.18</v>
      </c>
      <c r="BB120" s="8">
        <v>8.8000000000000007</v>
      </c>
      <c r="BC120" s="8">
        <v>10.24</v>
      </c>
      <c r="BD120" s="8">
        <v>10.28</v>
      </c>
      <c r="BE120" s="8">
        <v>10.28</v>
      </c>
      <c r="BK120" s="8">
        <v>6.27</v>
      </c>
      <c r="BO120" s="8">
        <v>21.38</v>
      </c>
      <c r="BP120" s="8">
        <v>19.22</v>
      </c>
      <c r="BS120" s="8">
        <v>32.840000000000003</v>
      </c>
      <c r="BT120" s="8">
        <v>32.840000000000003</v>
      </c>
      <c r="BV120" s="8">
        <v>53.63</v>
      </c>
      <c r="BW120" s="8">
        <v>61.17</v>
      </c>
      <c r="CF120" s="8">
        <v>8.1</v>
      </c>
      <c r="CO120" s="8">
        <v>13.15</v>
      </c>
      <c r="CP120" s="8">
        <v>13.6</v>
      </c>
      <c r="CQ120" s="8">
        <v>29.59</v>
      </c>
      <c r="CS120" s="8">
        <v>7.98</v>
      </c>
      <c r="CV120" s="8">
        <v>8.4700000000000006</v>
      </c>
      <c r="CW120" s="8">
        <v>8.4700000000000006</v>
      </c>
      <c r="CX120" s="8">
        <v>63.97</v>
      </c>
      <c r="CY120" s="8">
        <v>63.97</v>
      </c>
      <c r="ED120" s="9">
        <v>5.6</v>
      </c>
      <c r="EE120" s="9">
        <v>3.2</v>
      </c>
      <c r="EF120" s="9">
        <v>2.8</v>
      </c>
      <c r="EK120" s="9">
        <v>2.8</v>
      </c>
      <c r="EL120" s="9">
        <v>5.9</v>
      </c>
      <c r="EN120" s="9">
        <v>-0.4</v>
      </c>
      <c r="EO120" s="9">
        <v>0</v>
      </c>
      <c r="ER120" s="9">
        <v>1.5</v>
      </c>
      <c r="FL120" s="9">
        <v>18.8</v>
      </c>
      <c r="FM120" s="9">
        <v>19.2</v>
      </c>
      <c r="FP120" s="9">
        <v>23.2</v>
      </c>
      <c r="FQ120" s="9">
        <v>18.600000000000001</v>
      </c>
      <c r="FR120" s="9">
        <v>18.600000000000001</v>
      </c>
      <c r="FS120" s="9">
        <v>7.2</v>
      </c>
      <c r="FX120" s="9">
        <v>3</v>
      </c>
      <c r="GD120" s="9">
        <v>6.2</v>
      </c>
      <c r="GE120" s="9">
        <v>5.3</v>
      </c>
      <c r="GF120" s="9">
        <v>3.6</v>
      </c>
      <c r="GG120" s="9">
        <v>3.6</v>
      </c>
      <c r="GM120" s="9">
        <v>2.6</v>
      </c>
      <c r="GQ120" s="9">
        <v>7.2</v>
      </c>
      <c r="GR120" s="9">
        <v>4.5</v>
      </c>
      <c r="GU120" s="9">
        <v>2.7</v>
      </c>
      <c r="GV120" s="9">
        <v>2.7</v>
      </c>
      <c r="GX120" s="9">
        <v>2.4</v>
      </c>
      <c r="GY120" s="9">
        <v>2.4</v>
      </c>
      <c r="HH120" s="9">
        <v>4.2</v>
      </c>
      <c r="HQ120" s="9">
        <v>5.6</v>
      </c>
      <c r="HR120" s="9">
        <v>6</v>
      </c>
      <c r="HS120" s="9">
        <v>7.7</v>
      </c>
      <c r="HU120" s="9">
        <v>9.9</v>
      </c>
      <c r="HX120" s="9">
        <v>1.1000000000000001</v>
      </c>
      <c r="HY120" s="9">
        <v>1.1000000000000001</v>
      </c>
      <c r="HZ120" s="9">
        <v>40.9</v>
      </c>
      <c r="IA120" s="9">
        <v>40.9</v>
      </c>
    </row>
    <row r="121" spans="1:235" x14ac:dyDescent="0.2">
      <c r="A121" s="10">
        <v>27820</v>
      </c>
      <c r="B121" s="8">
        <v>11.98</v>
      </c>
      <c r="C121" s="8">
        <v>11.21</v>
      </c>
      <c r="D121" s="8">
        <v>11.42</v>
      </c>
      <c r="I121" s="8">
        <v>12.34</v>
      </c>
      <c r="J121" s="8">
        <v>8.14</v>
      </c>
      <c r="L121" s="8">
        <v>7.97</v>
      </c>
      <c r="M121" s="8">
        <v>37.04</v>
      </c>
      <c r="P121" s="8">
        <v>13.73</v>
      </c>
      <c r="AJ121" s="8">
        <v>4.45</v>
      </c>
      <c r="AK121" s="8">
        <v>11.59</v>
      </c>
      <c r="AN121" s="8">
        <v>8.5500000000000007</v>
      </c>
      <c r="AO121" s="8">
        <v>0.86</v>
      </c>
      <c r="AP121" s="8">
        <v>0.86</v>
      </c>
      <c r="AQ121" s="8">
        <v>31.18</v>
      </c>
      <c r="AV121" s="8">
        <v>39.19</v>
      </c>
      <c r="BB121" s="8">
        <v>8.8000000000000007</v>
      </c>
      <c r="BC121" s="8">
        <v>10.54</v>
      </c>
      <c r="BD121" s="8">
        <v>10.61</v>
      </c>
      <c r="BE121" s="8">
        <v>10.61</v>
      </c>
      <c r="BK121" s="8">
        <v>6.43</v>
      </c>
      <c r="BO121" s="8">
        <v>21.82</v>
      </c>
      <c r="BP121" s="8">
        <v>19.739999999999998</v>
      </c>
      <c r="BS121" s="8">
        <v>33.47</v>
      </c>
      <c r="BT121" s="8">
        <v>33.47</v>
      </c>
      <c r="BV121" s="8">
        <v>53.92</v>
      </c>
      <c r="BW121" s="8">
        <v>61.51</v>
      </c>
      <c r="CF121" s="8">
        <v>8.2200000000000006</v>
      </c>
      <c r="CO121" s="8">
        <v>13.5</v>
      </c>
      <c r="CP121" s="8">
        <v>13.96</v>
      </c>
      <c r="CQ121" s="8">
        <v>30.27</v>
      </c>
      <c r="CS121" s="8">
        <v>8.1999999999999993</v>
      </c>
      <c r="CV121" s="8">
        <v>9</v>
      </c>
      <c r="CW121" s="8">
        <v>9</v>
      </c>
      <c r="CX121" s="8">
        <v>63.97</v>
      </c>
      <c r="CY121" s="8">
        <v>63.97</v>
      </c>
      <c r="ED121" s="9">
        <v>2.6</v>
      </c>
      <c r="EE121" s="9">
        <v>5.0999999999999996</v>
      </c>
      <c r="EF121" s="9">
        <v>4.4000000000000004</v>
      </c>
      <c r="EK121" s="9">
        <v>3.1</v>
      </c>
      <c r="EL121" s="9">
        <v>2.5</v>
      </c>
      <c r="EN121" s="9">
        <v>2.6</v>
      </c>
      <c r="EO121" s="9">
        <v>4.5999999999999996</v>
      </c>
      <c r="ER121" s="9">
        <v>3.8</v>
      </c>
      <c r="FL121" s="9">
        <v>2.1</v>
      </c>
      <c r="FM121" s="9">
        <v>1.3</v>
      </c>
      <c r="FP121" s="9">
        <v>0.7</v>
      </c>
      <c r="FQ121" s="9">
        <v>3.6</v>
      </c>
      <c r="FR121" s="9">
        <v>3.6</v>
      </c>
      <c r="FS121" s="9">
        <v>1.2</v>
      </c>
      <c r="FX121" s="9">
        <v>2.6</v>
      </c>
      <c r="GD121" s="9">
        <v>0</v>
      </c>
      <c r="GE121" s="9">
        <v>2.9</v>
      </c>
      <c r="GF121" s="9">
        <v>3.2</v>
      </c>
      <c r="GG121" s="9">
        <v>3.2</v>
      </c>
      <c r="GM121" s="9">
        <v>2.6</v>
      </c>
      <c r="GQ121" s="9">
        <v>2.1</v>
      </c>
      <c r="GR121" s="9">
        <v>2.7</v>
      </c>
      <c r="GU121" s="9">
        <v>1.9</v>
      </c>
      <c r="GV121" s="9">
        <v>1.9</v>
      </c>
      <c r="GX121" s="9">
        <v>0.5</v>
      </c>
      <c r="GY121" s="9">
        <v>0.6</v>
      </c>
      <c r="HH121" s="9">
        <v>1.5</v>
      </c>
      <c r="HQ121" s="9">
        <v>2.7</v>
      </c>
      <c r="HR121" s="9">
        <v>2.6</v>
      </c>
      <c r="HS121" s="9">
        <v>2.2999999999999998</v>
      </c>
      <c r="HU121" s="9">
        <v>2.8</v>
      </c>
      <c r="HX121" s="9">
        <v>6.3</v>
      </c>
      <c r="HY121" s="9">
        <v>6.3</v>
      </c>
      <c r="HZ121" s="9">
        <v>0</v>
      </c>
      <c r="IA121" s="9">
        <v>0</v>
      </c>
    </row>
    <row r="122" spans="1:235" x14ac:dyDescent="0.2">
      <c r="A122" s="10">
        <v>27912</v>
      </c>
      <c r="B122" s="8">
        <v>12.29</v>
      </c>
      <c r="C122" s="8">
        <v>11.25</v>
      </c>
      <c r="D122" s="8">
        <v>11.71</v>
      </c>
      <c r="I122" s="8">
        <v>12.42</v>
      </c>
      <c r="J122" s="8">
        <v>8.2100000000000009</v>
      </c>
      <c r="L122" s="8">
        <v>7.95</v>
      </c>
      <c r="M122" s="8">
        <v>37.119999999999997</v>
      </c>
      <c r="P122" s="8">
        <v>13.84</v>
      </c>
      <c r="AJ122" s="8">
        <v>4.5599999999999996</v>
      </c>
      <c r="AK122" s="8">
        <v>11.94</v>
      </c>
      <c r="AN122" s="8">
        <v>8.85</v>
      </c>
      <c r="AO122" s="8">
        <v>0.87</v>
      </c>
      <c r="AP122" s="8">
        <v>0.87</v>
      </c>
      <c r="AQ122" s="8">
        <v>32.99</v>
      </c>
      <c r="AV122" s="8">
        <v>40.75</v>
      </c>
      <c r="BB122" s="8">
        <v>9.06</v>
      </c>
      <c r="BC122" s="8">
        <v>10.98</v>
      </c>
      <c r="BD122" s="8">
        <v>10.9</v>
      </c>
      <c r="BE122" s="8">
        <v>10.9</v>
      </c>
      <c r="BK122" s="8">
        <v>6.57</v>
      </c>
      <c r="BO122" s="8">
        <v>22.39</v>
      </c>
      <c r="BP122" s="8">
        <v>20.86</v>
      </c>
      <c r="BS122" s="8">
        <v>35.17</v>
      </c>
      <c r="BT122" s="8">
        <v>35.17</v>
      </c>
      <c r="BV122" s="8">
        <v>54.31</v>
      </c>
      <c r="BW122" s="8">
        <v>61.95</v>
      </c>
      <c r="CF122" s="8">
        <v>8.9499999999999993</v>
      </c>
      <c r="CO122" s="8">
        <v>13.68</v>
      </c>
      <c r="CP122" s="8">
        <v>14.14</v>
      </c>
      <c r="CQ122" s="8">
        <v>31.14</v>
      </c>
      <c r="CS122" s="8">
        <v>7.92</v>
      </c>
      <c r="CV122" s="8">
        <v>9</v>
      </c>
      <c r="CW122" s="8">
        <v>9</v>
      </c>
      <c r="CX122" s="8">
        <v>64.19</v>
      </c>
      <c r="CY122" s="8">
        <v>64.19</v>
      </c>
      <c r="ED122" s="9">
        <v>2.6</v>
      </c>
      <c r="EE122" s="9">
        <v>0.4</v>
      </c>
      <c r="EF122" s="9">
        <v>2.5</v>
      </c>
      <c r="EK122" s="9">
        <v>0.6</v>
      </c>
      <c r="EL122" s="9">
        <v>0.9</v>
      </c>
      <c r="EN122" s="9">
        <v>-0.3</v>
      </c>
      <c r="EO122" s="9">
        <v>0.2</v>
      </c>
      <c r="ER122" s="9">
        <v>0.8</v>
      </c>
      <c r="FL122" s="9">
        <v>2.5</v>
      </c>
      <c r="FM122" s="9">
        <v>3</v>
      </c>
      <c r="FP122" s="9">
        <v>3.5</v>
      </c>
      <c r="FQ122" s="9">
        <v>1.2</v>
      </c>
      <c r="FR122" s="9">
        <v>1.2</v>
      </c>
      <c r="FS122" s="9">
        <v>5.8</v>
      </c>
      <c r="FX122" s="9">
        <v>4</v>
      </c>
      <c r="GD122" s="9">
        <v>3</v>
      </c>
      <c r="GE122" s="9">
        <v>4.2</v>
      </c>
      <c r="GF122" s="9">
        <v>2.7</v>
      </c>
      <c r="GG122" s="9">
        <v>2.7</v>
      </c>
      <c r="GM122" s="9">
        <v>2.2000000000000002</v>
      </c>
      <c r="GQ122" s="9">
        <v>2.6</v>
      </c>
      <c r="GR122" s="9">
        <v>5.7</v>
      </c>
      <c r="GU122" s="9">
        <v>5.0999999999999996</v>
      </c>
      <c r="GV122" s="9">
        <v>5.0999999999999996</v>
      </c>
      <c r="GX122" s="9">
        <v>0.7</v>
      </c>
      <c r="GY122" s="9">
        <v>0.7</v>
      </c>
      <c r="HH122" s="9">
        <v>8.9</v>
      </c>
      <c r="HQ122" s="9">
        <v>1.3</v>
      </c>
      <c r="HR122" s="9">
        <v>1.3</v>
      </c>
      <c r="HS122" s="9">
        <v>2.9</v>
      </c>
      <c r="HU122" s="9">
        <v>-3.4</v>
      </c>
      <c r="HX122" s="9">
        <v>0</v>
      </c>
      <c r="HY122" s="9">
        <v>0</v>
      </c>
      <c r="HZ122" s="9">
        <v>0.3</v>
      </c>
      <c r="IA122" s="9">
        <v>0.3</v>
      </c>
    </row>
    <row r="123" spans="1:235" x14ac:dyDescent="0.2">
      <c r="A123" s="10">
        <v>28004</v>
      </c>
      <c r="B123" s="8">
        <v>12.6</v>
      </c>
      <c r="C123" s="8">
        <v>11.61</v>
      </c>
      <c r="D123" s="8">
        <v>11.86</v>
      </c>
      <c r="I123" s="8">
        <v>12.92</v>
      </c>
      <c r="J123" s="8">
        <v>8.59</v>
      </c>
      <c r="L123" s="8">
        <v>8.7100000000000009</v>
      </c>
      <c r="M123" s="8">
        <v>36.58</v>
      </c>
      <c r="O123" s="8">
        <v>12.46</v>
      </c>
      <c r="P123" s="8">
        <v>14</v>
      </c>
      <c r="AG123" s="8">
        <v>10.18</v>
      </c>
      <c r="AJ123" s="8">
        <v>4.5599999999999996</v>
      </c>
      <c r="AK123" s="8">
        <v>11.91</v>
      </c>
      <c r="AN123" s="8">
        <v>8.7899999999999991</v>
      </c>
      <c r="AO123" s="8">
        <v>0.87</v>
      </c>
      <c r="AP123" s="8">
        <v>0.87</v>
      </c>
      <c r="AQ123" s="8">
        <v>33.53</v>
      </c>
      <c r="AV123" s="8">
        <v>42.2</v>
      </c>
      <c r="BB123" s="8">
        <v>9.24</v>
      </c>
      <c r="BC123" s="8">
        <v>11.31</v>
      </c>
      <c r="BD123" s="8">
        <v>11.38</v>
      </c>
      <c r="BE123" s="8">
        <v>11.38</v>
      </c>
      <c r="BK123" s="8">
        <v>6.59</v>
      </c>
      <c r="BO123" s="8">
        <v>22.76</v>
      </c>
      <c r="BP123" s="8">
        <v>21.44</v>
      </c>
      <c r="BS123" s="8">
        <v>36.229999999999997</v>
      </c>
      <c r="BT123" s="8">
        <v>36.229999999999997</v>
      </c>
      <c r="BV123" s="8">
        <v>54.61</v>
      </c>
      <c r="BW123" s="8">
        <v>62.29</v>
      </c>
      <c r="CF123" s="8">
        <v>9.31</v>
      </c>
      <c r="CO123" s="8">
        <v>13.94</v>
      </c>
      <c r="CP123" s="8">
        <v>14.5</v>
      </c>
      <c r="CQ123" s="8">
        <v>32</v>
      </c>
      <c r="CS123" s="8">
        <v>8.07</v>
      </c>
      <c r="CV123" s="8">
        <v>8.69</v>
      </c>
      <c r="CW123" s="8">
        <v>8.69</v>
      </c>
      <c r="CX123" s="8">
        <v>64.19</v>
      </c>
      <c r="CY123" s="8">
        <v>64.19</v>
      </c>
      <c r="ED123" s="9">
        <v>2.5</v>
      </c>
      <c r="EE123" s="9">
        <v>3.2</v>
      </c>
      <c r="EF123" s="9">
        <v>1.3</v>
      </c>
      <c r="EK123" s="9">
        <v>4</v>
      </c>
      <c r="EL123" s="9">
        <v>4.5999999999999996</v>
      </c>
      <c r="EN123" s="9">
        <v>9.6</v>
      </c>
      <c r="EO123" s="9">
        <v>-1.5</v>
      </c>
      <c r="ER123" s="9">
        <v>1.2</v>
      </c>
      <c r="FL123" s="9">
        <v>0</v>
      </c>
      <c r="FM123" s="9">
        <v>-0.3</v>
      </c>
      <c r="FP123" s="9">
        <v>-0.7</v>
      </c>
      <c r="FQ123" s="9">
        <v>0</v>
      </c>
      <c r="FR123" s="9">
        <v>0</v>
      </c>
      <c r="FS123" s="9">
        <v>1.6</v>
      </c>
      <c r="FX123" s="9">
        <v>3.6</v>
      </c>
      <c r="GD123" s="9">
        <v>2</v>
      </c>
      <c r="GE123" s="9">
        <v>3</v>
      </c>
      <c r="GF123" s="9">
        <v>4.4000000000000004</v>
      </c>
      <c r="GG123" s="9">
        <v>4.4000000000000004</v>
      </c>
      <c r="GM123" s="9">
        <v>0.3</v>
      </c>
      <c r="GQ123" s="9">
        <v>1.7</v>
      </c>
      <c r="GR123" s="9">
        <v>2.8</v>
      </c>
      <c r="GU123" s="9">
        <v>3</v>
      </c>
      <c r="GV123" s="9">
        <v>3</v>
      </c>
      <c r="GX123" s="9">
        <v>0.6</v>
      </c>
      <c r="GY123" s="9">
        <v>0.5</v>
      </c>
      <c r="HH123" s="9">
        <v>4</v>
      </c>
      <c r="HQ123" s="9">
        <v>1.9</v>
      </c>
      <c r="HR123" s="9">
        <v>2.5</v>
      </c>
      <c r="HS123" s="9">
        <v>2.8</v>
      </c>
      <c r="HU123" s="9">
        <v>1.9</v>
      </c>
      <c r="HX123" s="9">
        <v>-3.4</v>
      </c>
      <c r="HY123" s="9">
        <v>-3.4</v>
      </c>
      <c r="HZ123" s="9">
        <v>0</v>
      </c>
      <c r="IA123" s="9">
        <v>0</v>
      </c>
    </row>
    <row r="124" spans="1:235" x14ac:dyDescent="0.2">
      <c r="A124" s="10">
        <v>28095</v>
      </c>
      <c r="B124" s="8">
        <v>13.34</v>
      </c>
      <c r="C124" s="8">
        <v>12.05</v>
      </c>
      <c r="D124" s="8">
        <v>12.08</v>
      </c>
      <c r="I124" s="8">
        <v>13.37</v>
      </c>
      <c r="J124" s="8">
        <v>8.86</v>
      </c>
      <c r="L124" s="8">
        <v>9.33</v>
      </c>
      <c r="M124" s="8">
        <v>37.04</v>
      </c>
      <c r="O124" s="8">
        <v>13.13</v>
      </c>
      <c r="P124" s="8">
        <v>14.11</v>
      </c>
      <c r="AG124" s="8">
        <v>10.38</v>
      </c>
      <c r="AJ124" s="8">
        <v>4.62</v>
      </c>
      <c r="AK124" s="8">
        <v>12.08</v>
      </c>
      <c r="AN124" s="8">
        <v>8.93</v>
      </c>
      <c r="AO124" s="8">
        <v>0.89</v>
      </c>
      <c r="AP124" s="8">
        <v>0.89</v>
      </c>
      <c r="AQ124" s="8">
        <v>35.78</v>
      </c>
      <c r="AV124" s="8">
        <v>42.76</v>
      </c>
      <c r="BB124" s="8">
        <v>9.51</v>
      </c>
      <c r="BC124" s="8">
        <v>11.68</v>
      </c>
      <c r="BD124" s="8">
        <v>11.71</v>
      </c>
      <c r="BE124" s="8">
        <v>11.71</v>
      </c>
      <c r="BK124" s="8">
        <v>6.66</v>
      </c>
      <c r="BO124" s="8">
        <v>23.14</v>
      </c>
      <c r="BP124" s="8">
        <v>22.2</v>
      </c>
      <c r="BS124" s="8">
        <v>36.33</v>
      </c>
      <c r="BT124" s="8">
        <v>36.33</v>
      </c>
      <c r="BV124" s="8">
        <v>55</v>
      </c>
      <c r="BW124" s="8">
        <v>62.73</v>
      </c>
      <c r="CF124" s="8">
        <v>9.61</v>
      </c>
      <c r="CO124" s="8">
        <v>14.16</v>
      </c>
      <c r="CP124" s="8">
        <v>14.73</v>
      </c>
      <c r="CQ124" s="8">
        <v>32.68</v>
      </c>
      <c r="CS124" s="8">
        <v>8.07</v>
      </c>
      <c r="CV124" s="8">
        <v>8.75</v>
      </c>
      <c r="CW124" s="8">
        <v>8.75</v>
      </c>
      <c r="CX124" s="8">
        <v>64.739999999999995</v>
      </c>
      <c r="CY124" s="8">
        <v>64.739999999999995</v>
      </c>
      <c r="ED124" s="9">
        <v>5.9</v>
      </c>
      <c r="EE124" s="9">
        <v>3.8</v>
      </c>
      <c r="EF124" s="9">
        <v>1.9</v>
      </c>
      <c r="EK124" s="9">
        <v>3.5</v>
      </c>
      <c r="EL124" s="9">
        <v>3.1</v>
      </c>
      <c r="EN124" s="9">
        <v>7.1</v>
      </c>
      <c r="EO124" s="9">
        <v>1.3</v>
      </c>
      <c r="EQ124" s="9">
        <v>5.4</v>
      </c>
      <c r="ER124" s="9">
        <v>0.8</v>
      </c>
      <c r="FI124" s="9">
        <v>2</v>
      </c>
      <c r="FL124" s="9">
        <v>1.3</v>
      </c>
      <c r="FM124" s="9">
        <v>1.4</v>
      </c>
      <c r="FP124" s="9">
        <v>1.6</v>
      </c>
      <c r="FQ124" s="9">
        <v>2.2999999999999998</v>
      </c>
      <c r="FR124" s="9">
        <v>2.2999999999999998</v>
      </c>
      <c r="FS124" s="9">
        <v>6.7</v>
      </c>
      <c r="FX124" s="9">
        <v>1.3</v>
      </c>
      <c r="GD124" s="9">
        <v>2.9</v>
      </c>
      <c r="GE124" s="9">
        <v>3.3</v>
      </c>
      <c r="GF124" s="9">
        <v>2.9</v>
      </c>
      <c r="GG124" s="9">
        <v>2.9</v>
      </c>
      <c r="GM124" s="9">
        <v>1.1000000000000001</v>
      </c>
      <c r="GQ124" s="9">
        <v>1.7</v>
      </c>
      <c r="GR124" s="9">
        <v>3.5</v>
      </c>
      <c r="GU124" s="9">
        <v>0.3</v>
      </c>
      <c r="GV124" s="9">
        <v>0.3</v>
      </c>
      <c r="GX124" s="9">
        <v>0.7</v>
      </c>
      <c r="GY124" s="9">
        <v>0.7</v>
      </c>
      <c r="HH124" s="9">
        <v>3.2</v>
      </c>
      <c r="HQ124" s="9">
        <v>1.6</v>
      </c>
      <c r="HR124" s="9">
        <v>1.6</v>
      </c>
      <c r="HS124" s="9">
        <v>2.1</v>
      </c>
      <c r="HU124" s="9">
        <v>0</v>
      </c>
      <c r="HX124" s="9">
        <v>0.7</v>
      </c>
      <c r="HY124" s="9">
        <v>0.7</v>
      </c>
      <c r="HZ124" s="9">
        <v>0.9</v>
      </c>
      <c r="IA124" s="9">
        <v>0.9</v>
      </c>
    </row>
    <row r="125" spans="1:235" x14ac:dyDescent="0.2">
      <c r="A125" s="10">
        <v>28185</v>
      </c>
      <c r="B125" s="8">
        <v>13.65</v>
      </c>
      <c r="C125" s="8">
        <v>12.27</v>
      </c>
      <c r="D125" s="8">
        <v>12.37</v>
      </c>
      <c r="I125" s="8">
        <v>13.7</v>
      </c>
      <c r="J125" s="8">
        <v>8.89</v>
      </c>
      <c r="L125" s="8">
        <v>9.31</v>
      </c>
      <c r="M125" s="8">
        <v>40.159999999999997</v>
      </c>
      <c r="O125" s="8">
        <v>14.46</v>
      </c>
      <c r="P125" s="8">
        <v>14.61</v>
      </c>
      <c r="AG125" s="8">
        <v>10.74</v>
      </c>
      <c r="AJ125" s="8">
        <v>4.6500000000000004</v>
      </c>
      <c r="AK125" s="8">
        <v>12.15</v>
      </c>
      <c r="AN125" s="8">
        <v>9.01</v>
      </c>
      <c r="AO125" s="8">
        <v>0.89</v>
      </c>
      <c r="AP125" s="8">
        <v>0.89</v>
      </c>
      <c r="AQ125" s="8">
        <v>36.32</v>
      </c>
      <c r="AV125" s="8">
        <v>44.43</v>
      </c>
      <c r="BB125" s="8">
        <v>9.66</v>
      </c>
      <c r="BC125" s="8">
        <v>11.94</v>
      </c>
      <c r="BD125" s="8">
        <v>12</v>
      </c>
      <c r="BE125" s="8">
        <v>12</v>
      </c>
      <c r="BK125" s="8">
        <v>7.04</v>
      </c>
      <c r="BO125" s="8">
        <v>23.82</v>
      </c>
      <c r="BP125" s="8">
        <v>22.73</v>
      </c>
      <c r="BS125" s="8">
        <v>38.450000000000003</v>
      </c>
      <c r="BT125" s="8">
        <v>38.450000000000003</v>
      </c>
      <c r="BV125" s="8">
        <v>55.68</v>
      </c>
      <c r="BW125" s="8">
        <v>63.51</v>
      </c>
      <c r="CF125" s="8">
        <v>10.06</v>
      </c>
      <c r="CO125" s="8">
        <v>14.56</v>
      </c>
      <c r="CP125" s="8">
        <v>15.22</v>
      </c>
      <c r="CQ125" s="8">
        <v>33.549999999999997</v>
      </c>
      <c r="CS125" s="8">
        <v>8.39</v>
      </c>
      <c r="CV125" s="8">
        <v>8.75</v>
      </c>
      <c r="CW125" s="8">
        <v>8.75</v>
      </c>
      <c r="CX125" s="8">
        <v>64.739999999999995</v>
      </c>
      <c r="CY125" s="8">
        <v>64.739999999999995</v>
      </c>
      <c r="ED125" s="9">
        <v>2.2999999999999998</v>
      </c>
      <c r="EE125" s="9">
        <v>1.8</v>
      </c>
      <c r="EF125" s="9">
        <v>2.4</v>
      </c>
      <c r="EK125" s="9">
        <v>2.5</v>
      </c>
      <c r="EL125" s="9">
        <v>0.3</v>
      </c>
      <c r="EN125" s="9">
        <v>-0.2</v>
      </c>
      <c r="EO125" s="9">
        <v>8.4</v>
      </c>
      <c r="EQ125" s="9">
        <v>10.1</v>
      </c>
      <c r="ER125" s="9">
        <v>3.5</v>
      </c>
      <c r="FI125" s="9">
        <v>3.5</v>
      </c>
      <c r="FL125" s="9">
        <v>0.6</v>
      </c>
      <c r="FM125" s="9">
        <v>0.6</v>
      </c>
      <c r="FP125" s="9">
        <v>0.9</v>
      </c>
      <c r="FQ125" s="9">
        <v>0</v>
      </c>
      <c r="FR125" s="9">
        <v>0</v>
      </c>
      <c r="FS125" s="9">
        <v>1.5</v>
      </c>
      <c r="FX125" s="9">
        <v>3.9</v>
      </c>
      <c r="GD125" s="9">
        <v>1.6</v>
      </c>
      <c r="GE125" s="9">
        <v>2.2000000000000002</v>
      </c>
      <c r="GF125" s="9">
        <v>2.5</v>
      </c>
      <c r="GG125" s="9">
        <v>2.5</v>
      </c>
      <c r="GM125" s="9">
        <v>5.7</v>
      </c>
      <c r="GQ125" s="9">
        <v>2.9</v>
      </c>
      <c r="GR125" s="9">
        <v>2.4</v>
      </c>
      <c r="GU125" s="9">
        <v>5.8</v>
      </c>
      <c r="GV125" s="9">
        <v>5.8</v>
      </c>
      <c r="GX125" s="9">
        <v>1.2</v>
      </c>
      <c r="GY125" s="9">
        <v>1.2</v>
      </c>
      <c r="HH125" s="9">
        <v>4.7</v>
      </c>
      <c r="HQ125" s="9">
        <v>2.8</v>
      </c>
      <c r="HR125" s="9">
        <v>3.3</v>
      </c>
      <c r="HS125" s="9">
        <v>2.7</v>
      </c>
      <c r="HU125" s="9">
        <v>4</v>
      </c>
      <c r="HX125" s="9">
        <v>0</v>
      </c>
      <c r="HY125" s="9">
        <v>0</v>
      </c>
      <c r="HZ125" s="9">
        <v>0</v>
      </c>
      <c r="IA125" s="9">
        <v>0</v>
      </c>
    </row>
    <row r="126" spans="1:235" x14ac:dyDescent="0.2">
      <c r="A126" s="10">
        <v>28277</v>
      </c>
      <c r="B126" s="8">
        <v>13.96</v>
      </c>
      <c r="C126" s="8">
        <v>12.63</v>
      </c>
      <c r="D126" s="8">
        <v>12.56</v>
      </c>
      <c r="I126" s="8">
        <v>14.4</v>
      </c>
      <c r="J126" s="8">
        <v>9.3699999999999992</v>
      </c>
      <c r="L126" s="8">
        <v>10.15</v>
      </c>
      <c r="M126" s="8">
        <v>40.630000000000003</v>
      </c>
      <c r="O126" s="8">
        <v>15.32</v>
      </c>
      <c r="P126" s="8">
        <v>15.03</v>
      </c>
      <c r="AG126" s="8">
        <v>11.13</v>
      </c>
      <c r="AJ126" s="8">
        <v>4.71</v>
      </c>
      <c r="AK126" s="8">
        <v>12.3</v>
      </c>
      <c r="AN126" s="8">
        <v>9.1199999999999992</v>
      </c>
      <c r="AO126" s="8">
        <v>0.9</v>
      </c>
      <c r="AP126" s="8">
        <v>0.9</v>
      </c>
      <c r="AQ126" s="8">
        <v>37.58</v>
      </c>
      <c r="AV126" s="8">
        <v>45.77</v>
      </c>
      <c r="BB126" s="8">
        <v>10.01</v>
      </c>
      <c r="BC126" s="8">
        <v>12.27</v>
      </c>
      <c r="BD126" s="8">
        <v>12.25</v>
      </c>
      <c r="BE126" s="8">
        <v>12.25</v>
      </c>
      <c r="BK126" s="8">
        <v>7.06</v>
      </c>
      <c r="BO126" s="8">
        <v>24.39</v>
      </c>
      <c r="BP126" s="8">
        <v>23.67</v>
      </c>
      <c r="BS126" s="8">
        <v>41.31</v>
      </c>
      <c r="BT126" s="8">
        <v>41.31</v>
      </c>
      <c r="BV126" s="8">
        <v>56.95</v>
      </c>
      <c r="BW126" s="8">
        <v>64.97</v>
      </c>
      <c r="CF126" s="8">
        <v>10.45</v>
      </c>
      <c r="CO126" s="8">
        <v>14.82</v>
      </c>
      <c r="CP126" s="8">
        <v>15.49</v>
      </c>
      <c r="CQ126" s="8">
        <v>34.51</v>
      </c>
      <c r="CS126" s="8">
        <v>8.26</v>
      </c>
      <c r="CV126" s="8">
        <v>8.7799999999999994</v>
      </c>
      <c r="CW126" s="8">
        <v>8.7799999999999994</v>
      </c>
      <c r="CX126" s="8">
        <v>64.739999999999995</v>
      </c>
      <c r="CY126" s="8">
        <v>64.739999999999995</v>
      </c>
      <c r="ED126" s="9">
        <v>2.2999999999999998</v>
      </c>
      <c r="EE126" s="9">
        <v>2.9</v>
      </c>
      <c r="EF126" s="9">
        <v>1.5</v>
      </c>
      <c r="EK126" s="9">
        <v>5.0999999999999996</v>
      </c>
      <c r="EL126" s="9">
        <v>5.4</v>
      </c>
      <c r="EN126" s="9">
        <v>9</v>
      </c>
      <c r="EO126" s="9">
        <v>1.2</v>
      </c>
      <c r="EQ126" s="9">
        <v>5.9</v>
      </c>
      <c r="ER126" s="9">
        <v>2.9</v>
      </c>
      <c r="FI126" s="9">
        <v>3.6</v>
      </c>
      <c r="FL126" s="9">
        <v>1.3</v>
      </c>
      <c r="FM126" s="9">
        <v>1.2</v>
      </c>
      <c r="FP126" s="9">
        <v>1.2</v>
      </c>
      <c r="FQ126" s="9">
        <v>1.1000000000000001</v>
      </c>
      <c r="FR126" s="9">
        <v>1.1000000000000001</v>
      </c>
      <c r="FS126" s="9">
        <v>3.5</v>
      </c>
      <c r="FX126" s="9">
        <v>3</v>
      </c>
      <c r="GD126" s="9">
        <v>3.6</v>
      </c>
      <c r="GE126" s="9">
        <v>2.8</v>
      </c>
      <c r="GF126" s="9">
        <v>2.1</v>
      </c>
      <c r="GG126" s="9">
        <v>2.1</v>
      </c>
      <c r="GM126" s="9">
        <v>0.3</v>
      </c>
      <c r="GQ126" s="9">
        <v>2.4</v>
      </c>
      <c r="GR126" s="9">
        <v>4.0999999999999996</v>
      </c>
      <c r="GU126" s="9">
        <v>7.4</v>
      </c>
      <c r="GV126" s="9">
        <v>7.4</v>
      </c>
      <c r="GX126" s="9">
        <v>2.2999999999999998</v>
      </c>
      <c r="GY126" s="9">
        <v>2.2999999999999998</v>
      </c>
      <c r="HH126" s="9">
        <v>3.9</v>
      </c>
      <c r="HQ126" s="9">
        <v>1.8</v>
      </c>
      <c r="HR126" s="9">
        <v>1.8</v>
      </c>
      <c r="HS126" s="9">
        <v>2.9</v>
      </c>
      <c r="HU126" s="9">
        <v>-1.5</v>
      </c>
      <c r="HX126" s="9">
        <v>0.3</v>
      </c>
      <c r="HY126" s="9">
        <v>0.3</v>
      </c>
      <c r="HZ126" s="9">
        <v>0</v>
      </c>
      <c r="IA126" s="9">
        <v>0</v>
      </c>
    </row>
    <row r="127" spans="1:235" x14ac:dyDescent="0.2">
      <c r="A127" s="10">
        <v>28369</v>
      </c>
      <c r="B127" s="8">
        <v>14.23</v>
      </c>
      <c r="C127" s="8">
        <v>13.14</v>
      </c>
      <c r="D127" s="8">
        <v>12.85</v>
      </c>
      <c r="I127" s="8">
        <v>14.49</v>
      </c>
      <c r="J127" s="8">
        <v>9.4</v>
      </c>
      <c r="L127" s="8">
        <v>10.119999999999999</v>
      </c>
      <c r="M127" s="8">
        <v>41.57</v>
      </c>
      <c r="O127" s="8">
        <v>15.7</v>
      </c>
      <c r="P127" s="8">
        <v>15.33</v>
      </c>
      <c r="AG127" s="8">
        <v>11.46</v>
      </c>
      <c r="AJ127" s="8">
        <v>4.7699999999999996</v>
      </c>
      <c r="AK127" s="8">
        <v>12.44</v>
      </c>
      <c r="AN127" s="8">
        <v>9.26</v>
      </c>
      <c r="AO127" s="8">
        <v>0.91</v>
      </c>
      <c r="AP127" s="8">
        <v>0.91</v>
      </c>
      <c r="AQ127" s="8">
        <v>38.21</v>
      </c>
      <c r="AV127" s="8">
        <v>47</v>
      </c>
      <c r="BB127" s="8">
        <v>10.220000000000001</v>
      </c>
      <c r="BC127" s="8">
        <v>12.5</v>
      </c>
      <c r="BD127" s="8">
        <v>12.51</v>
      </c>
      <c r="BE127" s="8">
        <v>12.51</v>
      </c>
      <c r="BK127" s="8">
        <v>7.13</v>
      </c>
      <c r="BO127" s="8">
        <v>24.76</v>
      </c>
      <c r="BP127" s="8">
        <v>23.84</v>
      </c>
      <c r="BS127" s="8">
        <v>42.58</v>
      </c>
      <c r="BT127" s="8">
        <v>42.58</v>
      </c>
      <c r="BV127" s="8">
        <v>56.86</v>
      </c>
      <c r="BW127" s="8">
        <v>64.849999999999994</v>
      </c>
      <c r="CF127" s="8">
        <v>10.84</v>
      </c>
      <c r="CO127" s="8">
        <v>15.04</v>
      </c>
      <c r="CP127" s="8">
        <v>15.77</v>
      </c>
      <c r="CQ127" s="8">
        <v>35.28</v>
      </c>
      <c r="CS127" s="8">
        <v>8.39</v>
      </c>
      <c r="CV127" s="8">
        <v>8.8699999999999992</v>
      </c>
      <c r="CW127" s="8">
        <v>8.8800000000000008</v>
      </c>
      <c r="CX127" s="8">
        <v>64.739999999999995</v>
      </c>
      <c r="CY127" s="8">
        <v>64.739999999999995</v>
      </c>
      <c r="ED127" s="9">
        <v>1.9</v>
      </c>
      <c r="EE127" s="9">
        <v>4</v>
      </c>
      <c r="EF127" s="9">
        <v>2.2999999999999998</v>
      </c>
      <c r="EK127" s="9">
        <v>0.6</v>
      </c>
      <c r="EL127" s="9">
        <v>0.3</v>
      </c>
      <c r="EN127" s="9">
        <v>-0.3</v>
      </c>
      <c r="EO127" s="9">
        <v>2.2999999999999998</v>
      </c>
      <c r="EQ127" s="9">
        <v>2.5</v>
      </c>
      <c r="ER127" s="9">
        <v>2</v>
      </c>
      <c r="FI127" s="9">
        <v>3</v>
      </c>
      <c r="FL127" s="9">
        <v>1.3</v>
      </c>
      <c r="FM127" s="9">
        <v>1.1000000000000001</v>
      </c>
      <c r="FP127" s="9">
        <v>1.5</v>
      </c>
      <c r="FQ127" s="9">
        <v>1.1000000000000001</v>
      </c>
      <c r="FR127" s="9">
        <v>1.1000000000000001</v>
      </c>
      <c r="FS127" s="9">
        <v>1.7</v>
      </c>
      <c r="FX127" s="9">
        <v>2.7</v>
      </c>
      <c r="GD127" s="9">
        <v>2.1</v>
      </c>
      <c r="GE127" s="9">
        <v>1.9</v>
      </c>
      <c r="GF127" s="9">
        <v>2.1</v>
      </c>
      <c r="GG127" s="9">
        <v>2.1</v>
      </c>
      <c r="GM127" s="9">
        <v>1</v>
      </c>
      <c r="GQ127" s="9">
        <v>1.5</v>
      </c>
      <c r="GR127" s="9">
        <v>0.7</v>
      </c>
      <c r="GU127" s="9">
        <v>3.1</v>
      </c>
      <c r="GV127" s="9">
        <v>3.1</v>
      </c>
      <c r="GX127" s="9">
        <v>-0.2</v>
      </c>
      <c r="GY127" s="9">
        <v>-0.2</v>
      </c>
      <c r="HH127" s="9">
        <v>3.7</v>
      </c>
      <c r="HQ127" s="9">
        <v>1.5</v>
      </c>
      <c r="HR127" s="9">
        <v>1.8</v>
      </c>
      <c r="HS127" s="9">
        <v>2.2000000000000002</v>
      </c>
      <c r="HU127" s="9">
        <v>1.6</v>
      </c>
      <c r="HX127" s="9">
        <v>1</v>
      </c>
      <c r="HY127" s="9">
        <v>1.1000000000000001</v>
      </c>
      <c r="HZ127" s="9">
        <v>0</v>
      </c>
      <c r="IA127" s="9">
        <v>0</v>
      </c>
    </row>
    <row r="128" spans="1:235" x14ac:dyDescent="0.2">
      <c r="A128" s="10">
        <v>28460</v>
      </c>
      <c r="B128" s="8">
        <v>14.57</v>
      </c>
      <c r="C128" s="8">
        <v>13.4</v>
      </c>
      <c r="D128" s="8">
        <v>13.15</v>
      </c>
      <c r="I128" s="8">
        <v>14.57</v>
      </c>
      <c r="J128" s="8">
        <v>9.4</v>
      </c>
      <c r="L128" s="8">
        <v>9.7799999999999994</v>
      </c>
      <c r="M128" s="8">
        <v>42.27</v>
      </c>
      <c r="O128" s="8">
        <v>16.41</v>
      </c>
      <c r="P128" s="8">
        <v>16.09</v>
      </c>
      <c r="AG128" s="8">
        <v>11.65</v>
      </c>
      <c r="AJ128" s="8">
        <v>4.83</v>
      </c>
      <c r="AK128" s="8">
        <v>12.69</v>
      </c>
      <c r="AN128" s="8">
        <v>9.42</v>
      </c>
      <c r="AO128" s="8">
        <v>0.91</v>
      </c>
      <c r="AP128" s="8">
        <v>0.91</v>
      </c>
      <c r="AQ128" s="8">
        <v>39.479999999999997</v>
      </c>
      <c r="AV128" s="8">
        <v>47.78</v>
      </c>
      <c r="BB128" s="8">
        <v>10.6</v>
      </c>
      <c r="BC128" s="8">
        <v>12.83</v>
      </c>
      <c r="BD128" s="8">
        <v>12.84</v>
      </c>
      <c r="BE128" s="8">
        <v>12.84</v>
      </c>
      <c r="BK128" s="8">
        <v>7.45</v>
      </c>
      <c r="BO128" s="8">
        <v>25.39</v>
      </c>
      <c r="BP128" s="8">
        <v>24.31</v>
      </c>
      <c r="BS128" s="8">
        <v>43.96</v>
      </c>
      <c r="BT128" s="8">
        <v>43.96</v>
      </c>
      <c r="BV128" s="8">
        <v>57.93</v>
      </c>
      <c r="BW128" s="8">
        <v>66.08</v>
      </c>
      <c r="CF128" s="8">
        <v>11.15</v>
      </c>
      <c r="CO128" s="8">
        <v>15.48</v>
      </c>
      <c r="CP128" s="8">
        <v>16.260000000000002</v>
      </c>
      <c r="CQ128" s="8">
        <v>35.76</v>
      </c>
      <c r="CS128" s="8">
        <v>9.17</v>
      </c>
      <c r="CV128" s="8">
        <v>8.9700000000000006</v>
      </c>
      <c r="CW128" s="8">
        <v>8.9700000000000006</v>
      </c>
      <c r="CX128" s="8">
        <v>65.62</v>
      </c>
      <c r="CY128" s="8">
        <v>65.62</v>
      </c>
      <c r="ED128" s="9">
        <v>2.4</v>
      </c>
      <c r="EE128" s="9">
        <v>2</v>
      </c>
      <c r="EF128" s="9">
        <v>2.2999999999999998</v>
      </c>
      <c r="EK128" s="9">
        <v>0.6</v>
      </c>
      <c r="EL128" s="9">
        <v>0</v>
      </c>
      <c r="EN128" s="9">
        <v>-3.4</v>
      </c>
      <c r="EO128" s="9">
        <v>1.7</v>
      </c>
      <c r="EQ128" s="9">
        <v>4.5</v>
      </c>
      <c r="ER128" s="9">
        <v>5</v>
      </c>
      <c r="FI128" s="9">
        <v>1.7</v>
      </c>
      <c r="FL128" s="9">
        <v>1.3</v>
      </c>
      <c r="FM128" s="9">
        <v>2</v>
      </c>
      <c r="FP128" s="9">
        <v>1.7</v>
      </c>
      <c r="FQ128" s="9">
        <v>0</v>
      </c>
      <c r="FR128" s="9">
        <v>0</v>
      </c>
      <c r="FS128" s="9">
        <v>3.3</v>
      </c>
      <c r="FX128" s="9">
        <v>1.7</v>
      </c>
      <c r="GD128" s="9">
        <v>3.7</v>
      </c>
      <c r="GE128" s="9">
        <v>2.6</v>
      </c>
      <c r="GF128" s="9">
        <v>2.6</v>
      </c>
      <c r="GG128" s="9">
        <v>2.6</v>
      </c>
      <c r="GM128" s="9">
        <v>4.5</v>
      </c>
      <c r="GQ128" s="9">
        <v>2.5</v>
      </c>
      <c r="GR128" s="9">
        <v>2</v>
      </c>
      <c r="GU128" s="9">
        <v>3.2</v>
      </c>
      <c r="GV128" s="9">
        <v>3.2</v>
      </c>
      <c r="GX128" s="9">
        <v>1.9</v>
      </c>
      <c r="GY128" s="9">
        <v>1.9</v>
      </c>
      <c r="HH128" s="9">
        <v>2.9</v>
      </c>
      <c r="HQ128" s="9">
        <v>2.9</v>
      </c>
      <c r="HR128" s="9">
        <v>3.1</v>
      </c>
      <c r="HS128" s="9">
        <v>1.4</v>
      </c>
      <c r="HU128" s="9">
        <v>9.3000000000000007</v>
      </c>
      <c r="HX128" s="9">
        <v>1.1000000000000001</v>
      </c>
      <c r="HY128" s="9">
        <v>1</v>
      </c>
      <c r="HZ128" s="9">
        <v>1.4</v>
      </c>
      <c r="IA128" s="9">
        <v>1.4</v>
      </c>
    </row>
    <row r="129" spans="1:251" x14ac:dyDescent="0.2">
      <c r="A129" s="10">
        <v>28550</v>
      </c>
      <c r="B129" s="8">
        <v>14.77</v>
      </c>
      <c r="C129" s="8">
        <v>13.47</v>
      </c>
      <c r="D129" s="8">
        <v>13.48</v>
      </c>
      <c r="I129" s="8">
        <v>15.06</v>
      </c>
      <c r="J129" s="8">
        <v>9.64</v>
      </c>
      <c r="L129" s="8">
        <v>10.72</v>
      </c>
      <c r="M129" s="8">
        <v>42.04</v>
      </c>
      <c r="O129" s="8">
        <v>16.739999999999998</v>
      </c>
      <c r="P129" s="8">
        <v>16.28</v>
      </c>
      <c r="AG129" s="8">
        <v>11.85</v>
      </c>
      <c r="AJ129" s="8">
        <v>4.8899999999999997</v>
      </c>
      <c r="AK129" s="8">
        <v>12.79</v>
      </c>
      <c r="AN129" s="8">
        <v>9.4700000000000006</v>
      </c>
      <c r="AO129" s="8">
        <v>0.93</v>
      </c>
      <c r="AP129" s="8">
        <v>0.93</v>
      </c>
      <c r="AQ129" s="8">
        <v>39.93</v>
      </c>
      <c r="AV129" s="8">
        <v>48.68</v>
      </c>
      <c r="BB129" s="8">
        <v>10.69</v>
      </c>
      <c r="BC129" s="8">
        <v>12.98</v>
      </c>
      <c r="BD129" s="8">
        <v>13.06</v>
      </c>
      <c r="BE129" s="8">
        <v>13.06</v>
      </c>
      <c r="BK129" s="8">
        <v>7.49</v>
      </c>
      <c r="BO129" s="8">
        <v>25.64</v>
      </c>
      <c r="BP129" s="8">
        <v>24.66</v>
      </c>
      <c r="BS129" s="8">
        <v>44.6</v>
      </c>
      <c r="BT129" s="8">
        <v>44.6</v>
      </c>
      <c r="BV129" s="8">
        <v>58.52</v>
      </c>
      <c r="BW129" s="8">
        <v>66.75</v>
      </c>
      <c r="CF129" s="8">
        <v>11.54</v>
      </c>
      <c r="CO129" s="8">
        <v>15.74</v>
      </c>
      <c r="CP129" s="8">
        <v>16.440000000000001</v>
      </c>
      <c r="CQ129" s="8">
        <v>36.729999999999997</v>
      </c>
      <c r="CS129" s="8">
        <v>9.07</v>
      </c>
      <c r="CV129" s="8">
        <v>9.52</v>
      </c>
      <c r="CW129" s="8">
        <v>9.52</v>
      </c>
      <c r="CX129" s="8">
        <v>65.510000000000005</v>
      </c>
      <c r="CY129" s="8">
        <v>65.510000000000005</v>
      </c>
      <c r="ED129" s="9">
        <v>1.4</v>
      </c>
      <c r="EE129" s="9">
        <v>0.5</v>
      </c>
      <c r="EF129" s="9">
        <v>2.5</v>
      </c>
      <c r="EK129" s="9">
        <v>3.4</v>
      </c>
      <c r="EL129" s="9">
        <v>2.6</v>
      </c>
      <c r="EN129" s="9">
        <v>9.6</v>
      </c>
      <c r="EO129" s="9">
        <v>-0.5</v>
      </c>
      <c r="EQ129" s="9">
        <v>2</v>
      </c>
      <c r="ER129" s="9">
        <v>1.2</v>
      </c>
      <c r="FI129" s="9">
        <v>1.7</v>
      </c>
      <c r="FL129" s="9">
        <v>1.2</v>
      </c>
      <c r="FM129" s="9">
        <v>0.8</v>
      </c>
      <c r="FP129" s="9">
        <v>0.5</v>
      </c>
      <c r="FQ129" s="9">
        <v>2.2000000000000002</v>
      </c>
      <c r="FR129" s="9">
        <v>2.2000000000000002</v>
      </c>
      <c r="FS129" s="9">
        <v>1.1000000000000001</v>
      </c>
      <c r="FX129" s="9">
        <v>1.9</v>
      </c>
      <c r="GD129" s="9">
        <v>0.8</v>
      </c>
      <c r="GE129" s="9">
        <v>1.2</v>
      </c>
      <c r="GF129" s="9">
        <v>1.7</v>
      </c>
      <c r="GG129" s="9">
        <v>1.7</v>
      </c>
      <c r="GM129" s="9">
        <v>0.5</v>
      </c>
      <c r="GQ129" s="9">
        <v>1</v>
      </c>
      <c r="GR129" s="9">
        <v>1.4</v>
      </c>
      <c r="GU129" s="9">
        <v>1.5</v>
      </c>
      <c r="GV129" s="9">
        <v>1.5</v>
      </c>
      <c r="GX129" s="9">
        <v>1</v>
      </c>
      <c r="GY129" s="9">
        <v>1</v>
      </c>
      <c r="HH129" s="9">
        <v>3.5</v>
      </c>
      <c r="HQ129" s="9">
        <v>1.7</v>
      </c>
      <c r="HR129" s="9">
        <v>1.1000000000000001</v>
      </c>
      <c r="HS129" s="9">
        <v>2.7</v>
      </c>
      <c r="HU129" s="9">
        <v>-1.1000000000000001</v>
      </c>
      <c r="HX129" s="9">
        <v>6.1</v>
      </c>
      <c r="HY129" s="9">
        <v>6.1</v>
      </c>
      <c r="HZ129" s="9">
        <v>-0.2</v>
      </c>
      <c r="IA129" s="9">
        <v>-0.2</v>
      </c>
    </row>
    <row r="130" spans="1:251" x14ac:dyDescent="0.2">
      <c r="A130" s="10">
        <v>28642</v>
      </c>
      <c r="B130" s="8">
        <v>15.08</v>
      </c>
      <c r="C130" s="8">
        <v>13.87</v>
      </c>
      <c r="D130" s="8">
        <v>13.66</v>
      </c>
      <c r="I130" s="8">
        <v>15.64</v>
      </c>
      <c r="J130" s="8">
        <v>10.18</v>
      </c>
      <c r="L130" s="8">
        <v>11.41</v>
      </c>
      <c r="M130" s="8">
        <v>42.27</v>
      </c>
      <c r="O130" s="8">
        <v>16.79</v>
      </c>
      <c r="P130" s="8">
        <v>16.399999999999999</v>
      </c>
      <c r="AG130" s="8">
        <v>11.98</v>
      </c>
      <c r="AJ130" s="8">
        <v>4.9000000000000004</v>
      </c>
      <c r="AK130" s="8">
        <v>12.9</v>
      </c>
      <c r="AN130" s="8">
        <v>9.56</v>
      </c>
      <c r="AO130" s="8">
        <v>0.92</v>
      </c>
      <c r="AP130" s="8">
        <v>0.92</v>
      </c>
      <c r="AQ130" s="8">
        <v>40.92</v>
      </c>
      <c r="AV130" s="8">
        <v>49.35</v>
      </c>
      <c r="BB130" s="8">
        <v>10.87</v>
      </c>
      <c r="BC130" s="8">
        <v>13.2</v>
      </c>
      <c r="BD130" s="8">
        <v>13.27</v>
      </c>
      <c r="BE130" s="8">
        <v>13.27</v>
      </c>
      <c r="BK130" s="8">
        <v>7.81</v>
      </c>
      <c r="BO130" s="8">
        <v>26.2</v>
      </c>
      <c r="BP130" s="8">
        <v>24.96</v>
      </c>
      <c r="BS130" s="8">
        <v>45.87</v>
      </c>
      <c r="BT130" s="8">
        <v>45.87</v>
      </c>
      <c r="BV130" s="8">
        <v>59.01</v>
      </c>
      <c r="BW130" s="8">
        <v>67.31</v>
      </c>
      <c r="CF130" s="8">
        <v>11.78</v>
      </c>
      <c r="CO130" s="8">
        <v>15.92</v>
      </c>
      <c r="CP130" s="8">
        <v>16.670000000000002</v>
      </c>
      <c r="CQ130" s="8">
        <v>37.6</v>
      </c>
      <c r="CS130" s="8">
        <v>9.1</v>
      </c>
      <c r="CV130" s="8">
        <v>9.52</v>
      </c>
      <c r="CW130" s="8">
        <v>9.52</v>
      </c>
      <c r="CX130" s="8">
        <v>65.510000000000005</v>
      </c>
      <c r="CY130" s="8">
        <v>65.510000000000005</v>
      </c>
      <c r="ED130" s="9">
        <v>2.1</v>
      </c>
      <c r="EE130" s="9">
        <v>3</v>
      </c>
      <c r="EF130" s="9">
        <v>1.3</v>
      </c>
      <c r="EK130" s="9">
        <v>3.9</v>
      </c>
      <c r="EL130" s="9">
        <v>5.6</v>
      </c>
      <c r="EN130" s="9">
        <v>6.4</v>
      </c>
      <c r="EO130" s="9">
        <v>0.5</v>
      </c>
      <c r="EQ130" s="9">
        <v>0.3</v>
      </c>
      <c r="ER130" s="9">
        <v>0.7</v>
      </c>
      <c r="FI130" s="9">
        <v>1.1000000000000001</v>
      </c>
      <c r="FL130" s="9">
        <v>0.2</v>
      </c>
      <c r="FM130" s="9">
        <v>0.9</v>
      </c>
      <c r="FP130" s="9">
        <v>1</v>
      </c>
      <c r="FQ130" s="9">
        <v>-1.1000000000000001</v>
      </c>
      <c r="FR130" s="9">
        <v>-1.1000000000000001</v>
      </c>
      <c r="FS130" s="9">
        <v>2.5</v>
      </c>
      <c r="FX130" s="9">
        <v>1.4</v>
      </c>
      <c r="GD130" s="9">
        <v>1.7</v>
      </c>
      <c r="GE130" s="9">
        <v>1.7</v>
      </c>
      <c r="GF130" s="9">
        <v>1.6</v>
      </c>
      <c r="GG130" s="9">
        <v>1.6</v>
      </c>
      <c r="GM130" s="9">
        <v>4.3</v>
      </c>
      <c r="GQ130" s="9">
        <v>2.2000000000000002</v>
      </c>
      <c r="GR130" s="9">
        <v>1.2</v>
      </c>
      <c r="GU130" s="9">
        <v>2.8</v>
      </c>
      <c r="GV130" s="9">
        <v>2.8</v>
      </c>
      <c r="GX130" s="9">
        <v>0.8</v>
      </c>
      <c r="GY130" s="9">
        <v>0.8</v>
      </c>
      <c r="HH130" s="9">
        <v>2.1</v>
      </c>
      <c r="HQ130" s="9">
        <v>1.1000000000000001</v>
      </c>
      <c r="HR130" s="9">
        <v>1.4</v>
      </c>
      <c r="HS130" s="9">
        <v>2.4</v>
      </c>
      <c r="HU130" s="9">
        <v>0.3</v>
      </c>
      <c r="HX130" s="9">
        <v>0</v>
      </c>
      <c r="HY130" s="9">
        <v>0</v>
      </c>
      <c r="HZ130" s="9">
        <v>0</v>
      </c>
      <c r="IA130" s="9">
        <v>0</v>
      </c>
    </row>
    <row r="131" spans="1:251" x14ac:dyDescent="0.2">
      <c r="A131" s="10">
        <v>28734</v>
      </c>
      <c r="B131" s="8">
        <v>15.35</v>
      </c>
      <c r="C131" s="8">
        <v>14.27</v>
      </c>
      <c r="D131" s="8">
        <v>13.88</v>
      </c>
      <c r="I131" s="8">
        <v>16.43</v>
      </c>
      <c r="J131" s="8">
        <v>11.17</v>
      </c>
      <c r="L131" s="8">
        <v>11.73</v>
      </c>
      <c r="M131" s="8">
        <v>41.65</v>
      </c>
      <c r="O131" s="8">
        <v>17.079999999999998</v>
      </c>
      <c r="P131" s="8">
        <v>16.59</v>
      </c>
      <c r="AG131" s="8">
        <v>12.24</v>
      </c>
      <c r="AJ131" s="8">
        <v>4.9400000000000004</v>
      </c>
      <c r="AK131" s="8">
        <v>13.04</v>
      </c>
      <c r="AN131" s="8">
        <v>9.66</v>
      </c>
      <c r="AO131" s="8">
        <v>0.93</v>
      </c>
      <c r="AP131" s="8">
        <v>0.93</v>
      </c>
      <c r="AQ131" s="8">
        <v>41.37</v>
      </c>
      <c r="AV131" s="8">
        <v>50.24</v>
      </c>
      <c r="BB131" s="8">
        <v>11.11</v>
      </c>
      <c r="BC131" s="8">
        <v>13.38</v>
      </c>
      <c r="BD131" s="8">
        <v>13.57</v>
      </c>
      <c r="BE131" s="8">
        <v>13.57</v>
      </c>
      <c r="BK131" s="8">
        <v>7.85</v>
      </c>
      <c r="BO131" s="8">
        <v>26.51</v>
      </c>
      <c r="BP131" s="8">
        <v>25.25</v>
      </c>
      <c r="BS131" s="8">
        <v>46.5</v>
      </c>
      <c r="BT131" s="8">
        <v>46.5</v>
      </c>
      <c r="BV131" s="8">
        <v>59.69</v>
      </c>
      <c r="BW131" s="8">
        <v>68.09</v>
      </c>
      <c r="CF131" s="8">
        <v>12.14</v>
      </c>
      <c r="CO131" s="8">
        <v>16.27</v>
      </c>
      <c r="CP131" s="8">
        <v>17.03</v>
      </c>
      <c r="CQ131" s="8">
        <v>38.85</v>
      </c>
      <c r="CS131" s="8">
        <v>9.1</v>
      </c>
      <c r="CV131" s="8">
        <v>9.6199999999999992</v>
      </c>
      <c r="CW131" s="8">
        <v>9.6199999999999992</v>
      </c>
      <c r="CX131" s="8">
        <v>66.94</v>
      </c>
      <c r="CY131" s="8">
        <v>66.94</v>
      </c>
      <c r="ED131" s="9">
        <v>1.8</v>
      </c>
      <c r="EE131" s="9">
        <v>2.9</v>
      </c>
      <c r="EF131" s="9">
        <v>1.6</v>
      </c>
      <c r="EK131" s="9">
        <v>5.0999999999999996</v>
      </c>
      <c r="EL131" s="9">
        <v>9.6999999999999993</v>
      </c>
      <c r="EN131" s="9">
        <v>2.8</v>
      </c>
      <c r="EO131" s="9">
        <v>-1.5</v>
      </c>
      <c r="EQ131" s="9">
        <v>1.7</v>
      </c>
      <c r="ER131" s="9">
        <v>1.2</v>
      </c>
      <c r="FI131" s="9">
        <v>2.2000000000000002</v>
      </c>
      <c r="FL131" s="9">
        <v>0.8</v>
      </c>
      <c r="FM131" s="9">
        <v>1.1000000000000001</v>
      </c>
      <c r="FP131" s="9">
        <v>1</v>
      </c>
      <c r="FQ131" s="9">
        <v>1.1000000000000001</v>
      </c>
      <c r="FR131" s="9">
        <v>1.1000000000000001</v>
      </c>
      <c r="FS131" s="9">
        <v>1.1000000000000001</v>
      </c>
      <c r="FX131" s="9">
        <v>1.8</v>
      </c>
      <c r="GD131" s="9">
        <v>2.2000000000000002</v>
      </c>
      <c r="GE131" s="9">
        <v>1.4</v>
      </c>
      <c r="GF131" s="9">
        <v>2.2999999999999998</v>
      </c>
      <c r="GG131" s="9">
        <v>2.2999999999999998</v>
      </c>
      <c r="GM131" s="9">
        <v>0.5</v>
      </c>
      <c r="GQ131" s="9">
        <v>1.2</v>
      </c>
      <c r="GR131" s="9">
        <v>1.2</v>
      </c>
      <c r="GU131" s="9">
        <v>1.4</v>
      </c>
      <c r="GV131" s="9">
        <v>1.4</v>
      </c>
      <c r="GX131" s="9">
        <v>1.2</v>
      </c>
      <c r="GY131" s="9">
        <v>1.2</v>
      </c>
      <c r="HH131" s="9">
        <v>3.1</v>
      </c>
      <c r="HQ131" s="9">
        <v>2.2000000000000002</v>
      </c>
      <c r="HR131" s="9">
        <v>2.2000000000000002</v>
      </c>
      <c r="HS131" s="9">
        <v>3.3</v>
      </c>
      <c r="HU131" s="9">
        <v>0</v>
      </c>
      <c r="HX131" s="9">
        <v>1.1000000000000001</v>
      </c>
      <c r="HY131" s="9">
        <v>1.1000000000000001</v>
      </c>
      <c r="HZ131" s="9">
        <v>2.2000000000000002</v>
      </c>
      <c r="IA131" s="9">
        <v>2.2000000000000002</v>
      </c>
    </row>
    <row r="132" spans="1:251" x14ac:dyDescent="0.2">
      <c r="A132" s="10">
        <v>28825</v>
      </c>
      <c r="B132" s="8">
        <v>15.7</v>
      </c>
      <c r="C132" s="8">
        <v>14.74</v>
      </c>
      <c r="D132" s="8">
        <v>13.99</v>
      </c>
      <c r="I132" s="8">
        <v>16.88</v>
      </c>
      <c r="J132" s="8">
        <v>11.54</v>
      </c>
      <c r="L132" s="8">
        <v>11.51</v>
      </c>
      <c r="M132" s="8">
        <v>42.97</v>
      </c>
      <c r="O132" s="8">
        <v>17.84</v>
      </c>
      <c r="P132" s="8">
        <v>17.2</v>
      </c>
      <c r="AG132" s="8">
        <v>12.57</v>
      </c>
      <c r="AJ132" s="8">
        <v>5.79</v>
      </c>
      <c r="AK132" s="8">
        <v>15.39</v>
      </c>
      <c r="AN132" s="8">
        <v>11.38</v>
      </c>
      <c r="AO132" s="8">
        <v>1.07</v>
      </c>
      <c r="AP132" s="8">
        <v>1.07</v>
      </c>
      <c r="AQ132" s="8">
        <v>42.36</v>
      </c>
      <c r="AV132" s="8">
        <v>51.02</v>
      </c>
      <c r="BB132" s="8">
        <v>11.32</v>
      </c>
      <c r="BC132" s="8">
        <v>13.64</v>
      </c>
      <c r="BD132" s="8">
        <v>13.86</v>
      </c>
      <c r="BE132" s="8">
        <v>13.86</v>
      </c>
      <c r="BK132" s="8">
        <v>8.08</v>
      </c>
      <c r="BO132" s="8">
        <v>26.89</v>
      </c>
      <c r="BP132" s="8">
        <v>25.43</v>
      </c>
      <c r="BS132" s="8">
        <v>47.35</v>
      </c>
      <c r="BT132" s="8">
        <v>47.35</v>
      </c>
      <c r="BV132" s="8">
        <v>59.89</v>
      </c>
      <c r="BW132" s="8">
        <v>68.31</v>
      </c>
      <c r="CF132" s="8">
        <v>12.5</v>
      </c>
      <c r="CO132" s="8">
        <v>16.8</v>
      </c>
      <c r="CP132" s="8">
        <v>17.66</v>
      </c>
      <c r="CQ132" s="8">
        <v>37.6</v>
      </c>
      <c r="CS132" s="8">
        <v>11</v>
      </c>
      <c r="CV132" s="8">
        <v>9.6199999999999992</v>
      </c>
      <c r="CW132" s="8">
        <v>9.6199999999999992</v>
      </c>
      <c r="CX132" s="8">
        <v>67.709999999999994</v>
      </c>
      <c r="CY132" s="8">
        <v>67.709999999999994</v>
      </c>
      <c r="ED132" s="9">
        <v>2.2999999999999998</v>
      </c>
      <c r="EE132" s="9">
        <v>3.3</v>
      </c>
      <c r="EF132" s="9">
        <v>0.8</v>
      </c>
      <c r="EK132" s="9">
        <v>2.7</v>
      </c>
      <c r="EL132" s="9">
        <v>3.3</v>
      </c>
      <c r="EN132" s="9">
        <v>-1.9</v>
      </c>
      <c r="EO132" s="9">
        <v>3.2</v>
      </c>
      <c r="EQ132" s="9">
        <v>4.4000000000000004</v>
      </c>
      <c r="ER132" s="9">
        <v>3.7</v>
      </c>
      <c r="FI132" s="9">
        <v>2.7</v>
      </c>
      <c r="FL132" s="9">
        <v>17.2</v>
      </c>
      <c r="FM132" s="9">
        <v>18</v>
      </c>
      <c r="FP132" s="9">
        <v>17.8</v>
      </c>
      <c r="FQ132" s="9">
        <v>15.1</v>
      </c>
      <c r="FR132" s="9">
        <v>15.1</v>
      </c>
      <c r="FS132" s="9">
        <v>2.4</v>
      </c>
      <c r="FX132" s="9">
        <v>1.6</v>
      </c>
      <c r="GD132" s="9">
        <v>1.9</v>
      </c>
      <c r="GE132" s="9">
        <v>1.9</v>
      </c>
      <c r="GF132" s="9">
        <v>2.1</v>
      </c>
      <c r="GG132" s="9">
        <v>2.1</v>
      </c>
      <c r="GM132" s="9">
        <v>2.9</v>
      </c>
      <c r="GQ132" s="9">
        <v>1.4</v>
      </c>
      <c r="GR132" s="9">
        <v>0.7</v>
      </c>
      <c r="GU132" s="9">
        <v>1.8</v>
      </c>
      <c r="GV132" s="9">
        <v>1.8</v>
      </c>
      <c r="GX132" s="9">
        <v>0.3</v>
      </c>
      <c r="GY132" s="9">
        <v>0.3</v>
      </c>
      <c r="HH132" s="9">
        <v>3</v>
      </c>
      <c r="HQ132" s="9">
        <v>3.3</v>
      </c>
      <c r="HR132" s="9">
        <v>3.7</v>
      </c>
      <c r="HS132" s="9">
        <v>-3.2</v>
      </c>
      <c r="HU132" s="9">
        <v>20.9</v>
      </c>
      <c r="HX132" s="9">
        <v>0</v>
      </c>
      <c r="HY132" s="9">
        <v>0</v>
      </c>
      <c r="HZ132" s="9">
        <v>1.2</v>
      </c>
      <c r="IA132" s="9">
        <v>1.2</v>
      </c>
    </row>
    <row r="133" spans="1:251" x14ac:dyDescent="0.2">
      <c r="A133" s="10">
        <v>28915</v>
      </c>
      <c r="B133" s="8">
        <v>15.97</v>
      </c>
      <c r="C133" s="8">
        <v>15.18</v>
      </c>
      <c r="D133" s="8">
        <v>14.33</v>
      </c>
      <c r="I133" s="8">
        <v>18.78</v>
      </c>
      <c r="J133" s="8">
        <v>13.54</v>
      </c>
      <c r="L133" s="8">
        <v>13.07</v>
      </c>
      <c r="M133" s="8">
        <v>43.6</v>
      </c>
      <c r="O133" s="8">
        <v>17.79</v>
      </c>
      <c r="P133" s="8">
        <v>17.350000000000001</v>
      </c>
      <c r="AG133" s="8">
        <v>12.89</v>
      </c>
      <c r="AJ133" s="8">
        <v>5.78</v>
      </c>
      <c r="AK133" s="8">
        <v>15.32</v>
      </c>
      <c r="AN133" s="8">
        <v>11.22</v>
      </c>
      <c r="AO133" s="8">
        <v>1.07</v>
      </c>
      <c r="AP133" s="8">
        <v>1.07</v>
      </c>
      <c r="AQ133" s="8">
        <v>42.54</v>
      </c>
      <c r="AV133" s="8">
        <v>51.24</v>
      </c>
      <c r="BB133" s="8">
        <v>11.58</v>
      </c>
      <c r="BC133" s="8">
        <v>13.79</v>
      </c>
      <c r="BD133" s="8">
        <v>14.15</v>
      </c>
      <c r="BE133" s="8">
        <v>14.15</v>
      </c>
      <c r="BK133" s="8">
        <v>8.4600000000000009</v>
      </c>
      <c r="BO133" s="8">
        <v>27.33</v>
      </c>
      <c r="BP133" s="8">
        <v>25.6</v>
      </c>
      <c r="BS133" s="8">
        <v>48.09</v>
      </c>
      <c r="BT133" s="8">
        <v>48.09</v>
      </c>
      <c r="BV133" s="8">
        <v>60.48</v>
      </c>
      <c r="BW133" s="8">
        <v>68.98</v>
      </c>
      <c r="CF133" s="8">
        <v>12.89</v>
      </c>
      <c r="CO133" s="8">
        <v>17.2</v>
      </c>
      <c r="CP133" s="8">
        <v>18.02</v>
      </c>
      <c r="CQ133" s="8">
        <v>38.46</v>
      </c>
      <c r="CS133" s="8">
        <v>11.32</v>
      </c>
      <c r="CV133" s="8">
        <v>10.02</v>
      </c>
      <c r="CW133" s="8">
        <v>10.02</v>
      </c>
      <c r="CX133" s="8">
        <v>67.16</v>
      </c>
      <c r="CY133" s="8">
        <v>67.16</v>
      </c>
      <c r="ED133" s="9">
        <v>1.7</v>
      </c>
      <c r="EE133" s="9">
        <v>3</v>
      </c>
      <c r="EF133" s="9">
        <v>2.4</v>
      </c>
      <c r="EK133" s="9">
        <v>11.3</v>
      </c>
      <c r="EL133" s="9">
        <v>17.3</v>
      </c>
      <c r="EN133" s="9">
        <v>13.6</v>
      </c>
      <c r="EO133" s="9">
        <v>1.5</v>
      </c>
      <c r="EQ133" s="9">
        <v>-0.3</v>
      </c>
      <c r="ER133" s="9">
        <v>0.9</v>
      </c>
      <c r="FI133" s="9">
        <v>2.5</v>
      </c>
      <c r="FL133" s="9">
        <v>-0.2</v>
      </c>
      <c r="FM133" s="9">
        <v>-0.5</v>
      </c>
      <c r="FP133" s="9">
        <v>-1.4</v>
      </c>
      <c r="FQ133" s="9">
        <v>0</v>
      </c>
      <c r="FR133" s="9">
        <v>0</v>
      </c>
      <c r="FS133" s="9">
        <v>0.4</v>
      </c>
      <c r="FX133" s="9">
        <v>0.4</v>
      </c>
      <c r="GD133" s="9">
        <v>2.2999999999999998</v>
      </c>
      <c r="GE133" s="9">
        <v>1.1000000000000001</v>
      </c>
      <c r="GF133" s="9">
        <v>2.1</v>
      </c>
      <c r="GG133" s="9">
        <v>2.1</v>
      </c>
      <c r="GM133" s="9">
        <v>4.7</v>
      </c>
      <c r="GQ133" s="9">
        <v>1.6</v>
      </c>
      <c r="GR133" s="9">
        <v>0.7</v>
      </c>
      <c r="GU133" s="9">
        <v>1.6</v>
      </c>
      <c r="GV133" s="9">
        <v>1.6</v>
      </c>
      <c r="GX133" s="9">
        <v>1</v>
      </c>
      <c r="GY133" s="9">
        <v>1</v>
      </c>
      <c r="HH133" s="9">
        <v>3.1</v>
      </c>
      <c r="HQ133" s="9">
        <v>2.4</v>
      </c>
      <c r="HR133" s="9">
        <v>2</v>
      </c>
      <c r="HS133" s="9">
        <v>2.2999999999999998</v>
      </c>
      <c r="HU133" s="9">
        <v>2.9</v>
      </c>
      <c r="HX133" s="9">
        <v>4.2</v>
      </c>
      <c r="HY133" s="9">
        <v>4.2</v>
      </c>
      <c r="HZ133" s="9">
        <v>-0.8</v>
      </c>
      <c r="IA133" s="9">
        <v>-0.8</v>
      </c>
    </row>
    <row r="134" spans="1:251" x14ac:dyDescent="0.2">
      <c r="A134" s="10">
        <v>29007</v>
      </c>
      <c r="B134" s="8">
        <v>16.39</v>
      </c>
      <c r="C134" s="8">
        <v>15.91</v>
      </c>
      <c r="D134" s="8">
        <v>14.44</v>
      </c>
      <c r="I134" s="8">
        <v>22.37</v>
      </c>
      <c r="J134" s="8">
        <v>17.61</v>
      </c>
      <c r="L134" s="8">
        <v>15.27</v>
      </c>
      <c r="M134" s="8">
        <v>44.3</v>
      </c>
      <c r="O134" s="8">
        <v>18.55</v>
      </c>
      <c r="P134" s="8">
        <v>17.66</v>
      </c>
      <c r="AG134" s="8">
        <v>13.29</v>
      </c>
      <c r="AJ134" s="8">
        <v>5.85</v>
      </c>
      <c r="AK134" s="8">
        <v>15.53</v>
      </c>
      <c r="AN134" s="8">
        <v>11.41</v>
      </c>
      <c r="AO134" s="8">
        <v>1.08</v>
      </c>
      <c r="AP134" s="8">
        <v>1.08</v>
      </c>
      <c r="AQ134" s="8">
        <v>43.8</v>
      </c>
      <c r="AV134" s="8">
        <v>52.92</v>
      </c>
      <c r="BB134" s="8">
        <v>11.85</v>
      </c>
      <c r="BC134" s="8">
        <v>14.05</v>
      </c>
      <c r="BD134" s="8">
        <v>14.4</v>
      </c>
      <c r="BE134" s="8">
        <v>14.4</v>
      </c>
      <c r="BK134" s="8">
        <v>8.6199999999999992</v>
      </c>
      <c r="BO134" s="8">
        <v>27.64</v>
      </c>
      <c r="BP134" s="8">
        <v>25.6</v>
      </c>
      <c r="BS134" s="8">
        <v>48.09</v>
      </c>
      <c r="BT134" s="8">
        <v>48.09</v>
      </c>
      <c r="BV134" s="8">
        <v>60.87</v>
      </c>
      <c r="BW134" s="8">
        <v>69.430000000000007</v>
      </c>
      <c r="CF134" s="8">
        <v>13.22</v>
      </c>
      <c r="CO134" s="8">
        <v>17.72</v>
      </c>
      <c r="CP134" s="8">
        <v>18.66</v>
      </c>
      <c r="CQ134" s="8">
        <v>38.85</v>
      </c>
      <c r="CS134" s="8">
        <v>12.44</v>
      </c>
      <c r="CV134" s="8">
        <v>10.02</v>
      </c>
      <c r="CW134" s="8">
        <v>10.02</v>
      </c>
      <c r="CX134" s="8">
        <v>67.16</v>
      </c>
      <c r="CY134" s="8">
        <v>67.16</v>
      </c>
      <c r="ED134" s="9">
        <v>2.6</v>
      </c>
      <c r="EE134" s="9">
        <v>4.8</v>
      </c>
      <c r="EF134" s="9">
        <v>0.8</v>
      </c>
      <c r="EK134" s="9">
        <v>19.100000000000001</v>
      </c>
      <c r="EL134" s="9">
        <v>30.1</v>
      </c>
      <c r="EN134" s="9">
        <v>16.8</v>
      </c>
      <c r="EO134" s="9">
        <v>1.6</v>
      </c>
      <c r="EQ134" s="9">
        <v>4.3</v>
      </c>
      <c r="ER134" s="9">
        <v>1.8</v>
      </c>
      <c r="FI134" s="9">
        <v>3.1</v>
      </c>
      <c r="FL134" s="9">
        <v>1.2</v>
      </c>
      <c r="FM134" s="9">
        <v>1.4</v>
      </c>
      <c r="FP134" s="9">
        <v>1.7</v>
      </c>
      <c r="FQ134" s="9">
        <v>0.9</v>
      </c>
      <c r="FR134" s="9">
        <v>0.9</v>
      </c>
      <c r="FS134" s="9">
        <v>3</v>
      </c>
      <c r="FX134" s="9">
        <v>3.3</v>
      </c>
      <c r="GD134" s="9">
        <v>2.2999999999999998</v>
      </c>
      <c r="GE134" s="9">
        <v>1.9</v>
      </c>
      <c r="GF134" s="9">
        <v>1.8</v>
      </c>
      <c r="GG134" s="9">
        <v>1.8</v>
      </c>
      <c r="GM134" s="9">
        <v>1.9</v>
      </c>
      <c r="GQ134" s="9">
        <v>1.1000000000000001</v>
      </c>
      <c r="GR134" s="9">
        <v>0</v>
      </c>
      <c r="GU134" s="9">
        <v>0</v>
      </c>
      <c r="GV134" s="9">
        <v>0</v>
      </c>
      <c r="GX134" s="9">
        <v>0.6</v>
      </c>
      <c r="GY134" s="9">
        <v>0.7</v>
      </c>
      <c r="HH134" s="9">
        <v>2.6</v>
      </c>
      <c r="HQ134" s="9">
        <v>3</v>
      </c>
      <c r="HR134" s="9">
        <v>3.6</v>
      </c>
      <c r="HS134" s="9">
        <v>1</v>
      </c>
      <c r="HU134" s="9">
        <v>9.9</v>
      </c>
      <c r="HX134" s="9">
        <v>0</v>
      </c>
      <c r="HY134" s="9">
        <v>0</v>
      </c>
      <c r="HZ134" s="9">
        <v>0</v>
      </c>
      <c r="IA134" s="9">
        <v>0</v>
      </c>
    </row>
    <row r="135" spans="1:251" x14ac:dyDescent="0.2">
      <c r="A135" s="10">
        <v>29099</v>
      </c>
      <c r="B135" s="8">
        <v>16.78</v>
      </c>
      <c r="C135" s="8">
        <v>16.38</v>
      </c>
      <c r="D135" s="8">
        <v>14.8</v>
      </c>
      <c r="I135" s="8">
        <v>23.19</v>
      </c>
      <c r="J135" s="8">
        <v>18.63</v>
      </c>
      <c r="L135" s="8">
        <v>14.31</v>
      </c>
      <c r="M135" s="8">
        <v>46.17</v>
      </c>
      <c r="O135" s="8">
        <v>19.12</v>
      </c>
      <c r="P135" s="8">
        <v>17.850000000000001</v>
      </c>
      <c r="AG135" s="8">
        <v>13.77</v>
      </c>
      <c r="AJ135" s="8">
        <v>5.93</v>
      </c>
      <c r="AK135" s="8">
        <v>15.67</v>
      </c>
      <c r="AN135" s="8">
        <v>11.54</v>
      </c>
      <c r="AO135" s="8">
        <v>1.1100000000000001</v>
      </c>
      <c r="AP135" s="8">
        <v>1.1100000000000001</v>
      </c>
      <c r="AQ135" s="8">
        <v>44.43</v>
      </c>
      <c r="AV135" s="8">
        <v>54.59</v>
      </c>
      <c r="BB135" s="8">
        <v>12.29</v>
      </c>
      <c r="BC135" s="8">
        <v>14.27</v>
      </c>
      <c r="BD135" s="8">
        <v>14.7</v>
      </c>
      <c r="BE135" s="8">
        <v>14.7</v>
      </c>
      <c r="BK135" s="8">
        <v>8.93</v>
      </c>
      <c r="BO135" s="8">
        <v>28.26</v>
      </c>
      <c r="BP135" s="8">
        <v>26.25</v>
      </c>
      <c r="BS135" s="8">
        <v>49.47</v>
      </c>
      <c r="BT135" s="8">
        <v>49.47</v>
      </c>
      <c r="BV135" s="8">
        <v>61.26</v>
      </c>
      <c r="BW135" s="8">
        <v>69.88</v>
      </c>
      <c r="CF135" s="8">
        <v>13.47</v>
      </c>
      <c r="CO135" s="8">
        <v>18.43</v>
      </c>
      <c r="CP135" s="8">
        <v>19.329999999999998</v>
      </c>
      <c r="CQ135" s="8">
        <v>39.619999999999997</v>
      </c>
      <c r="CS135" s="8">
        <v>13.5</v>
      </c>
      <c r="CV135" s="8">
        <v>10.48</v>
      </c>
      <c r="CW135" s="8">
        <v>10.48</v>
      </c>
      <c r="CX135" s="8">
        <v>67.16</v>
      </c>
      <c r="CY135" s="8">
        <v>67.16</v>
      </c>
      <c r="ED135" s="9">
        <v>2.4</v>
      </c>
      <c r="EE135" s="9">
        <v>3</v>
      </c>
      <c r="EF135" s="9">
        <v>2.5</v>
      </c>
      <c r="EK135" s="9">
        <v>3.7</v>
      </c>
      <c r="EL135" s="9">
        <v>5.8</v>
      </c>
      <c r="EN135" s="9">
        <v>-6.3</v>
      </c>
      <c r="EO135" s="9">
        <v>4.2</v>
      </c>
      <c r="EQ135" s="9">
        <v>3.1</v>
      </c>
      <c r="ER135" s="9">
        <v>1.1000000000000001</v>
      </c>
      <c r="FI135" s="9">
        <v>3.6</v>
      </c>
      <c r="FL135" s="9">
        <v>1.4</v>
      </c>
      <c r="FM135" s="9">
        <v>0.9</v>
      </c>
      <c r="FP135" s="9">
        <v>1.1000000000000001</v>
      </c>
      <c r="FQ135" s="9">
        <v>2.8</v>
      </c>
      <c r="FR135" s="9">
        <v>2.8</v>
      </c>
      <c r="FS135" s="9">
        <v>1.4</v>
      </c>
      <c r="FX135" s="9">
        <v>3.2</v>
      </c>
      <c r="GD135" s="9">
        <v>3.7</v>
      </c>
      <c r="GE135" s="9">
        <v>1.6</v>
      </c>
      <c r="GF135" s="9">
        <v>2.1</v>
      </c>
      <c r="GG135" s="9">
        <v>2.1</v>
      </c>
      <c r="GM135" s="9">
        <v>3.6</v>
      </c>
      <c r="GQ135" s="9">
        <v>2.2000000000000002</v>
      </c>
      <c r="GR135" s="9">
        <v>2.5</v>
      </c>
      <c r="GU135" s="9">
        <v>2.9</v>
      </c>
      <c r="GV135" s="9">
        <v>2.9</v>
      </c>
      <c r="GX135" s="9">
        <v>0.6</v>
      </c>
      <c r="GY135" s="9">
        <v>0.6</v>
      </c>
      <c r="HH135" s="9">
        <v>1.9</v>
      </c>
      <c r="HQ135" s="9">
        <v>4</v>
      </c>
      <c r="HR135" s="9">
        <v>3.6</v>
      </c>
      <c r="HS135" s="9">
        <v>2</v>
      </c>
      <c r="HU135" s="9">
        <v>8.5</v>
      </c>
      <c r="HX135" s="9">
        <v>4.5999999999999996</v>
      </c>
      <c r="HY135" s="9">
        <v>4.5999999999999996</v>
      </c>
      <c r="HZ135" s="9">
        <v>0</v>
      </c>
      <c r="IA135" s="9">
        <v>0</v>
      </c>
    </row>
    <row r="136" spans="1:251" x14ac:dyDescent="0.2">
      <c r="A136" s="10">
        <v>29190</v>
      </c>
      <c r="B136" s="8">
        <v>17.28</v>
      </c>
      <c r="C136" s="8">
        <v>16.75</v>
      </c>
      <c r="D136" s="8">
        <v>15.1</v>
      </c>
      <c r="I136" s="8">
        <v>23.15</v>
      </c>
      <c r="J136" s="8">
        <v>18.5</v>
      </c>
      <c r="L136" s="8">
        <v>13.84</v>
      </c>
      <c r="M136" s="8">
        <v>45.7</v>
      </c>
      <c r="O136" s="8">
        <v>20.399999999999999</v>
      </c>
      <c r="P136" s="8">
        <v>18.23</v>
      </c>
      <c r="AG136" s="8">
        <v>14.13</v>
      </c>
      <c r="AJ136" s="8">
        <v>6</v>
      </c>
      <c r="AK136" s="8">
        <v>15.85</v>
      </c>
      <c r="AN136" s="8">
        <v>11.65</v>
      </c>
      <c r="AO136" s="8">
        <v>1.1299999999999999</v>
      </c>
      <c r="AP136" s="8">
        <v>1.1299999999999999</v>
      </c>
      <c r="AQ136" s="8">
        <v>45.15</v>
      </c>
      <c r="AV136" s="8">
        <v>55.6</v>
      </c>
      <c r="BB136" s="8">
        <v>12.53</v>
      </c>
      <c r="BC136" s="8">
        <v>14.6</v>
      </c>
      <c r="BD136" s="8">
        <v>14.92</v>
      </c>
      <c r="BE136" s="8">
        <v>14.92</v>
      </c>
      <c r="BK136" s="8">
        <v>9.23</v>
      </c>
      <c r="BO136" s="8">
        <v>28.89</v>
      </c>
      <c r="BP136" s="8">
        <v>26.71</v>
      </c>
      <c r="BS136" s="8">
        <v>50.53</v>
      </c>
      <c r="BT136" s="8">
        <v>50.53</v>
      </c>
      <c r="BV136" s="8">
        <v>61.94</v>
      </c>
      <c r="BW136" s="8">
        <v>70.66</v>
      </c>
      <c r="CF136" s="8">
        <v>13.71</v>
      </c>
      <c r="CO136" s="8">
        <v>19.09</v>
      </c>
      <c r="CP136" s="8">
        <v>20.010000000000002</v>
      </c>
      <c r="CQ136" s="8">
        <v>40.1</v>
      </c>
      <c r="CS136" s="8">
        <v>14.9</v>
      </c>
      <c r="CV136" s="8">
        <v>11.16</v>
      </c>
      <c r="CW136" s="8">
        <v>11.16</v>
      </c>
      <c r="CX136" s="8">
        <v>68.260000000000005</v>
      </c>
      <c r="CY136" s="8">
        <v>68.260000000000005</v>
      </c>
      <c r="ED136" s="9">
        <v>3</v>
      </c>
      <c r="EE136" s="9">
        <v>2.2999999999999998</v>
      </c>
      <c r="EF136" s="9">
        <v>2</v>
      </c>
      <c r="EK136" s="9">
        <v>-0.2</v>
      </c>
      <c r="EL136" s="9">
        <v>-0.7</v>
      </c>
      <c r="EN136" s="9">
        <v>-3.3</v>
      </c>
      <c r="EO136" s="9">
        <v>-1</v>
      </c>
      <c r="EQ136" s="9">
        <v>6.7</v>
      </c>
      <c r="ER136" s="9">
        <v>2.1</v>
      </c>
      <c r="FI136" s="9">
        <v>2.6</v>
      </c>
      <c r="FL136" s="9">
        <v>1.2</v>
      </c>
      <c r="FM136" s="9">
        <v>1.1000000000000001</v>
      </c>
      <c r="FP136" s="9">
        <v>1</v>
      </c>
      <c r="FQ136" s="9">
        <v>1.8</v>
      </c>
      <c r="FR136" s="9">
        <v>1.8</v>
      </c>
      <c r="FS136" s="9">
        <v>1.6</v>
      </c>
      <c r="FX136" s="9">
        <v>1.9</v>
      </c>
      <c r="GD136" s="9">
        <v>2</v>
      </c>
      <c r="GE136" s="9">
        <v>2.2999999999999998</v>
      </c>
      <c r="GF136" s="9">
        <v>1.5</v>
      </c>
      <c r="GG136" s="9">
        <v>1.5</v>
      </c>
      <c r="GM136" s="9">
        <v>3.4</v>
      </c>
      <c r="GQ136" s="9">
        <v>2.2000000000000002</v>
      </c>
      <c r="GR136" s="9">
        <v>1.8</v>
      </c>
      <c r="GU136" s="9">
        <v>2.1</v>
      </c>
      <c r="GV136" s="9">
        <v>2.1</v>
      </c>
      <c r="GX136" s="9">
        <v>1.1000000000000001</v>
      </c>
      <c r="GY136" s="9">
        <v>1.1000000000000001</v>
      </c>
      <c r="HH136" s="9">
        <v>1.8</v>
      </c>
      <c r="HQ136" s="9">
        <v>3.6</v>
      </c>
      <c r="HR136" s="9">
        <v>3.5</v>
      </c>
      <c r="HS136" s="9">
        <v>1.2</v>
      </c>
      <c r="HU136" s="9">
        <v>10.4</v>
      </c>
      <c r="HX136" s="9">
        <v>6.5</v>
      </c>
      <c r="HY136" s="9">
        <v>6.5</v>
      </c>
      <c r="HZ136" s="9">
        <v>1.6</v>
      </c>
      <c r="IA136" s="9">
        <v>1.6</v>
      </c>
    </row>
    <row r="137" spans="1:251" x14ac:dyDescent="0.2">
      <c r="A137" s="10">
        <v>29281</v>
      </c>
      <c r="B137" s="8">
        <v>17.670000000000002</v>
      </c>
      <c r="C137" s="8">
        <v>17.440000000000001</v>
      </c>
      <c r="D137" s="8">
        <v>15.61</v>
      </c>
      <c r="I137" s="8">
        <v>24.56</v>
      </c>
      <c r="J137" s="8">
        <v>19.55</v>
      </c>
      <c r="L137" s="8">
        <v>15.79</v>
      </c>
      <c r="M137" s="8">
        <v>46.17</v>
      </c>
      <c r="O137" s="8">
        <v>21.17</v>
      </c>
      <c r="P137" s="8">
        <v>18.57</v>
      </c>
      <c r="AG137" s="8">
        <v>14.59</v>
      </c>
      <c r="AJ137" s="8">
        <v>6.12</v>
      </c>
      <c r="AK137" s="8">
        <v>16.170000000000002</v>
      </c>
      <c r="AN137" s="8">
        <v>11.98</v>
      </c>
      <c r="AO137" s="8">
        <v>1.1399999999999999</v>
      </c>
      <c r="AP137" s="8">
        <v>1.1399999999999999</v>
      </c>
      <c r="AQ137" s="8">
        <v>45.43</v>
      </c>
      <c r="AV137" s="8">
        <v>56.6</v>
      </c>
      <c r="BB137" s="8">
        <v>12.71</v>
      </c>
      <c r="BC137" s="8">
        <v>14.86</v>
      </c>
      <c r="BD137" s="8">
        <v>15.1</v>
      </c>
      <c r="BE137" s="8">
        <v>15.1</v>
      </c>
      <c r="BK137" s="8">
        <v>9.75</v>
      </c>
      <c r="BO137" s="8">
        <v>29.64</v>
      </c>
      <c r="BP137" s="8">
        <v>27.24</v>
      </c>
      <c r="BS137" s="8">
        <v>51.38</v>
      </c>
      <c r="BT137" s="8">
        <v>51.38</v>
      </c>
      <c r="BV137" s="8">
        <v>63.51</v>
      </c>
      <c r="BW137" s="8">
        <v>72.44</v>
      </c>
      <c r="CF137" s="8">
        <v>13.89</v>
      </c>
      <c r="CO137" s="8">
        <v>19.18</v>
      </c>
      <c r="CP137" s="8">
        <v>20.010000000000002</v>
      </c>
      <c r="CQ137" s="8">
        <v>40.869999999999997</v>
      </c>
      <c r="CS137" s="8">
        <v>14.56</v>
      </c>
      <c r="CV137" s="8">
        <v>11.6</v>
      </c>
      <c r="CW137" s="8">
        <v>11.6</v>
      </c>
      <c r="CX137" s="8">
        <v>68.48</v>
      </c>
      <c r="CY137" s="8">
        <v>68.48</v>
      </c>
      <c r="ED137" s="9">
        <v>2.2999999999999998</v>
      </c>
      <c r="EE137" s="9">
        <v>4.0999999999999996</v>
      </c>
      <c r="EF137" s="9">
        <v>3.4</v>
      </c>
      <c r="EK137" s="9">
        <v>6.1</v>
      </c>
      <c r="EL137" s="9">
        <v>5.7</v>
      </c>
      <c r="EN137" s="9">
        <v>14.1</v>
      </c>
      <c r="EO137" s="9">
        <v>1</v>
      </c>
      <c r="EQ137" s="9">
        <v>3.8</v>
      </c>
      <c r="ER137" s="9">
        <v>1.9</v>
      </c>
      <c r="FI137" s="9">
        <v>3.3</v>
      </c>
      <c r="FL137" s="9">
        <v>2</v>
      </c>
      <c r="FM137" s="9">
        <v>2</v>
      </c>
      <c r="FP137" s="9">
        <v>2.8</v>
      </c>
      <c r="FQ137" s="9">
        <v>0.9</v>
      </c>
      <c r="FR137" s="9">
        <v>0.9</v>
      </c>
      <c r="FS137" s="9">
        <v>0.6</v>
      </c>
      <c r="FX137" s="9">
        <v>1.8</v>
      </c>
      <c r="GD137" s="9">
        <v>1.4</v>
      </c>
      <c r="GE137" s="9">
        <v>1.8</v>
      </c>
      <c r="GF137" s="9">
        <v>1.2</v>
      </c>
      <c r="GG137" s="9">
        <v>1.2</v>
      </c>
      <c r="GM137" s="9">
        <v>5.6</v>
      </c>
      <c r="GQ137" s="9">
        <v>2.6</v>
      </c>
      <c r="GR137" s="9">
        <v>2</v>
      </c>
      <c r="GU137" s="9">
        <v>1.7</v>
      </c>
      <c r="GV137" s="9">
        <v>1.7</v>
      </c>
      <c r="GX137" s="9">
        <v>2.5</v>
      </c>
      <c r="GY137" s="9">
        <v>2.5</v>
      </c>
      <c r="HH137" s="9">
        <v>1.3</v>
      </c>
      <c r="HQ137" s="9">
        <v>0.5</v>
      </c>
      <c r="HR137" s="9">
        <v>0</v>
      </c>
      <c r="HS137" s="9">
        <v>1.9</v>
      </c>
      <c r="HU137" s="9">
        <v>-2.2999999999999998</v>
      </c>
      <c r="HX137" s="9">
        <v>3.9</v>
      </c>
      <c r="HY137" s="9">
        <v>3.9</v>
      </c>
      <c r="HZ137" s="9">
        <v>0.3</v>
      </c>
      <c r="IA137" s="9">
        <v>0.3</v>
      </c>
    </row>
    <row r="138" spans="1:251" x14ac:dyDescent="0.2">
      <c r="A138" s="10">
        <v>29373</v>
      </c>
      <c r="B138" s="8">
        <v>18.170000000000002</v>
      </c>
      <c r="C138" s="8">
        <v>17.87</v>
      </c>
      <c r="D138" s="8">
        <v>15.91</v>
      </c>
      <c r="I138" s="8">
        <v>25.05</v>
      </c>
      <c r="J138" s="8">
        <v>19.68</v>
      </c>
      <c r="L138" s="8">
        <v>16.73</v>
      </c>
      <c r="M138" s="8">
        <v>48.59</v>
      </c>
      <c r="O138" s="8">
        <v>21.21</v>
      </c>
      <c r="P138" s="8">
        <v>19.34</v>
      </c>
      <c r="AG138" s="8">
        <v>14.92</v>
      </c>
      <c r="AJ138" s="8">
        <v>6.22</v>
      </c>
      <c r="AK138" s="8">
        <v>16.45</v>
      </c>
      <c r="AN138" s="8">
        <v>12.22</v>
      </c>
      <c r="AO138" s="8">
        <v>1.1599999999999999</v>
      </c>
      <c r="AP138" s="8">
        <v>1.1599999999999999</v>
      </c>
      <c r="AQ138" s="8">
        <v>46.78</v>
      </c>
      <c r="AV138" s="8">
        <v>58.28</v>
      </c>
      <c r="BB138" s="8">
        <v>13.3</v>
      </c>
      <c r="BC138" s="8">
        <v>15.19</v>
      </c>
      <c r="BD138" s="8">
        <v>15.35</v>
      </c>
      <c r="BE138" s="8">
        <v>15.35</v>
      </c>
      <c r="BK138" s="8">
        <v>9.9499999999999993</v>
      </c>
      <c r="BO138" s="8">
        <v>30.39</v>
      </c>
      <c r="BP138" s="8">
        <v>27.89</v>
      </c>
      <c r="BS138" s="8">
        <v>52.43</v>
      </c>
      <c r="BT138" s="8">
        <v>52.43</v>
      </c>
      <c r="BV138" s="8">
        <v>64.489999999999995</v>
      </c>
      <c r="BW138" s="8">
        <v>73.56</v>
      </c>
      <c r="CF138" s="8">
        <v>14.31</v>
      </c>
      <c r="CO138" s="8">
        <v>20.100000000000001</v>
      </c>
      <c r="CP138" s="8">
        <v>21.1</v>
      </c>
      <c r="CQ138" s="8">
        <v>41.16</v>
      </c>
      <c r="CS138" s="8">
        <v>16.649999999999999</v>
      </c>
      <c r="CV138" s="8">
        <v>11.66</v>
      </c>
      <c r="CW138" s="8">
        <v>11.66</v>
      </c>
      <c r="CX138" s="8">
        <v>69.58</v>
      </c>
      <c r="CY138" s="8">
        <v>69.58</v>
      </c>
      <c r="ED138" s="9">
        <v>2.8</v>
      </c>
      <c r="EE138" s="9">
        <v>2.5</v>
      </c>
      <c r="EF138" s="9">
        <v>1.9</v>
      </c>
      <c r="EK138" s="9">
        <v>2</v>
      </c>
      <c r="EL138" s="9">
        <v>0.7</v>
      </c>
      <c r="EN138" s="9">
        <v>6</v>
      </c>
      <c r="EO138" s="9">
        <v>5.2</v>
      </c>
      <c r="EQ138" s="9">
        <v>0.2</v>
      </c>
      <c r="ER138" s="9">
        <v>4.0999999999999996</v>
      </c>
      <c r="FI138" s="9">
        <v>2.2999999999999998</v>
      </c>
      <c r="FL138" s="9">
        <v>1.6</v>
      </c>
      <c r="FM138" s="9">
        <v>1.7</v>
      </c>
      <c r="FP138" s="9">
        <v>2</v>
      </c>
      <c r="FQ138" s="9">
        <v>1.8</v>
      </c>
      <c r="FR138" s="9">
        <v>1.8</v>
      </c>
      <c r="FS138" s="9">
        <v>3</v>
      </c>
      <c r="FX138" s="9">
        <v>3</v>
      </c>
      <c r="GD138" s="9">
        <v>4.5999999999999996</v>
      </c>
      <c r="GE138" s="9">
        <v>2.2000000000000002</v>
      </c>
      <c r="GF138" s="9">
        <v>1.7</v>
      </c>
      <c r="GG138" s="9">
        <v>1.7</v>
      </c>
      <c r="GM138" s="9">
        <v>2.1</v>
      </c>
      <c r="GQ138" s="9">
        <v>2.5</v>
      </c>
      <c r="GR138" s="9">
        <v>2.4</v>
      </c>
      <c r="GU138" s="9">
        <v>2</v>
      </c>
      <c r="GV138" s="9">
        <v>2</v>
      </c>
      <c r="GX138" s="9">
        <v>1.5</v>
      </c>
      <c r="GY138" s="9">
        <v>1.5</v>
      </c>
      <c r="HH138" s="9">
        <v>3</v>
      </c>
      <c r="HQ138" s="9">
        <v>4.8</v>
      </c>
      <c r="HR138" s="9">
        <v>5.4</v>
      </c>
      <c r="HS138" s="9">
        <v>0.7</v>
      </c>
      <c r="HU138" s="9">
        <v>14.4</v>
      </c>
      <c r="HX138" s="9">
        <v>0.5</v>
      </c>
      <c r="HY138" s="9">
        <v>0.5</v>
      </c>
      <c r="HZ138" s="9">
        <v>1.6</v>
      </c>
      <c r="IA138" s="9">
        <v>1.6</v>
      </c>
    </row>
    <row r="139" spans="1:251" x14ac:dyDescent="0.2">
      <c r="A139" s="10">
        <v>29465</v>
      </c>
      <c r="B139" s="8">
        <v>18.48</v>
      </c>
      <c r="C139" s="8">
        <v>18.239999999999998</v>
      </c>
      <c r="D139" s="8">
        <v>16.5</v>
      </c>
      <c r="E139" s="8">
        <v>14.52</v>
      </c>
      <c r="F139" s="8">
        <v>16.73</v>
      </c>
      <c r="G139" s="8">
        <v>21.3</v>
      </c>
      <c r="H139" s="8">
        <v>22.34</v>
      </c>
      <c r="I139" s="8">
        <v>24.93</v>
      </c>
      <c r="J139" s="8">
        <v>19.72</v>
      </c>
      <c r="K139" s="8">
        <v>26.46</v>
      </c>
      <c r="L139" s="8">
        <v>16.440000000000001</v>
      </c>
      <c r="M139" s="8">
        <v>47.34</v>
      </c>
      <c r="N139" s="8">
        <v>20.98</v>
      </c>
      <c r="O139" s="8">
        <v>21.64</v>
      </c>
      <c r="P139" s="8">
        <v>19.79</v>
      </c>
      <c r="Q139" s="8">
        <v>22.73</v>
      </c>
      <c r="R139" s="8">
        <v>16.48</v>
      </c>
      <c r="S139" s="8">
        <v>22.19</v>
      </c>
      <c r="X139" s="8">
        <v>21.28</v>
      </c>
      <c r="Y139" s="8">
        <v>18.98</v>
      </c>
      <c r="AC139" s="8">
        <v>23.24</v>
      </c>
      <c r="AE139" s="8">
        <v>26.75</v>
      </c>
      <c r="AG139" s="8">
        <v>15.28</v>
      </c>
      <c r="AH139" s="8">
        <v>16.32</v>
      </c>
      <c r="AI139" s="8">
        <v>14.06</v>
      </c>
      <c r="AJ139" s="8">
        <v>6.34</v>
      </c>
      <c r="AK139" s="8">
        <v>16.77</v>
      </c>
      <c r="AL139" s="8">
        <v>13.98</v>
      </c>
      <c r="AM139" s="8">
        <v>32.1</v>
      </c>
      <c r="AN139" s="8">
        <v>12.5</v>
      </c>
      <c r="AO139" s="8">
        <v>1.18</v>
      </c>
      <c r="AP139" s="8">
        <v>1.18</v>
      </c>
      <c r="AQ139" s="8">
        <v>47.32</v>
      </c>
      <c r="AV139" s="8">
        <v>59.28</v>
      </c>
      <c r="AW139" s="8">
        <v>71.06</v>
      </c>
      <c r="AX139" s="8">
        <v>52.74</v>
      </c>
      <c r="AY139" s="8">
        <v>57.28</v>
      </c>
      <c r="BB139" s="8">
        <v>13.45</v>
      </c>
      <c r="BC139" s="8">
        <v>15.6</v>
      </c>
      <c r="BD139" s="8">
        <v>15.72</v>
      </c>
      <c r="BE139" s="8">
        <v>15.72</v>
      </c>
      <c r="BI139" s="8">
        <v>18.82</v>
      </c>
      <c r="BK139" s="8">
        <v>10.33</v>
      </c>
      <c r="BM139" s="8">
        <v>10.46</v>
      </c>
      <c r="BO139" s="8">
        <v>31.45</v>
      </c>
      <c r="BP139" s="8">
        <v>28.77</v>
      </c>
      <c r="BQ139" s="8">
        <v>30.59</v>
      </c>
      <c r="BR139" s="8">
        <v>22.08</v>
      </c>
      <c r="BS139" s="8">
        <v>53.92</v>
      </c>
      <c r="BT139" s="8">
        <v>53.92</v>
      </c>
      <c r="BV139" s="8">
        <v>66.84</v>
      </c>
      <c r="BW139" s="8">
        <v>76.239999999999995</v>
      </c>
      <c r="BY139" s="8">
        <v>29.15</v>
      </c>
      <c r="CA139" s="8">
        <v>29.95</v>
      </c>
      <c r="CB139" s="8">
        <v>36.200000000000003</v>
      </c>
      <c r="CF139" s="8">
        <v>14.49</v>
      </c>
      <c r="CJ139" s="8">
        <v>21.51</v>
      </c>
      <c r="CL139" s="8">
        <v>7.8</v>
      </c>
      <c r="CM139" s="8">
        <v>7.42</v>
      </c>
      <c r="CN139" s="8">
        <v>10.91</v>
      </c>
      <c r="CO139" s="8">
        <v>20.14</v>
      </c>
      <c r="CP139" s="8">
        <v>21.01</v>
      </c>
      <c r="CQ139" s="8">
        <v>41.16</v>
      </c>
      <c r="CR139" s="8">
        <v>29.19</v>
      </c>
      <c r="CS139" s="8">
        <v>15.99</v>
      </c>
      <c r="CT139" s="8">
        <v>19.3</v>
      </c>
      <c r="CU139" s="8">
        <v>11.82</v>
      </c>
      <c r="CV139" s="8">
        <v>12.59</v>
      </c>
      <c r="CW139" s="8">
        <v>12.59</v>
      </c>
      <c r="CX139" s="8">
        <v>69.58</v>
      </c>
      <c r="CY139" s="8">
        <v>69.58</v>
      </c>
      <c r="CZ139" s="8">
        <v>17.61</v>
      </c>
      <c r="DA139" s="8">
        <v>77.209999999999994</v>
      </c>
      <c r="DD139" s="8">
        <v>2276.4499999999998</v>
      </c>
      <c r="DO139" s="8">
        <v>19.84</v>
      </c>
      <c r="ED139" s="9">
        <v>1.7</v>
      </c>
      <c r="EE139" s="9">
        <v>2.1</v>
      </c>
      <c r="EF139" s="9">
        <v>3.7</v>
      </c>
      <c r="EK139" s="9">
        <v>-0.5</v>
      </c>
      <c r="EL139" s="9">
        <v>0.2</v>
      </c>
      <c r="EN139" s="9">
        <v>-1.7</v>
      </c>
      <c r="EO139" s="9">
        <v>-2.6</v>
      </c>
      <c r="EQ139" s="9">
        <v>2</v>
      </c>
      <c r="ER139" s="9">
        <v>2.2999999999999998</v>
      </c>
      <c r="FI139" s="9">
        <v>2.4</v>
      </c>
      <c r="FL139" s="9">
        <v>1.9</v>
      </c>
      <c r="FM139" s="9">
        <v>1.9</v>
      </c>
      <c r="FP139" s="9">
        <v>2.2999999999999998</v>
      </c>
      <c r="FQ139" s="9">
        <v>1.7</v>
      </c>
      <c r="FR139" s="9">
        <v>1.7</v>
      </c>
      <c r="FS139" s="9">
        <v>1.2</v>
      </c>
      <c r="FX139" s="9">
        <v>1.7</v>
      </c>
      <c r="GD139" s="9">
        <v>1.1000000000000001</v>
      </c>
      <c r="GE139" s="9">
        <v>2.7</v>
      </c>
      <c r="GF139" s="9">
        <v>2.4</v>
      </c>
      <c r="GG139" s="9">
        <v>2.4</v>
      </c>
      <c r="GM139" s="9">
        <v>3.8</v>
      </c>
      <c r="GQ139" s="9">
        <v>3.5</v>
      </c>
      <c r="GR139" s="9">
        <v>3.2</v>
      </c>
      <c r="GU139" s="9">
        <v>2.8</v>
      </c>
      <c r="GV139" s="9">
        <v>2.8</v>
      </c>
      <c r="GX139" s="9">
        <v>3.6</v>
      </c>
      <c r="GY139" s="9">
        <v>3.6</v>
      </c>
      <c r="HH139" s="9">
        <v>1.3</v>
      </c>
      <c r="HQ139" s="9">
        <v>0.2</v>
      </c>
      <c r="HR139" s="9">
        <v>-0.4</v>
      </c>
      <c r="HS139" s="9">
        <v>0</v>
      </c>
      <c r="HU139" s="9">
        <v>-4</v>
      </c>
      <c r="HX139" s="9">
        <v>8</v>
      </c>
      <c r="HY139" s="9">
        <v>8</v>
      </c>
      <c r="HZ139" s="9">
        <v>0</v>
      </c>
      <c r="IA139" s="9">
        <v>0</v>
      </c>
    </row>
    <row r="140" spans="1:251" x14ac:dyDescent="0.2">
      <c r="A140" s="10">
        <v>29556</v>
      </c>
      <c r="B140" s="8">
        <v>18.87</v>
      </c>
      <c r="C140" s="8">
        <v>18.75</v>
      </c>
      <c r="D140" s="8">
        <v>17.12</v>
      </c>
      <c r="E140" s="8">
        <v>15.15</v>
      </c>
      <c r="F140" s="8">
        <v>17.34</v>
      </c>
      <c r="G140" s="8">
        <v>21.87</v>
      </c>
      <c r="H140" s="8">
        <v>22.86</v>
      </c>
      <c r="I140" s="8">
        <v>24.85</v>
      </c>
      <c r="J140" s="8">
        <v>19.579999999999998</v>
      </c>
      <c r="K140" s="8">
        <v>27.82</v>
      </c>
      <c r="L140" s="8">
        <v>15.15</v>
      </c>
      <c r="M140" s="8">
        <v>50.93</v>
      </c>
      <c r="N140" s="8">
        <v>21.43</v>
      </c>
      <c r="O140" s="8">
        <v>22.16</v>
      </c>
      <c r="P140" s="8">
        <v>20.75</v>
      </c>
      <c r="Q140" s="8">
        <v>23.98</v>
      </c>
      <c r="R140" s="8">
        <v>17.23</v>
      </c>
      <c r="S140" s="8">
        <v>22.85</v>
      </c>
      <c r="X140" s="8">
        <v>21.81</v>
      </c>
      <c r="Y140" s="8">
        <v>19.8</v>
      </c>
      <c r="AC140" s="8">
        <v>24.31</v>
      </c>
      <c r="AE140" s="8">
        <v>27.2</v>
      </c>
      <c r="AG140" s="8">
        <v>15.64</v>
      </c>
      <c r="AH140" s="8">
        <v>16.72</v>
      </c>
      <c r="AI140" s="8">
        <v>14.43</v>
      </c>
      <c r="AJ140" s="8">
        <v>6.4</v>
      </c>
      <c r="AK140" s="8">
        <v>17.02</v>
      </c>
      <c r="AL140" s="8">
        <v>14.1</v>
      </c>
      <c r="AM140" s="8">
        <v>32.909999999999997</v>
      </c>
      <c r="AN140" s="8">
        <v>12.66</v>
      </c>
      <c r="AO140" s="8">
        <v>1.18</v>
      </c>
      <c r="AP140" s="8">
        <v>1.18</v>
      </c>
      <c r="AQ140" s="8">
        <v>48.4</v>
      </c>
      <c r="AV140" s="8">
        <v>60.96</v>
      </c>
      <c r="AW140" s="8">
        <v>72.25</v>
      </c>
      <c r="AX140" s="8">
        <v>55.06</v>
      </c>
      <c r="AY140" s="8">
        <v>57.99</v>
      </c>
      <c r="BB140" s="8">
        <v>13.72</v>
      </c>
      <c r="BC140" s="8">
        <v>16.010000000000002</v>
      </c>
      <c r="BD140" s="8">
        <v>15.94</v>
      </c>
      <c r="BE140" s="8">
        <v>15.94</v>
      </c>
      <c r="BI140" s="8">
        <v>19.03</v>
      </c>
      <c r="BK140" s="8">
        <v>10.42</v>
      </c>
      <c r="BM140" s="8">
        <v>10.53</v>
      </c>
      <c r="BO140" s="8">
        <v>32.14</v>
      </c>
      <c r="BP140" s="8">
        <v>29.76</v>
      </c>
      <c r="BQ140" s="8">
        <v>31.72</v>
      </c>
      <c r="BR140" s="8">
        <v>22.61</v>
      </c>
      <c r="BS140" s="8">
        <v>56.14</v>
      </c>
      <c r="BT140" s="8">
        <v>56.14</v>
      </c>
      <c r="BV140" s="8">
        <v>66.84</v>
      </c>
      <c r="BW140" s="8">
        <v>76.239999999999995</v>
      </c>
      <c r="BY140" s="8">
        <v>30.47</v>
      </c>
      <c r="CA140" s="8">
        <v>31.94</v>
      </c>
      <c r="CB140" s="8">
        <v>37.409999999999997</v>
      </c>
      <c r="CF140" s="8">
        <v>14.94</v>
      </c>
      <c r="CJ140" s="8">
        <v>21.87</v>
      </c>
      <c r="CL140" s="8">
        <v>7.8</v>
      </c>
      <c r="CM140" s="8">
        <v>7.39</v>
      </c>
      <c r="CN140" s="8">
        <v>11.07</v>
      </c>
      <c r="CO140" s="8">
        <v>20.54</v>
      </c>
      <c r="CP140" s="8">
        <v>21.28</v>
      </c>
      <c r="CQ140" s="8">
        <v>41.93</v>
      </c>
      <c r="CR140" s="8">
        <v>29.78</v>
      </c>
      <c r="CS140" s="8">
        <v>16.399999999999999</v>
      </c>
      <c r="CT140" s="8">
        <v>19.579999999999998</v>
      </c>
      <c r="CU140" s="8">
        <v>11.82</v>
      </c>
      <c r="CV140" s="8">
        <v>13.39</v>
      </c>
      <c r="CW140" s="8">
        <v>13.39</v>
      </c>
      <c r="CX140" s="8">
        <v>69.47</v>
      </c>
      <c r="CY140" s="8">
        <v>69.47</v>
      </c>
      <c r="CZ140" s="8">
        <v>17.61</v>
      </c>
      <c r="DA140" s="8">
        <v>76.98</v>
      </c>
      <c r="DD140" s="8">
        <v>2233.46</v>
      </c>
      <c r="DO140" s="8">
        <v>19.77</v>
      </c>
      <c r="ED140" s="9">
        <v>2.1</v>
      </c>
      <c r="EE140" s="9">
        <v>2.8</v>
      </c>
      <c r="EF140" s="9">
        <v>3.8</v>
      </c>
      <c r="EG140" s="9">
        <v>4.3</v>
      </c>
      <c r="EH140" s="9">
        <v>3.6</v>
      </c>
      <c r="EI140" s="9">
        <v>2.7</v>
      </c>
      <c r="EJ140" s="9">
        <v>2.2999999999999998</v>
      </c>
      <c r="EK140" s="9">
        <v>-0.3</v>
      </c>
      <c r="EL140" s="9">
        <v>-0.7</v>
      </c>
      <c r="EM140" s="9">
        <v>5.0999999999999996</v>
      </c>
      <c r="EN140" s="9">
        <v>-7.8</v>
      </c>
      <c r="EO140" s="9">
        <v>7.6</v>
      </c>
      <c r="EP140" s="9">
        <v>2.1</v>
      </c>
      <c r="EQ140" s="9">
        <v>2.4</v>
      </c>
      <c r="ER140" s="9">
        <v>4.9000000000000004</v>
      </c>
      <c r="ES140" s="9">
        <v>5.5</v>
      </c>
      <c r="ET140" s="9">
        <v>4.5999999999999996</v>
      </c>
      <c r="EU140" s="9">
        <v>3</v>
      </c>
      <c r="EZ140" s="9">
        <v>2.5</v>
      </c>
      <c r="FA140" s="9">
        <v>4.3</v>
      </c>
      <c r="FE140" s="9">
        <v>4.5999999999999996</v>
      </c>
      <c r="FG140" s="9">
        <v>1.7</v>
      </c>
      <c r="FI140" s="9">
        <v>2.4</v>
      </c>
      <c r="FJ140" s="9">
        <v>2.5</v>
      </c>
      <c r="FK140" s="9">
        <v>2.6</v>
      </c>
      <c r="FL140" s="9">
        <v>0.9</v>
      </c>
      <c r="FM140" s="9">
        <v>1.5</v>
      </c>
      <c r="FN140" s="9">
        <v>0.9</v>
      </c>
      <c r="FO140" s="9">
        <v>2.5</v>
      </c>
      <c r="FP140" s="9">
        <v>1.3</v>
      </c>
      <c r="FQ140" s="9">
        <v>0</v>
      </c>
      <c r="FR140" s="9">
        <v>0</v>
      </c>
      <c r="FS140" s="9">
        <v>2.2999999999999998</v>
      </c>
      <c r="FX140" s="9">
        <v>2.8</v>
      </c>
      <c r="FY140" s="9">
        <v>1.7</v>
      </c>
      <c r="FZ140" s="9">
        <v>4.4000000000000004</v>
      </c>
      <c r="GA140" s="9">
        <v>1.2</v>
      </c>
      <c r="GD140" s="9">
        <v>2</v>
      </c>
      <c r="GE140" s="9">
        <v>2.6</v>
      </c>
      <c r="GF140" s="9">
        <v>1.4</v>
      </c>
      <c r="GG140" s="9">
        <v>1.4</v>
      </c>
      <c r="GK140" s="9">
        <v>1.1000000000000001</v>
      </c>
      <c r="GM140" s="9">
        <v>0.9</v>
      </c>
      <c r="GO140" s="9">
        <v>0.7</v>
      </c>
      <c r="GQ140" s="9">
        <v>2.2000000000000002</v>
      </c>
      <c r="GR140" s="9">
        <v>3.4</v>
      </c>
      <c r="GS140" s="9">
        <v>3.7</v>
      </c>
      <c r="GT140" s="9">
        <v>2.4</v>
      </c>
      <c r="GU140" s="9">
        <v>4.0999999999999996</v>
      </c>
      <c r="GV140" s="9">
        <v>4.0999999999999996</v>
      </c>
      <c r="GX140" s="9">
        <v>0</v>
      </c>
      <c r="GY140" s="9">
        <v>0</v>
      </c>
      <c r="HA140" s="9">
        <v>4.5</v>
      </c>
      <c r="HC140" s="9">
        <v>6.6</v>
      </c>
      <c r="HD140" s="9">
        <v>3.3</v>
      </c>
      <c r="HH140" s="9">
        <v>3.1</v>
      </c>
      <c r="HL140" s="9">
        <v>1.7</v>
      </c>
      <c r="HN140" s="9">
        <v>0</v>
      </c>
      <c r="HO140" s="9">
        <v>-0.4</v>
      </c>
      <c r="HP140" s="9">
        <v>1.5</v>
      </c>
      <c r="HQ140" s="9">
        <v>2</v>
      </c>
      <c r="HR140" s="9">
        <v>1.3</v>
      </c>
      <c r="HS140" s="9">
        <v>1.9</v>
      </c>
      <c r="HT140" s="9">
        <v>2</v>
      </c>
      <c r="HU140" s="9">
        <v>2.6</v>
      </c>
      <c r="HV140" s="9">
        <v>1.5</v>
      </c>
      <c r="HW140" s="9">
        <v>0</v>
      </c>
      <c r="HX140" s="9">
        <v>6.4</v>
      </c>
      <c r="HY140" s="9">
        <v>6.4</v>
      </c>
      <c r="HZ140" s="9">
        <v>-0.2</v>
      </c>
      <c r="IA140" s="9">
        <v>-0.2</v>
      </c>
      <c r="IB140" s="9">
        <v>0</v>
      </c>
      <c r="IC140" s="9">
        <v>-0.3</v>
      </c>
      <c r="IF140" s="9">
        <v>-1.9</v>
      </c>
      <c r="IQ140" s="9">
        <v>-0.4</v>
      </c>
    </row>
    <row r="141" spans="1:251" x14ac:dyDescent="0.2">
      <c r="A141" s="10">
        <v>29646</v>
      </c>
      <c r="B141" s="8">
        <v>19.329999999999998</v>
      </c>
      <c r="C141" s="8">
        <v>19.149999999999999</v>
      </c>
      <c r="D141" s="8">
        <v>17.600000000000001</v>
      </c>
      <c r="E141" s="8">
        <v>15.69</v>
      </c>
      <c r="F141" s="8">
        <v>17.72</v>
      </c>
      <c r="G141" s="8">
        <v>21.98</v>
      </c>
      <c r="H141" s="8">
        <v>24.01</v>
      </c>
      <c r="I141" s="8">
        <v>25.22</v>
      </c>
      <c r="J141" s="8">
        <v>19.55</v>
      </c>
      <c r="K141" s="8">
        <v>28.71</v>
      </c>
      <c r="L141" s="8">
        <v>15.59</v>
      </c>
      <c r="M141" s="8">
        <v>53.81</v>
      </c>
      <c r="N141" s="8">
        <v>21.98</v>
      </c>
      <c r="O141" s="8">
        <v>22.35</v>
      </c>
      <c r="P141" s="8">
        <v>21.32</v>
      </c>
      <c r="Q141" s="8">
        <v>24.66</v>
      </c>
      <c r="R141" s="8">
        <v>17.68</v>
      </c>
      <c r="S141" s="8">
        <v>23.26</v>
      </c>
      <c r="X141" s="8">
        <v>22.73</v>
      </c>
      <c r="Y141" s="8">
        <v>20.07</v>
      </c>
      <c r="AC141" s="8">
        <v>24.7</v>
      </c>
      <c r="AE141" s="8">
        <v>26.65</v>
      </c>
      <c r="AG141" s="8">
        <v>16.03</v>
      </c>
      <c r="AH141" s="8">
        <v>17.02</v>
      </c>
      <c r="AI141" s="8">
        <v>14.87</v>
      </c>
      <c r="AJ141" s="8">
        <v>6.54</v>
      </c>
      <c r="AK141" s="8">
        <v>17.45</v>
      </c>
      <c r="AL141" s="8">
        <v>14.22</v>
      </c>
      <c r="AM141" s="8">
        <v>33.08</v>
      </c>
      <c r="AN141" s="8">
        <v>13.09</v>
      </c>
      <c r="AO141" s="8">
        <v>1.19</v>
      </c>
      <c r="AP141" s="8">
        <v>1.19</v>
      </c>
      <c r="AQ141" s="8">
        <v>48.85</v>
      </c>
      <c r="AV141" s="8">
        <v>61.74</v>
      </c>
      <c r="AW141" s="8">
        <v>74.27</v>
      </c>
      <c r="AX141" s="8">
        <v>55.28</v>
      </c>
      <c r="AY141" s="8">
        <v>58.6</v>
      </c>
      <c r="BB141" s="8">
        <v>14.28</v>
      </c>
      <c r="BC141" s="8">
        <v>16.38</v>
      </c>
      <c r="BD141" s="8">
        <v>16.23</v>
      </c>
      <c r="BE141" s="8">
        <v>16.23</v>
      </c>
      <c r="BI141" s="8">
        <v>19.54</v>
      </c>
      <c r="BK141" s="8">
        <v>11.14</v>
      </c>
      <c r="BM141" s="8">
        <v>11.47</v>
      </c>
      <c r="BO141" s="8">
        <v>33.020000000000003</v>
      </c>
      <c r="BP141" s="8">
        <v>30.05</v>
      </c>
      <c r="BQ141" s="8">
        <v>32.03</v>
      </c>
      <c r="BR141" s="8">
        <v>22.79</v>
      </c>
      <c r="BS141" s="8">
        <v>56.67</v>
      </c>
      <c r="BT141" s="8">
        <v>56.67</v>
      </c>
      <c r="BV141" s="8">
        <v>67.52</v>
      </c>
      <c r="BW141" s="8">
        <v>77.02</v>
      </c>
      <c r="BY141" s="8">
        <v>31.58</v>
      </c>
      <c r="CA141" s="8">
        <v>32.9</v>
      </c>
      <c r="CB141" s="8">
        <v>38.409999999999997</v>
      </c>
      <c r="CF141" s="8">
        <v>15.33</v>
      </c>
      <c r="CJ141" s="8">
        <v>22.54</v>
      </c>
      <c r="CL141" s="8">
        <v>7.83</v>
      </c>
      <c r="CM141" s="8">
        <v>7.39</v>
      </c>
      <c r="CN141" s="8">
        <v>11.41</v>
      </c>
      <c r="CO141" s="8">
        <v>21.29</v>
      </c>
      <c r="CP141" s="8">
        <v>22.09</v>
      </c>
      <c r="CQ141" s="8">
        <v>42.9</v>
      </c>
      <c r="CR141" s="8">
        <v>29.88</v>
      </c>
      <c r="CS141" s="8">
        <v>17.61</v>
      </c>
      <c r="CT141" s="8">
        <v>19.899999999999999</v>
      </c>
      <c r="CU141" s="8">
        <v>12.5</v>
      </c>
      <c r="CV141" s="8">
        <v>13.54</v>
      </c>
      <c r="CW141" s="8">
        <v>13.54</v>
      </c>
      <c r="CX141" s="8">
        <v>69.47</v>
      </c>
      <c r="CY141" s="8">
        <v>69.47</v>
      </c>
      <c r="CZ141" s="8">
        <v>17.61</v>
      </c>
      <c r="DA141" s="8">
        <v>76.98</v>
      </c>
      <c r="DD141" s="8">
        <v>2240.94</v>
      </c>
      <c r="DO141" s="8">
        <v>19.52</v>
      </c>
      <c r="ED141" s="9">
        <v>2.4</v>
      </c>
      <c r="EE141" s="9">
        <v>2.1</v>
      </c>
      <c r="EF141" s="9">
        <v>2.8</v>
      </c>
      <c r="EG141" s="9">
        <v>3.6</v>
      </c>
      <c r="EH141" s="9">
        <v>2.2000000000000002</v>
      </c>
      <c r="EI141" s="9">
        <v>0.5</v>
      </c>
      <c r="EJ141" s="9">
        <v>5</v>
      </c>
      <c r="EK141" s="9">
        <v>1.5</v>
      </c>
      <c r="EL141" s="9">
        <v>-0.2</v>
      </c>
      <c r="EM141" s="9">
        <v>3.2</v>
      </c>
      <c r="EN141" s="9">
        <v>2.9</v>
      </c>
      <c r="EO141" s="9">
        <v>5.7</v>
      </c>
      <c r="EP141" s="9">
        <v>2.6</v>
      </c>
      <c r="EQ141" s="9">
        <v>0.9</v>
      </c>
      <c r="ER141" s="9">
        <v>2.7</v>
      </c>
      <c r="ES141" s="9">
        <v>2.8</v>
      </c>
      <c r="ET141" s="9">
        <v>2.6</v>
      </c>
      <c r="EU141" s="9">
        <v>1.8</v>
      </c>
      <c r="EZ141" s="9">
        <v>4.2</v>
      </c>
      <c r="FA141" s="9">
        <v>1.4</v>
      </c>
      <c r="FE141" s="9">
        <v>1.6</v>
      </c>
      <c r="FG141" s="9">
        <v>-2</v>
      </c>
      <c r="FI141" s="9">
        <v>2.5</v>
      </c>
      <c r="FJ141" s="9">
        <v>1.8</v>
      </c>
      <c r="FK141" s="9">
        <v>3</v>
      </c>
      <c r="FL141" s="9">
        <v>2.2000000000000002</v>
      </c>
      <c r="FM141" s="9">
        <v>2.5</v>
      </c>
      <c r="FN141" s="9">
        <v>0.9</v>
      </c>
      <c r="FO141" s="9">
        <v>0.5</v>
      </c>
      <c r="FP141" s="9">
        <v>3.4</v>
      </c>
      <c r="FQ141" s="9">
        <v>0.8</v>
      </c>
      <c r="FR141" s="9">
        <v>0.8</v>
      </c>
      <c r="FS141" s="9">
        <v>0.9</v>
      </c>
      <c r="FX141" s="9">
        <v>1.3</v>
      </c>
      <c r="FY141" s="9">
        <v>2.8</v>
      </c>
      <c r="FZ141" s="9">
        <v>0.4</v>
      </c>
      <c r="GA141" s="9">
        <v>1.1000000000000001</v>
      </c>
      <c r="GD141" s="9">
        <v>4.0999999999999996</v>
      </c>
      <c r="GE141" s="9">
        <v>2.2999999999999998</v>
      </c>
      <c r="GF141" s="9">
        <v>1.8</v>
      </c>
      <c r="GG141" s="9">
        <v>1.8</v>
      </c>
      <c r="GK141" s="9">
        <v>2.7</v>
      </c>
      <c r="GM141" s="9">
        <v>6.9</v>
      </c>
      <c r="GO141" s="9">
        <v>8.9</v>
      </c>
      <c r="GQ141" s="9">
        <v>2.7</v>
      </c>
      <c r="GR141" s="9">
        <v>1</v>
      </c>
      <c r="GS141" s="9">
        <v>1</v>
      </c>
      <c r="GT141" s="9">
        <v>0.8</v>
      </c>
      <c r="GU141" s="9">
        <v>0.9</v>
      </c>
      <c r="GV141" s="9">
        <v>0.9</v>
      </c>
      <c r="GX141" s="9">
        <v>1</v>
      </c>
      <c r="GY141" s="9">
        <v>1</v>
      </c>
      <c r="HA141" s="9">
        <v>3.6</v>
      </c>
      <c r="HC141" s="9">
        <v>3</v>
      </c>
      <c r="HD141" s="9">
        <v>2.7</v>
      </c>
      <c r="HH141" s="9">
        <v>2.6</v>
      </c>
      <c r="HL141" s="9">
        <v>3.1</v>
      </c>
      <c r="HN141" s="9">
        <v>0.4</v>
      </c>
      <c r="HO141" s="9">
        <v>0</v>
      </c>
      <c r="HP141" s="9">
        <v>3.1</v>
      </c>
      <c r="HQ141" s="9">
        <v>3.7</v>
      </c>
      <c r="HR141" s="9">
        <v>3.8</v>
      </c>
      <c r="HS141" s="9">
        <v>2.2999999999999998</v>
      </c>
      <c r="HT141" s="9">
        <v>0.3</v>
      </c>
      <c r="HU141" s="9">
        <v>7.4</v>
      </c>
      <c r="HV141" s="9">
        <v>1.6</v>
      </c>
      <c r="HW141" s="9">
        <v>5.8</v>
      </c>
      <c r="HX141" s="9">
        <v>1.1000000000000001</v>
      </c>
      <c r="HY141" s="9">
        <v>1.1000000000000001</v>
      </c>
      <c r="HZ141" s="9">
        <v>0</v>
      </c>
      <c r="IA141" s="9">
        <v>0</v>
      </c>
      <c r="IB141" s="9">
        <v>0</v>
      </c>
      <c r="IC141" s="9">
        <v>0</v>
      </c>
      <c r="IF141" s="9">
        <v>0.3</v>
      </c>
      <c r="IQ141" s="9">
        <v>-1.3</v>
      </c>
    </row>
    <row r="142" spans="1:251" x14ac:dyDescent="0.2">
      <c r="A142" s="10">
        <v>29738</v>
      </c>
      <c r="B142" s="8">
        <v>19.760000000000002</v>
      </c>
      <c r="C142" s="8">
        <v>19.399999999999999</v>
      </c>
      <c r="D142" s="8">
        <v>18.010000000000002</v>
      </c>
      <c r="E142" s="8">
        <v>15.94</v>
      </c>
      <c r="F142" s="8">
        <v>18.18</v>
      </c>
      <c r="G142" s="8">
        <v>22.71</v>
      </c>
      <c r="H142" s="8">
        <v>24.82</v>
      </c>
      <c r="I142" s="8">
        <v>25.22</v>
      </c>
      <c r="J142" s="8">
        <v>19.45</v>
      </c>
      <c r="K142" s="8">
        <v>28.88</v>
      </c>
      <c r="L142" s="8">
        <v>15.82</v>
      </c>
      <c r="M142" s="8">
        <v>54.44</v>
      </c>
      <c r="N142" s="8">
        <v>22.05</v>
      </c>
      <c r="O142" s="8">
        <v>21.64</v>
      </c>
      <c r="P142" s="8">
        <v>21.93</v>
      </c>
      <c r="Q142" s="8">
        <v>25.26</v>
      </c>
      <c r="R142" s="8">
        <v>18.32</v>
      </c>
      <c r="S142" s="8">
        <v>23.92</v>
      </c>
      <c r="X142" s="8">
        <v>23.86</v>
      </c>
      <c r="Y142" s="8">
        <v>20.22</v>
      </c>
      <c r="AC142" s="8">
        <v>24.89</v>
      </c>
      <c r="AE142" s="8">
        <v>26.15</v>
      </c>
      <c r="AG142" s="8">
        <v>16.32</v>
      </c>
      <c r="AH142" s="8">
        <v>17.29</v>
      </c>
      <c r="AI142" s="8">
        <v>15.18</v>
      </c>
      <c r="AJ142" s="8">
        <v>6.65</v>
      </c>
      <c r="AK142" s="8">
        <v>17.73</v>
      </c>
      <c r="AL142" s="8">
        <v>14.3</v>
      </c>
      <c r="AM142" s="8">
        <v>33.78</v>
      </c>
      <c r="AN142" s="8">
        <v>13.34</v>
      </c>
      <c r="AO142" s="8">
        <v>1.21</v>
      </c>
      <c r="AP142" s="8">
        <v>1.21</v>
      </c>
      <c r="AQ142" s="8">
        <v>50.29</v>
      </c>
      <c r="AV142" s="8">
        <v>63.75</v>
      </c>
      <c r="AW142" s="8">
        <v>75.22</v>
      </c>
      <c r="AX142" s="8">
        <v>58.04</v>
      </c>
      <c r="AY142" s="8">
        <v>60.12</v>
      </c>
      <c r="BB142" s="8">
        <v>14.78</v>
      </c>
      <c r="BC142" s="8">
        <v>16.82</v>
      </c>
      <c r="BD142" s="8">
        <v>16.559999999999999</v>
      </c>
      <c r="BE142" s="8">
        <v>16.559999999999999</v>
      </c>
      <c r="BI142" s="8">
        <v>19.82</v>
      </c>
      <c r="BK142" s="8">
        <v>11.24</v>
      </c>
      <c r="BM142" s="8">
        <v>11.57</v>
      </c>
      <c r="BO142" s="8">
        <v>33.520000000000003</v>
      </c>
      <c r="BP142" s="8">
        <v>30.58</v>
      </c>
      <c r="BQ142" s="8">
        <v>32.47</v>
      </c>
      <c r="BR142" s="8">
        <v>23.45</v>
      </c>
      <c r="BS142" s="8">
        <v>57.84</v>
      </c>
      <c r="BT142" s="8">
        <v>57.84</v>
      </c>
      <c r="BV142" s="8">
        <v>68.7</v>
      </c>
      <c r="BW142" s="8">
        <v>78.36</v>
      </c>
      <c r="BY142" s="8">
        <v>32.14</v>
      </c>
      <c r="CA142" s="8">
        <v>32.9</v>
      </c>
      <c r="CB142" s="8">
        <v>38.909999999999997</v>
      </c>
      <c r="CF142" s="8">
        <v>15.66</v>
      </c>
      <c r="CJ142" s="8">
        <v>22.96</v>
      </c>
      <c r="CL142" s="8">
        <v>7.88</v>
      </c>
      <c r="CM142" s="8">
        <v>7.41</v>
      </c>
      <c r="CN142" s="8">
        <v>11.67</v>
      </c>
      <c r="CO142" s="8">
        <v>22.12</v>
      </c>
      <c r="CP142" s="8">
        <v>23.04</v>
      </c>
      <c r="CQ142" s="8">
        <v>43.67</v>
      </c>
      <c r="CR142" s="8">
        <v>30.52</v>
      </c>
      <c r="CS142" s="8">
        <v>19.3</v>
      </c>
      <c r="CT142" s="8">
        <v>20.260000000000002</v>
      </c>
      <c r="CU142" s="8">
        <v>12.59</v>
      </c>
      <c r="CV142" s="8">
        <v>13.54</v>
      </c>
      <c r="CW142" s="8">
        <v>13.54</v>
      </c>
      <c r="CX142" s="8">
        <v>68.81</v>
      </c>
      <c r="CY142" s="8">
        <v>68.81</v>
      </c>
      <c r="CZ142" s="8">
        <v>17.57</v>
      </c>
      <c r="DA142" s="8">
        <v>76.040000000000006</v>
      </c>
      <c r="DD142" s="8">
        <v>2244.67</v>
      </c>
      <c r="DO142" s="8">
        <v>19.7</v>
      </c>
      <c r="ED142" s="9">
        <v>2.2000000000000002</v>
      </c>
      <c r="EE142" s="9">
        <v>1.3</v>
      </c>
      <c r="EF142" s="9">
        <v>2.2999999999999998</v>
      </c>
      <c r="EG142" s="9">
        <v>1.6</v>
      </c>
      <c r="EH142" s="9">
        <v>2.6</v>
      </c>
      <c r="EI142" s="9">
        <v>3.3</v>
      </c>
      <c r="EJ142" s="9">
        <v>3.4</v>
      </c>
      <c r="EK142" s="9">
        <v>0</v>
      </c>
      <c r="EL142" s="9">
        <v>-0.5</v>
      </c>
      <c r="EM142" s="9">
        <v>0.6</v>
      </c>
      <c r="EN142" s="9">
        <v>1.5</v>
      </c>
      <c r="EO142" s="9">
        <v>1.2</v>
      </c>
      <c r="EP142" s="9">
        <v>0.3</v>
      </c>
      <c r="EQ142" s="9">
        <v>-3.2</v>
      </c>
      <c r="ER142" s="9">
        <v>2.9</v>
      </c>
      <c r="ES142" s="9">
        <v>2.4</v>
      </c>
      <c r="ET142" s="9">
        <v>3.6</v>
      </c>
      <c r="EU142" s="9">
        <v>2.8</v>
      </c>
      <c r="EZ142" s="9">
        <v>5</v>
      </c>
      <c r="FA142" s="9">
        <v>0.7</v>
      </c>
      <c r="FE142" s="9">
        <v>0.8</v>
      </c>
      <c r="FG142" s="9">
        <v>-1.9</v>
      </c>
      <c r="FI142" s="9">
        <v>1.8</v>
      </c>
      <c r="FJ142" s="9">
        <v>1.6</v>
      </c>
      <c r="FK142" s="9">
        <v>2.1</v>
      </c>
      <c r="FL142" s="9">
        <v>1.7</v>
      </c>
      <c r="FM142" s="9">
        <v>1.6</v>
      </c>
      <c r="FN142" s="9">
        <v>0.6</v>
      </c>
      <c r="FO142" s="9">
        <v>2.1</v>
      </c>
      <c r="FP142" s="9">
        <v>1.9</v>
      </c>
      <c r="FQ142" s="9">
        <v>1.7</v>
      </c>
      <c r="FR142" s="9">
        <v>1.7</v>
      </c>
      <c r="FS142" s="9">
        <v>2.9</v>
      </c>
      <c r="FX142" s="9">
        <v>3.3</v>
      </c>
      <c r="FY142" s="9">
        <v>1.3</v>
      </c>
      <c r="FZ142" s="9">
        <v>5</v>
      </c>
      <c r="GA142" s="9">
        <v>2.6</v>
      </c>
      <c r="GD142" s="9">
        <v>3.5</v>
      </c>
      <c r="GE142" s="9">
        <v>2.7</v>
      </c>
      <c r="GF142" s="9">
        <v>2</v>
      </c>
      <c r="GG142" s="9">
        <v>2</v>
      </c>
      <c r="GK142" s="9">
        <v>1.4</v>
      </c>
      <c r="GM142" s="9">
        <v>0.9</v>
      </c>
      <c r="GO142" s="9">
        <v>0.9</v>
      </c>
      <c r="GQ142" s="9">
        <v>1.5</v>
      </c>
      <c r="GR142" s="9">
        <v>1.8</v>
      </c>
      <c r="GS142" s="9">
        <v>1.4</v>
      </c>
      <c r="GT142" s="9">
        <v>2.9</v>
      </c>
      <c r="GU142" s="9">
        <v>2.1</v>
      </c>
      <c r="GV142" s="9">
        <v>2.1</v>
      </c>
      <c r="GX142" s="9">
        <v>1.7</v>
      </c>
      <c r="GY142" s="9">
        <v>1.7</v>
      </c>
      <c r="HA142" s="9">
        <v>1.8</v>
      </c>
      <c r="HC142" s="9">
        <v>0</v>
      </c>
      <c r="HD142" s="9">
        <v>1.3</v>
      </c>
      <c r="HH142" s="9">
        <v>2.2000000000000002</v>
      </c>
      <c r="HL142" s="9">
        <v>1.9</v>
      </c>
      <c r="HN142" s="9">
        <v>0.6</v>
      </c>
      <c r="HO142" s="9">
        <v>0.3</v>
      </c>
      <c r="HP142" s="9">
        <v>2.2999999999999998</v>
      </c>
      <c r="HQ142" s="9">
        <v>3.9</v>
      </c>
      <c r="HR142" s="9">
        <v>4.3</v>
      </c>
      <c r="HS142" s="9">
        <v>1.8</v>
      </c>
      <c r="HT142" s="9">
        <v>2.1</v>
      </c>
      <c r="HU142" s="9">
        <v>9.6</v>
      </c>
      <c r="HV142" s="9">
        <v>1.8</v>
      </c>
      <c r="HW142" s="9">
        <v>0.7</v>
      </c>
      <c r="HX142" s="9">
        <v>0</v>
      </c>
      <c r="HY142" s="9">
        <v>0</v>
      </c>
      <c r="HZ142" s="9">
        <v>-1</v>
      </c>
      <c r="IA142" s="9">
        <v>-1</v>
      </c>
      <c r="IB142" s="9">
        <v>-0.2</v>
      </c>
      <c r="IC142" s="9">
        <v>-1.2</v>
      </c>
      <c r="IF142" s="9">
        <v>0.2</v>
      </c>
      <c r="IQ142" s="9">
        <v>0.9</v>
      </c>
    </row>
    <row r="143" spans="1:251" x14ac:dyDescent="0.2">
      <c r="A143" s="10">
        <v>29830</v>
      </c>
      <c r="B143" s="8">
        <v>20.14</v>
      </c>
      <c r="C143" s="8">
        <v>20.100000000000001</v>
      </c>
      <c r="D143" s="8">
        <v>18.45</v>
      </c>
      <c r="E143" s="8">
        <v>16.309999999999999</v>
      </c>
      <c r="F143" s="8">
        <v>18.600000000000001</v>
      </c>
      <c r="G143" s="8">
        <v>23.75</v>
      </c>
      <c r="H143" s="8">
        <v>24.77</v>
      </c>
      <c r="I143" s="8">
        <v>25.63</v>
      </c>
      <c r="J143" s="8">
        <v>19.510000000000002</v>
      </c>
      <c r="K143" s="8">
        <v>29.94</v>
      </c>
      <c r="L143" s="8">
        <v>16.59</v>
      </c>
      <c r="M143" s="8">
        <v>55.68</v>
      </c>
      <c r="N143" s="8">
        <v>22.15</v>
      </c>
      <c r="O143" s="8">
        <v>21.69</v>
      </c>
      <c r="P143" s="8">
        <v>22.54</v>
      </c>
      <c r="Q143" s="8">
        <v>25.83</v>
      </c>
      <c r="R143" s="8">
        <v>18.760000000000002</v>
      </c>
      <c r="S143" s="8">
        <v>24.58</v>
      </c>
      <c r="X143" s="8">
        <v>23.86</v>
      </c>
      <c r="Y143" s="8">
        <v>19.73</v>
      </c>
      <c r="AC143" s="8">
        <v>25.96</v>
      </c>
      <c r="AE143" s="8">
        <v>25.7</v>
      </c>
      <c r="AG143" s="8">
        <v>16.71</v>
      </c>
      <c r="AH143" s="8">
        <v>17.7</v>
      </c>
      <c r="AI143" s="8">
        <v>15.49</v>
      </c>
      <c r="AJ143" s="8">
        <v>6.85</v>
      </c>
      <c r="AK143" s="8">
        <v>18.27</v>
      </c>
      <c r="AL143" s="8">
        <v>14.69</v>
      </c>
      <c r="AM143" s="8">
        <v>34.07</v>
      </c>
      <c r="AN143" s="8">
        <v>13.78</v>
      </c>
      <c r="AO143" s="8">
        <v>1.26</v>
      </c>
      <c r="AP143" s="8">
        <v>1.26</v>
      </c>
      <c r="AQ143" s="8">
        <v>50.74</v>
      </c>
      <c r="AV143" s="8">
        <v>63.86</v>
      </c>
      <c r="AW143" s="8">
        <v>75.569999999999993</v>
      </c>
      <c r="AX143" s="8">
        <v>58.37</v>
      </c>
      <c r="AY143" s="8">
        <v>59.51</v>
      </c>
      <c r="BB143" s="8">
        <v>15.37</v>
      </c>
      <c r="BC143" s="8">
        <v>17.23</v>
      </c>
      <c r="BD143" s="8">
        <v>16.989999999999998</v>
      </c>
      <c r="BE143" s="8">
        <v>16.989999999999998</v>
      </c>
      <c r="BI143" s="8">
        <v>20.32</v>
      </c>
      <c r="BK143" s="8">
        <v>11.69</v>
      </c>
      <c r="BM143" s="8">
        <v>12.05</v>
      </c>
      <c r="BO143" s="8">
        <v>34.33</v>
      </c>
      <c r="BP143" s="8">
        <v>30.82</v>
      </c>
      <c r="BQ143" s="8">
        <v>32.72</v>
      </c>
      <c r="BR143" s="8">
        <v>23.67</v>
      </c>
      <c r="BS143" s="8">
        <v>59.11</v>
      </c>
      <c r="BT143" s="8">
        <v>59.11</v>
      </c>
      <c r="BV143" s="8">
        <v>69.87</v>
      </c>
      <c r="BW143" s="8">
        <v>79.7</v>
      </c>
      <c r="BY143" s="8">
        <v>32.76</v>
      </c>
      <c r="CA143" s="8">
        <v>34.18</v>
      </c>
      <c r="CB143" s="8">
        <v>39.479999999999997</v>
      </c>
      <c r="CF143" s="8">
        <v>15.97</v>
      </c>
      <c r="CJ143" s="8">
        <v>23.37</v>
      </c>
      <c r="CL143" s="8">
        <v>7.92</v>
      </c>
      <c r="CM143" s="8">
        <v>7.42</v>
      </c>
      <c r="CN143" s="8">
        <v>11.93</v>
      </c>
      <c r="CO143" s="8">
        <v>22.12</v>
      </c>
      <c r="CP143" s="8">
        <v>22.9</v>
      </c>
      <c r="CQ143" s="8">
        <v>44.73</v>
      </c>
      <c r="CR143" s="8">
        <v>30.47</v>
      </c>
      <c r="CS143" s="8">
        <v>18.14</v>
      </c>
      <c r="CT143" s="8">
        <v>20.7</v>
      </c>
      <c r="CU143" s="8">
        <v>12.69</v>
      </c>
      <c r="CV143" s="8">
        <v>14.01</v>
      </c>
      <c r="CW143" s="8">
        <v>14.01</v>
      </c>
      <c r="CX143" s="8">
        <v>70.349999999999994</v>
      </c>
      <c r="CY143" s="8">
        <v>70.349999999999994</v>
      </c>
      <c r="CZ143" s="8">
        <v>19.09</v>
      </c>
      <c r="DA143" s="8">
        <v>76.040000000000006</v>
      </c>
      <c r="DD143" s="8">
        <v>2235.33</v>
      </c>
      <c r="DO143" s="8">
        <v>19.739999999999998</v>
      </c>
      <c r="ED143" s="9">
        <v>1.9</v>
      </c>
      <c r="EE143" s="9">
        <v>3.6</v>
      </c>
      <c r="EF143" s="9">
        <v>2.4</v>
      </c>
      <c r="EG143" s="9">
        <v>2.2999999999999998</v>
      </c>
      <c r="EH143" s="9">
        <v>2.2999999999999998</v>
      </c>
      <c r="EI143" s="9">
        <v>4.5999999999999996</v>
      </c>
      <c r="EJ143" s="9">
        <v>-0.2</v>
      </c>
      <c r="EK143" s="9">
        <v>1.6</v>
      </c>
      <c r="EL143" s="9">
        <v>0.3</v>
      </c>
      <c r="EM143" s="9">
        <v>3.7</v>
      </c>
      <c r="EN143" s="9">
        <v>4.9000000000000004</v>
      </c>
      <c r="EO143" s="9">
        <v>2.2999999999999998</v>
      </c>
      <c r="EP143" s="9">
        <v>0.5</v>
      </c>
      <c r="EQ143" s="9">
        <v>0.2</v>
      </c>
      <c r="ER143" s="9">
        <v>2.8</v>
      </c>
      <c r="ES143" s="9">
        <v>2.2999999999999998</v>
      </c>
      <c r="ET143" s="9">
        <v>2.4</v>
      </c>
      <c r="EU143" s="9">
        <v>2.8</v>
      </c>
      <c r="EZ143" s="9">
        <v>0</v>
      </c>
      <c r="FA143" s="9">
        <v>-2.4</v>
      </c>
      <c r="FE143" s="9">
        <v>4.3</v>
      </c>
      <c r="FG143" s="9">
        <v>-1.7</v>
      </c>
      <c r="FI143" s="9">
        <v>2.4</v>
      </c>
      <c r="FJ143" s="9">
        <v>2.4</v>
      </c>
      <c r="FK143" s="9">
        <v>2</v>
      </c>
      <c r="FL143" s="9">
        <v>3</v>
      </c>
      <c r="FM143" s="9">
        <v>3</v>
      </c>
      <c r="FN143" s="9">
        <v>2.7</v>
      </c>
      <c r="FO143" s="9">
        <v>0.9</v>
      </c>
      <c r="FP143" s="9">
        <v>3.3</v>
      </c>
      <c r="FQ143" s="9">
        <v>4.0999999999999996</v>
      </c>
      <c r="FR143" s="9">
        <v>4.0999999999999996</v>
      </c>
      <c r="FS143" s="9">
        <v>0.9</v>
      </c>
      <c r="FX143" s="9">
        <v>0.2</v>
      </c>
      <c r="FY143" s="9">
        <v>0.5</v>
      </c>
      <c r="FZ143" s="9">
        <v>0.6</v>
      </c>
      <c r="GA143" s="9">
        <v>-1</v>
      </c>
      <c r="GD143" s="9">
        <v>4</v>
      </c>
      <c r="GE143" s="9">
        <v>2.4</v>
      </c>
      <c r="GF143" s="9">
        <v>2.6</v>
      </c>
      <c r="GG143" s="9">
        <v>2.6</v>
      </c>
      <c r="GK143" s="9">
        <v>2.5</v>
      </c>
      <c r="GM143" s="9">
        <v>4</v>
      </c>
      <c r="GO143" s="9">
        <v>4.0999999999999996</v>
      </c>
      <c r="GQ143" s="9">
        <v>2.4</v>
      </c>
      <c r="GR143" s="9">
        <v>0.8</v>
      </c>
      <c r="GS143" s="9">
        <v>0.8</v>
      </c>
      <c r="GT143" s="9">
        <v>0.9</v>
      </c>
      <c r="GU143" s="9">
        <v>2.2000000000000002</v>
      </c>
      <c r="GV143" s="9">
        <v>2.2000000000000002</v>
      </c>
      <c r="GX143" s="9">
        <v>1.7</v>
      </c>
      <c r="GY143" s="9">
        <v>1.7</v>
      </c>
      <c r="HA143" s="9">
        <v>1.9</v>
      </c>
      <c r="HC143" s="9">
        <v>3.9</v>
      </c>
      <c r="HD143" s="9">
        <v>1.5</v>
      </c>
      <c r="HH143" s="9">
        <v>2</v>
      </c>
      <c r="HL143" s="9">
        <v>1.8</v>
      </c>
      <c r="HN143" s="9">
        <v>0.5</v>
      </c>
      <c r="HO143" s="9">
        <v>0.1</v>
      </c>
      <c r="HP143" s="9">
        <v>2.2000000000000002</v>
      </c>
      <c r="HQ143" s="9">
        <v>0</v>
      </c>
      <c r="HR143" s="9">
        <v>-0.6</v>
      </c>
      <c r="HS143" s="9">
        <v>2.4</v>
      </c>
      <c r="HT143" s="9">
        <v>-0.2</v>
      </c>
      <c r="HU143" s="9">
        <v>-6</v>
      </c>
      <c r="HV143" s="9">
        <v>2.2000000000000002</v>
      </c>
      <c r="HW143" s="9">
        <v>0.8</v>
      </c>
      <c r="HX143" s="9">
        <v>3.5</v>
      </c>
      <c r="HY143" s="9">
        <v>3.5</v>
      </c>
      <c r="HZ143" s="9">
        <v>2.2000000000000002</v>
      </c>
      <c r="IA143" s="9">
        <v>2.2000000000000002</v>
      </c>
      <c r="IB143" s="9">
        <v>8.6999999999999993</v>
      </c>
      <c r="IC143" s="9">
        <v>0</v>
      </c>
      <c r="IF143" s="9">
        <v>-0.4</v>
      </c>
      <c r="IQ143" s="9">
        <v>0.2</v>
      </c>
    </row>
    <row r="144" spans="1:251" x14ac:dyDescent="0.2">
      <c r="A144" s="10">
        <v>29921</v>
      </c>
      <c r="B144" s="8">
        <v>20.99</v>
      </c>
      <c r="C144" s="8">
        <v>20.420000000000002</v>
      </c>
      <c r="D144" s="8">
        <v>19</v>
      </c>
      <c r="E144" s="8">
        <v>16.809999999999999</v>
      </c>
      <c r="F144" s="8">
        <v>19.170000000000002</v>
      </c>
      <c r="G144" s="8">
        <v>24.54</v>
      </c>
      <c r="H144" s="8">
        <v>25.82</v>
      </c>
      <c r="I144" s="8">
        <v>25.63</v>
      </c>
      <c r="J144" s="8">
        <v>19.510000000000002</v>
      </c>
      <c r="K144" s="8">
        <v>31.17</v>
      </c>
      <c r="L144" s="8">
        <v>15.62</v>
      </c>
      <c r="M144" s="8">
        <v>57.24</v>
      </c>
      <c r="N144" s="8">
        <v>22.43</v>
      </c>
      <c r="O144" s="8">
        <v>22.21</v>
      </c>
      <c r="P144" s="8">
        <v>23.34</v>
      </c>
      <c r="Q144" s="8">
        <v>26.67</v>
      </c>
      <c r="R144" s="8">
        <v>19.7</v>
      </c>
      <c r="S144" s="8">
        <v>24.74</v>
      </c>
      <c r="X144" s="8">
        <v>23.89</v>
      </c>
      <c r="Y144" s="8">
        <v>20.07</v>
      </c>
      <c r="AC144" s="8">
        <v>27.51</v>
      </c>
      <c r="AE144" s="8">
        <v>26.11</v>
      </c>
      <c r="AG144" s="8">
        <v>17.170000000000002</v>
      </c>
      <c r="AH144" s="8">
        <v>18.23</v>
      </c>
      <c r="AI144" s="8">
        <v>15.87</v>
      </c>
      <c r="AJ144" s="8">
        <v>6.97</v>
      </c>
      <c r="AK144" s="8">
        <v>18.55</v>
      </c>
      <c r="AL144" s="8">
        <v>15.02</v>
      </c>
      <c r="AM144" s="8">
        <v>34.19</v>
      </c>
      <c r="AN144" s="8">
        <v>13.99</v>
      </c>
      <c r="AO144" s="8">
        <v>1.28</v>
      </c>
      <c r="AP144" s="8">
        <v>1.28</v>
      </c>
      <c r="AQ144" s="8">
        <v>52.09</v>
      </c>
      <c r="AV144" s="8">
        <v>65.2</v>
      </c>
      <c r="AW144" s="8">
        <v>76.28</v>
      </c>
      <c r="AX144" s="8">
        <v>59.36</v>
      </c>
      <c r="AY144" s="8">
        <v>61.64</v>
      </c>
      <c r="BB144" s="8">
        <v>15.52</v>
      </c>
      <c r="BC144" s="8">
        <v>17.78</v>
      </c>
      <c r="BD144" s="8">
        <v>17.43</v>
      </c>
      <c r="BE144" s="8">
        <v>17.43</v>
      </c>
      <c r="BI144" s="8">
        <v>20.61</v>
      </c>
      <c r="BK144" s="8">
        <v>12.05</v>
      </c>
      <c r="BM144" s="8">
        <v>12.31</v>
      </c>
      <c r="BO144" s="8">
        <v>35.520000000000003</v>
      </c>
      <c r="BP144" s="8">
        <v>31.93</v>
      </c>
      <c r="BQ144" s="8">
        <v>34.04</v>
      </c>
      <c r="BR144" s="8">
        <v>24.25</v>
      </c>
      <c r="BS144" s="8">
        <v>60.17</v>
      </c>
      <c r="BT144" s="8">
        <v>60.17</v>
      </c>
      <c r="BV144" s="8">
        <v>71.34</v>
      </c>
      <c r="BW144" s="8">
        <v>81.37</v>
      </c>
      <c r="BY144" s="8">
        <v>33.32</v>
      </c>
      <c r="CA144" s="8">
        <v>35.659999999999997</v>
      </c>
      <c r="CB144" s="8">
        <v>40.270000000000003</v>
      </c>
      <c r="CF144" s="8">
        <v>16.48</v>
      </c>
      <c r="CJ144" s="8">
        <v>24.14</v>
      </c>
      <c r="CL144" s="8">
        <v>11.34</v>
      </c>
      <c r="CM144" s="8">
        <v>11.27</v>
      </c>
      <c r="CN144" s="8">
        <v>12.11</v>
      </c>
      <c r="CO144" s="8">
        <v>23.13</v>
      </c>
      <c r="CP144" s="8">
        <v>23.85</v>
      </c>
      <c r="CQ144" s="8">
        <v>46.56</v>
      </c>
      <c r="CR144" s="8">
        <v>31.11</v>
      </c>
      <c r="CS144" s="8">
        <v>18.95</v>
      </c>
      <c r="CT144" s="8">
        <v>21.46</v>
      </c>
      <c r="CU144" s="8">
        <v>13.48</v>
      </c>
      <c r="CV144" s="8">
        <v>15.31</v>
      </c>
      <c r="CW144" s="8">
        <v>15.31</v>
      </c>
      <c r="CX144" s="8">
        <v>73.760000000000005</v>
      </c>
      <c r="CY144" s="8">
        <v>73.760000000000005</v>
      </c>
      <c r="CZ144" s="8">
        <v>19.149999999999999</v>
      </c>
      <c r="DA144" s="8">
        <v>81.2</v>
      </c>
      <c r="DD144" s="8">
        <v>2313.83</v>
      </c>
      <c r="DO144" s="8">
        <v>23.13</v>
      </c>
      <c r="ED144" s="9">
        <v>4.2</v>
      </c>
      <c r="EE144" s="9">
        <v>1.6</v>
      </c>
      <c r="EF144" s="9">
        <v>3</v>
      </c>
      <c r="EG144" s="9">
        <v>3.1</v>
      </c>
      <c r="EH144" s="9">
        <v>3.1</v>
      </c>
      <c r="EI144" s="9">
        <v>3.3</v>
      </c>
      <c r="EJ144" s="9">
        <v>4.2</v>
      </c>
      <c r="EK144" s="9">
        <v>0</v>
      </c>
      <c r="EL144" s="9">
        <v>0</v>
      </c>
      <c r="EM144" s="9">
        <v>4.0999999999999996</v>
      </c>
      <c r="EN144" s="9">
        <v>-5.8</v>
      </c>
      <c r="EO144" s="9">
        <v>2.8</v>
      </c>
      <c r="EP144" s="9">
        <v>1.3</v>
      </c>
      <c r="EQ144" s="9">
        <v>2.4</v>
      </c>
      <c r="ER144" s="9">
        <v>3.5</v>
      </c>
      <c r="ES144" s="9">
        <v>3.3</v>
      </c>
      <c r="ET144" s="9">
        <v>5</v>
      </c>
      <c r="EU144" s="9">
        <v>0.7</v>
      </c>
      <c r="EZ144" s="9">
        <v>0.1</v>
      </c>
      <c r="FA144" s="9">
        <v>1.7</v>
      </c>
      <c r="FE144" s="9">
        <v>6</v>
      </c>
      <c r="FG144" s="9">
        <v>1.6</v>
      </c>
      <c r="FI144" s="9">
        <v>2.8</v>
      </c>
      <c r="FJ144" s="9">
        <v>3</v>
      </c>
      <c r="FK144" s="9">
        <v>2.5</v>
      </c>
      <c r="FL144" s="9">
        <v>1.8</v>
      </c>
      <c r="FM144" s="9">
        <v>1.5</v>
      </c>
      <c r="FN144" s="9">
        <v>2.2000000000000002</v>
      </c>
      <c r="FO144" s="9">
        <v>0.4</v>
      </c>
      <c r="FP144" s="9">
        <v>1.5</v>
      </c>
      <c r="FQ144" s="9">
        <v>1.6</v>
      </c>
      <c r="FR144" s="9">
        <v>1.6</v>
      </c>
      <c r="FS144" s="9">
        <v>2.7</v>
      </c>
      <c r="FX144" s="9">
        <v>2.1</v>
      </c>
      <c r="FY144" s="9">
        <v>0.9</v>
      </c>
      <c r="FZ144" s="9">
        <v>1.7</v>
      </c>
      <c r="GA144" s="9">
        <v>3.6</v>
      </c>
      <c r="GD144" s="9">
        <v>1</v>
      </c>
      <c r="GE144" s="9">
        <v>3.2</v>
      </c>
      <c r="GF144" s="9">
        <v>2.6</v>
      </c>
      <c r="GG144" s="9">
        <v>2.6</v>
      </c>
      <c r="GK144" s="9">
        <v>1.4</v>
      </c>
      <c r="GM144" s="9">
        <v>3.1</v>
      </c>
      <c r="GO144" s="9">
        <v>2.2000000000000002</v>
      </c>
      <c r="GQ144" s="9">
        <v>3.5</v>
      </c>
      <c r="GR144" s="9">
        <v>3.6</v>
      </c>
      <c r="GS144" s="9">
        <v>4</v>
      </c>
      <c r="GT144" s="9">
        <v>2.5</v>
      </c>
      <c r="GU144" s="9">
        <v>1.8</v>
      </c>
      <c r="GV144" s="9">
        <v>1.8</v>
      </c>
      <c r="GX144" s="9">
        <v>2.1</v>
      </c>
      <c r="GY144" s="9">
        <v>2.1</v>
      </c>
      <c r="HA144" s="9">
        <v>1.7</v>
      </c>
      <c r="HC144" s="9">
        <v>4.3</v>
      </c>
      <c r="HD144" s="9">
        <v>2</v>
      </c>
      <c r="HH144" s="9">
        <v>3.2</v>
      </c>
      <c r="HL144" s="9">
        <v>3.3</v>
      </c>
      <c r="HN144" s="9">
        <v>43.2</v>
      </c>
      <c r="HO144" s="9">
        <v>51.9</v>
      </c>
      <c r="HP144" s="9">
        <v>1.5</v>
      </c>
      <c r="HQ144" s="9">
        <v>4.5999999999999996</v>
      </c>
      <c r="HR144" s="9">
        <v>4.0999999999999996</v>
      </c>
      <c r="HS144" s="9">
        <v>4.0999999999999996</v>
      </c>
      <c r="HT144" s="9">
        <v>2.1</v>
      </c>
      <c r="HU144" s="9">
        <v>4.5</v>
      </c>
      <c r="HV144" s="9">
        <v>3.7</v>
      </c>
      <c r="HW144" s="9">
        <v>6.2</v>
      </c>
      <c r="HX144" s="9">
        <v>9.3000000000000007</v>
      </c>
      <c r="HY144" s="9">
        <v>9.3000000000000007</v>
      </c>
      <c r="HZ144" s="9">
        <v>4.8</v>
      </c>
      <c r="IA144" s="9">
        <v>4.8</v>
      </c>
      <c r="IB144" s="9">
        <v>0.3</v>
      </c>
      <c r="IC144" s="9">
        <v>6.8</v>
      </c>
      <c r="IF144" s="9">
        <v>3.5</v>
      </c>
      <c r="IQ144" s="9">
        <v>17.2</v>
      </c>
    </row>
    <row r="145" spans="1:251" x14ac:dyDescent="0.2">
      <c r="A145" s="10">
        <v>30011</v>
      </c>
      <c r="B145" s="8">
        <v>21.38</v>
      </c>
      <c r="C145" s="8">
        <v>20.61</v>
      </c>
      <c r="D145" s="8">
        <v>19.89</v>
      </c>
      <c r="E145" s="8">
        <v>17.63</v>
      </c>
      <c r="F145" s="8">
        <v>19.850000000000001</v>
      </c>
      <c r="G145" s="8">
        <v>25.69</v>
      </c>
      <c r="H145" s="8">
        <v>27.68</v>
      </c>
      <c r="I145" s="8">
        <v>25.51</v>
      </c>
      <c r="J145" s="8">
        <v>19.170000000000002</v>
      </c>
      <c r="K145" s="8">
        <v>31.76</v>
      </c>
      <c r="L145" s="8">
        <v>15.55</v>
      </c>
      <c r="M145" s="8">
        <v>58.26</v>
      </c>
      <c r="N145" s="8">
        <v>22.84</v>
      </c>
      <c r="O145" s="8">
        <v>22.12</v>
      </c>
      <c r="P145" s="8">
        <v>24.41</v>
      </c>
      <c r="Q145" s="8">
        <v>25.87</v>
      </c>
      <c r="R145" s="8">
        <v>20.41</v>
      </c>
      <c r="S145" s="8">
        <v>25.32</v>
      </c>
      <c r="X145" s="8">
        <v>24.17</v>
      </c>
      <c r="Y145" s="8">
        <v>20.59</v>
      </c>
      <c r="AC145" s="8">
        <v>28.63</v>
      </c>
      <c r="AE145" s="8">
        <v>26.29</v>
      </c>
      <c r="AG145" s="8">
        <v>17.66</v>
      </c>
      <c r="AH145" s="8">
        <v>18.7</v>
      </c>
      <c r="AI145" s="8">
        <v>16.43</v>
      </c>
      <c r="AJ145" s="8">
        <v>7.16</v>
      </c>
      <c r="AK145" s="8">
        <v>19.16</v>
      </c>
      <c r="AL145" s="8">
        <v>15.59</v>
      </c>
      <c r="AM145" s="8">
        <v>35.46</v>
      </c>
      <c r="AN145" s="8">
        <v>14.43</v>
      </c>
      <c r="AO145" s="8">
        <v>1.3</v>
      </c>
      <c r="AP145" s="8">
        <v>1.3</v>
      </c>
      <c r="AQ145" s="8">
        <v>52.28</v>
      </c>
      <c r="AV145" s="8">
        <v>65.650000000000006</v>
      </c>
      <c r="AW145" s="8">
        <v>76.88</v>
      </c>
      <c r="AX145" s="8">
        <v>59.58</v>
      </c>
      <c r="AY145" s="8">
        <v>62.45</v>
      </c>
      <c r="BB145" s="8">
        <v>16.03</v>
      </c>
      <c r="BC145" s="8">
        <v>18.190000000000001</v>
      </c>
      <c r="BD145" s="8">
        <v>17.829999999999998</v>
      </c>
      <c r="BE145" s="8">
        <v>17.829999999999998</v>
      </c>
      <c r="BI145" s="8">
        <v>21.33</v>
      </c>
      <c r="BK145" s="8">
        <v>12.86</v>
      </c>
      <c r="BM145" s="8">
        <v>13.42</v>
      </c>
      <c r="BO145" s="8">
        <v>36.450000000000003</v>
      </c>
      <c r="BP145" s="8">
        <v>32.28</v>
      </c>
      <c r="BQ145" s="8">
        <v>34.35</v>
      </c>
      <c r="BR145" s="8">
        <v>24.65</v>
      </c>
      <c r="BS145" s="8">
        <v>60.7</v>
      </c>
      <c r="BT145" s="8">
        <v>60.7</v>
      </c>
      <c r="BV145" s="8">
        <v>72.319999999999993</v>
      </c>
      <c r="BW145" s="8">
        <v>82.49</v>
      </c>
      <c r="BY145" s="8">
        <v>34.090000000000003</v>
      </c>
      <c r="CA145" s="8">
        <v>36.299999999999997</v>
      </c>
      <c r="CB145" s="8">
        <v>41.63</v>
      </c>
      <c r="CE145" s="8">
        <v>15.39</v>
      </c>
      <c r="CF145" s="8">
        <v>16.75</v>
      </c>
      <c r="CJ145" s="8">
        <v>25.17</v>
      </c>
      <c r="CL145" s="8">
        <v>11.54</v>
      </c>
      <c r="CM145" s="8">
        <v>11.45</v>
      </c>
      <c r="CN145" s="8">
        <v>12.45</v>
      </c>
      <c r="CO145" s="8">
        <v>23.4</v>
      </c>
      <c r="CP145" s="8">
        <v>24.12</v>
      </c>
      <c r="CQ145" s="8">
        <v>47.52</v>
      </c>
      <c r="CR145" s="8">
        <v>30.61</v>
      </c>
      <c r="CS145" s="8">
        <v>18.579999999999998</v>
      </c>
      <c r="CT145" s="8">
        <v>21.78</v>
      </c>
      <c r="CU145" s="8">
        <v>14.39</v>
      </c>
      <c r="CV145" s="8">
        <v>15.55</v>
      </c>
      <c r="CW145" s="8">
        <v>15.55</v>
      </c>
      <c r="CX145" s="8">
        <v>75.959999999999994</v>
      </c>
      <c r="CY145" s="8">
        <v>75.959999999999994</v>
      </c>
      <c r="CZ145" s="8">
        <v>19.149999999999999</v>
      </c>
      <c r="DA145" s="8">
        <v>84.36</v>
      </c>
      <c r="DD145" s="8">
        <v>2282.0500000000002</v>
      </c>
      <c r="DI145" s="8">
        <v>23.81</v>
      </c>
      <c r="DJ145" s="8">
        <v>19.88</v>
      </c>
      <c r="DK145" s="8">
        <v>25.41</v>
      </c>
      <c r="DO145" s="8">
        <v>23.2</v>
      </c>
      <c r="DS145" s="8">
        <v>7.63</v>
      </c>
      <c r="DT145" s="8">
        <v>7.63</v>
      </c>
      <c r="ED145" s="9">
        <v>1.9</v>
      </c>
      <c r="EE145" s="9">
        <v>0.9</v>
      </c>
      <c r="EF145" s="9">
        <v>4.7</v>
      </c>
      <c r="EG145" s="9">
        <v>4.9000000000000004</v>
      </c>
      <c r="EH145" s="9">
        <v>3.5</v>
      </c>
      <c r="EI145" s="9">
        <v>4.7</v>
      </c>
      <c r="EJ145" s="9">
        <v>7.2</v>
      </c>
      <c r="EK145" s="9">
        <v>-0.5</v>
      </c>
      <c r="EL145" s="9">
        <v>-1.7</v>
      </c>
      <c r="EM145" s="9">
        <v>1.9</v>
      </c>
      <c r="EN145" s="9">
        <v>-0.4</v>
      </c>
      <c r="EO145" s="9">
        <v>1.8</v>
      </c>
      <c r="EP145" s="9">
        <v>1.8</v>
      </c>
      <c r="EQ145" s="9">
        <v>-0.4</v>
      </c>
      <c r="ER145" s="9">
        <v>4.5999999999999996</v>
      </c>
      <c r="ES145" s="9">
        <v>-3</v>
      </c>
      <c r="ET145" s="9">
        <v>3.6</v>
      </c>
      <c r="EU145" s="9">
        <v>2.2999999999999998</v>
      </c>
      <c r="EZ145" s="9">
        <v>1.2</v>
      </c>
      <c r="FA145" s="9">
        <v>2.6</v>
      </c>
      <c r="FE145" s="9">
        <v>4.0999999999999996</v>
      </c>
      <c r="FG145" s="9">
        <v>0.7</v>
      </c>
      <c r="FI145" s="9">
        <v>2.9</v>
      </c>
      <c r="FJ145" s="9">
        <v>2.6</v>
      </c>
      <c r="FK145" s="9">
        <v>3.5</v>
      </c>
      <c r="FL145" s="9">
        <v>2.7</v>
      </c>
      <c r="FM145" s="9">
        <v>3.3</v>
      </c>
      <c r="FN145" s="9">
        <v>3.8</v>
      </c>
      <c r="FO145" s="9">
        <v>3.7</v>
      </c>
      <c r="FP145" s="9">
        <v>3.1</v>
      </c>
      <c r="FQ145" s="9">
        <v>1.6</v>
      </c>
      <c r="FR145" s="9">
        <v>1.6</v>
      </c>
      <c r="FS145" s="9">
        <v>0.4</v>
      </c>
      <c r="FX145" s="9">
        <v>0.7</v>
      </c>
      <c r="FY145" s="9">
        <v>0.8</v>
      </c>
      <c r="FZ145" s="9">
        <v>0.4</v>
      </c>
      <c r="GA145" s="9">
        <v>1.3</v>
      </c>
      <c r="GD145" s="9">
        <v>3.3</v>
      </c>
      <c r="GE145" s="9">
        <v>2.2999999999999998</v>
      </c>
      <c r="GF145" s="9">
        <v>2.2999999999999998</v>
      </c>
      <c r="GG145" s="9">
        <v>2.2999999999999998</v>
      </c>
      <c r="GK145" s="9">
        <v>3.5</v>
      </c>
      <c r="GM145" s="9">
        <v>6.7</v>
      </c>
      <c r="GO145" s="9">
        <v>9</v>
      </c>
      <c r="GQ145" s="9">
        <v>2.6</v>
      </c>
      <c r="GR145" s="9">
        <v>1.1000000000000001</v>
      </c>
      <c r="GS145" s="9">
        <v>0.9</v>
      </c>
      <c r="GT145" s="9">
        <v>1.6</v>
      </c>
      <c r="GU145" s="9">
        <v>0.9</v>
      </c>
      <c r="GV145" s="9">
        <v>0.9</v>
      </c>
      <c r="GX145" s="9">
        <v>1.4</v>
      </c>
      <c r="GY145" s="9">
        <v>1.4</v>
      </c>
      <c r="HA145" s="9">
        <v>2.2999999999999998</v>
      </c>
      <c r="HC145" s="9">
        <v>1.8</v>
      </c>
      <c r="HD145" s="9">
        <v>3.4</v>
      </c>
      <c r="HH145" s="9">
        <v>1.6</v>
      </c>
      <c r="HL145" s="9">
        <v>4.3</v>
      </c>
      <c r="HN145" s="9">
        <v>1.8</v>
      </c>
      <c r="HO145" s="9">
        <v>1.6</v>
      </c>
      <c r="HP145" s="9">
        <v>2.8</v>
      </c>
      <c r="HQ145" s="9">
        <v>1.2</v>
      </c>
      <c r="HR145" s="9">
        <v>1.1000000000000001</v>
      </c>
      <c r="HS145" s="9">
        <v>2.1</v>
      </c>
      <c r="HT145" s="9">
        <v>-1.6</v>
      </c>
      <c r="HU145" s="9">
        <v>-2</v>
      </c>
      <c r="HV145" s="9">
        <v>1.5</v>
      </c>
      <c r="HW145" s="9">
        <v>6.8</v>
      </c>
      <c r="HX145" s="9">
        <v>1.6</v>
      </c>
      <c r="HY145" s="9">
        <v>1.6</v>
      </c>
      <c r="HZ145" s="9">
        <v>3</v>
      </c>
      <c r="IA145" s="9">
        <v>3</v>
      </c>
      <c r="IB145" s="9">
        <v>0</v>
      </c>
      <c r="IC145" s="9">
        <v>3.9</v>
      </c>
      <c r="IF145" s="9">
        <v>-1.4</v>
      </c>
      <c r="IQ145" s="9">
        <v>0.3</v>
      </c>
    </row>
    <row r="146" spans="1:251" x14ac:dyDescent="0.2">
      <c r="A146" s="10">
        <v>30103</v>
      </c>
      <c r="B146" s="8">
        <v>21.88</v>
      </c>
      <c r="C146" s="8">
        <v>20.9</v>
      </c>
      <c r="D146" s="8">
        <v>20.51</v>
      </c>
      <c r="E146" s="8">
        <v>17.98</v>
      </c>
      <c r="F146" s="8">
        <v>20.77</v>
      </c>
      <c r="G146" s="8">
        <v>26.89</v>
      </c>
      <c r="H146" s="8">
        <v>28.21</v>
      </c>
      <c r="I146" s="8">
        <v>26</v>
      </c>
      <c r="J146" s="8">
        <v>19.55</v>
      </c>
      <c r="K146" s="8">
        <v>32.65</v>
      </c>
      <c r="L146" s="8">
        <v>16.41</v>
      </c>
      <c r="M146" s="8">
        <v>58.1</v>
      </c>
      <c r="N146" s="8">
        <v>23.18</v>
      </c>
      <c r="O146" s="8">
        <v>21.74</v>
      </c>
      <c r="P146" s="8">
        <v>25.09</v>
      </c>
      <c r="Q146" s="8">
        <v>26.36</v>
      </c>
      <c r="R146" s="8">
        <v>21.61</v>
      </c>
      <c r="S146" s="8">
        <v>26.52</v>
      </c>
      <c r="X146" s="8">
        <v>24.6</v>
      </c>
      <c r="Y146" s="8">
        <v>20.67</v>
      </c>
      <c r="AC146" s="8">
        <v>28.58</v>
      </c>
      <c r="AE146" s="8">
        <v>26.79</v>
      </c>
      <c r="AG146" s="8">
        <v>18.12</v>
      </c>
      <c r="AH146" s="8">
        <v>19.11</v>
      </c>
      <c r="AI146" s="8">
        <v>16.89</v>
      </c>
      <c r="AJ146" s="8">
        <v>7.32</v>
      </c>
      <c r="AK146" s="8">
        <v>19.579999999999998</v>
      </c>
      <c r="AL146" s="8">
        <v>15.77</v>
      </c>
      <c r="AM146" s="8">
        <v>36.630000000000003</v>
      </c>
      <c r="AN146" s="8">
        <v>14.76</v>
      </c>
      <c r="AO146" s="8">
        <v>1.33</v>
      </c>
      <c r="AP146" s="8">
        <v>1.33</v>
      </c>
      <c r="AQ146" s="8">
        <v>53.63</v>
      </c>
      <c r="AV146" s="8">
        <v>67.650000000000006</v>
      </c>
      <c r="AW146" s="8">
        <v>78.89</v>
      </c>
      <c r="AX146" s="8">
        <v>63.22</v>
      </c>
      <c r="AY146" s="8">
        <v>60.93</v>
      </c>
      <c r="BB146" s="8">
        <v>16.77</v>
      </c>
      <c r="BC146" s="8">
        <v>18.78</v>
      </c>
      <c r="BD146" s="8">
        <v>18.45</v>
      </c>
      <c r="BE146" s="8">
        <v>18.45</v>
      </c>
      <c r="BI146" s="8">
        <v>22.22</v>
      </c>
      <c r="BK146" s="8">
        <v>13.36</v>
      </c>
      <c r="BM146" s="8">
        <v>14.07</v>
      </c>
      <c r="BO146" s="8">
        <v>37.58</v>
      </c>
      <c r="BP146" s="8">
        <v>33.75</v>
      </c>
      <c r="BQ146" s="8">
        <v>36.35</v>
      </c>
      <c r="BR146" s="8">
        <v>24.83</v>
      </c>
      <c r="BS146" s="8">
        <v>61.86</v>
      </c>
      <c r="BT146" s="8">
        <v>61.86</v>
      </c>
      <c r="BV146" s="8">
        <v>73</v>
      </c>
      <c r="BW146" s="8">
        <v>83.27</v>
      </c>
      <c r="BY146" s="8">
        <v>34.57</v>
      </c>
      <c r="CA146" s="8">
        <v>37.840000000000003</v>
      </c>
      <c r="CB146" s="8">
        <v>42.05</v>
      </c>
      <c r="CE146" s="8">
        <v>15.84</v>
      </c>
      <c r="CF146" s="8">
        <v>17.29</v>
      </c>
      <c r="CJ146" s="8">
        <v>25.94</v>
      </c>
      <c r="CL146" s="8">
        <v>11.86</v>
      </c>
      <c r="CM146" s="8">
        <v>11.75</v>
      </c>
      <c r="CN146" s="8">
        <v>12.95</v>
      </c>
      <c r="CO146" s="8">
        <v>24.1</v>
      </c>
      <c r="CP146" s="8">
        <v>24.94</v>
      </c>
      <c r="CQ146" s="8">
        <v>48.01</v>
      </c>
      <c r="CR146" s="8">
        <v>31.16</v>
      </c>
      <c r="CS146" s="8">
        <v>19.11</v>
      </c>
      <c r="CT146" s="8">
        <v>23.18</v>
      </c>
      <c r="CU146" s="8">
        <v>15.18</v>
      </c>
      <c r="CV146" s="8">
        <v>15.55</v>
      </c>
      <c r="CW146" s="8">
        <v>15.55</v>
      </c>
      <c r="CX146" s="8">
        <v>77.17</v>
      </c>
      <c r="CY146" s="8">
        <v>77.17</v>
      </c>
      <c r="CZ146" s="8">
        <v>20.8</v>
      </c>
      <c r="DA146" s="8">
        <v>84.36</v>
      </c>
      <c r="DD146" s="8">
        <v>2214.77</v>
      </c>
      <c r="DI146" s="8">
        <v>23.46</v>
      </c>
      <c r="DJ146" s="8">
        <v>20.22</v>
      </c>
      <c r="DK146" s="8">
        <v>24.38</v>
      </c>
      <c r="DO146" s="8">
        <v>23.99</v>
      </c>
      <c r="DS146" s="8">
        <v>7.63</v>
      </c>
      <c r="DT146" s="8">
        <v>7.63</v>
      </c>
      <c r="ED146" s="9">
        <v>2.2999999999999998</v>
      </c>
      <c r="EE146" s="9">
        <v>1.4</v>
      </c>
      <c r="EF146" s="9">
        <v>3.1</v>
      </c>
      <c r="EG146" s="9">
        <v>2</v>
      </c>
      <c r="EH146" s="9">
        <v>4.5999999999999996</v>
      </c>
      <c r="EI146" s="9">
        <v>4.7</v>
      </c>
      <c r="EJ146" s="9">
        <v>1.9</v>
      </c>
      <c r="EK146" s="9">
        <v>1.9</v>
      </c>
      <c r="EL146" s="9">
        <v>2</v>
      </c>
      <c r="EM146" s="9">
        <v>2.8</v>
      </c>
      <c r="EN146" s="9">
        <v>5.5</v>
      </c>
      <c r="EO146" s="9">
        <v>-0.3</v>
      </c>
      <c r="EP146" s="9">
        <v>1.5</v>
      </c>
      <c r="EQ146" s="9">
        <v>-1.7</v>
      </c>
      <c r="ER146" s="9">
        <v>2.8</v>
      </c>
      <c r="ES146" s="9">
        <v>1.9</v>
      </c>
      <c r="ET146" s="9">
        <v>5.9</v>
      </c>
      <c r="EU146" s="9">
        <v>4.7</v>
      </c>
      <c r="EZ146" s="9">
        <v>1.8</v>
      </c>
      <c r="FA146" s="9">
        <v>0.4</v>
      </c>
      <c r="FE146" s="9">
        <v>-0.2</v>
      </c>
      <c r="FG146" s="9">
        <v>1.9</v>
      </c>
      <c r="FI146" s="9">
        <v>2.6</v>
      </c>
      <c r="FJ146" s="9">
        <v>2.2000000000000002</v>
      </c>
      <c r="FK146" s="9">
        <v>2.8</v>
      </c>
      <c r="FL146" s="9">
        <v>2.2000000000000002</v>
      </c>
      <c r="FM146" s="9">
        <v>2.2000000000000002</v>
      </c>
      <c r="FN146" s="9">
        <v>1.2</v>
      </c>
      <c r="FO146" s="9">
        <v>3.3</v>
      </c>
      <c r="FP146" s="9">
        <v>2.2999999999999998</v>
      </c>
      <c r="FQ146" s="9">
        <v>2.2999999999999998</v>
      </c>
      <c r="FR146" s="9">
        <v>2.2999999999999998</v>
      </c>
      <c r="FS146" s="9">
        <v>2.6</v>
      </c>
      <c r="FX146" s="9">
        <v>3</v>
      </c>
      <c r="FY146" s="9">
        <v>2.6</v>
      </c>
      <c r="FZ146" s="9">
        <v>6.1</v>
      </c>
      <c r="GA146" s="9">
        <v>-2.4</v>
      </c>
      <c r="GD146" s="9">
        <v>4.5999999999999996</v>
      </c>
      <c r="GE146" s="9">
        <v>3.2</v>
      </c>
      <c r="GF146" s="9">
        <v>3.5</v>
      </c>
      <c r="GG146" s="9">
        <v>3.5</v>
      </c>
      <c r="GK146" s="9">
        <v>4.2</v>
      </c>
      <c r="GM146" s="9">
        <v>3.9</v>
      </c>
      <c r="GO146" s="9">
        <v>4.8</v>
      </c>
      <c r="GQ146" s="9">
        <v>3.1</v>
      </c>
      <c r="GR146" s="9">
        <v>4.5999999999999996</v>
      </c>
      <c r="GS146" s="9">
        <v>5.8</v>
      </c>
      <c r="GT146" s="9">
        <v>0.7</v>
      </c>
      <c r="GU146" s="9">
        <v>1.9</v>
      </c>
      <c r="GV146" s="9">
        <v>1.9</v>
      </c>
      <c r="GX146" s="9">
        <v>0.9</v>
      </c>
      <c r="GY146" s="9">
        <v>0.9</v>
      </c>
      <c r="HA146" s="9">
        <v>1.4</v>
      </c>
      <c r="HC146" s="9">
        <v>4.2</v>
      </c>
      <c r="HD146" s="9">
        <v>1</v>
      </c>
      <c r="HG146" s="9">
        <v>2.9</v>
      </c>
      <c r="HH146" s="9">
        <v>3.2</v>
      </c>
      <c r="HL146" s="9">
        <v>3.1</v>
      </c>
      <c r="HN146" s="9">
        <v>2.8</v>
      </c>
      <c r="HO146" s="9">
        <v>2.6</v>
      </c>
      <c r="HP146" s="9">
        <v>4</v>
      </c>
      <c r="HQ146" s="9">
        <v>3</v>
      </c>
      <c r="HR146" s="9">
        <v>3.4</v>
      </c>
      <c r="HS146" s="9">
        <v>1</v>
      </c>
      <c r="HT146" s="9">
        <v>1.8</v>
      </c>
      <c r="HU146" s="9">
        <v>2.9</v>
      </c>
      <c r="HV146" s="9">
        <v>6.4</v>
      </c>
      <c r="HW146" s="9">
        <v>5.5</v>
      </c>
      <c r="HX146" s="9">
        <v>0</v>
      </c>
      <c r="HY146" s="9">
        <v>0</v>
      </c>
      <c r="HZ146" s="9">
        <v>1.6</v>
      </c>
      <c r="IA146" s="9">
        <v>1.6</v>
      </c>
      <c r="IB146" s="9">
        <v>8.6</v>
      </c>
      <c r="IC146" s="9">
        <v>0</v>
      </c>
      <c r="IF146" s="9">
        <v>-2.9</v>
      </c>
      <c r="IK146" s="9">
        <v>-1.5</v>
      </c>
      <c r="IL146" s="9">
        <v>1.7</v>
      </c>
      <c r="IM146" s="9">
        <v>-4.0999999999999996</v>
      </c>
      <c r="IQ146" s="9">
        <v>3.4</v>
      </c>
    </row>
    <row r="147" spans="1:251" x14ac:dyDescent="0.2">
      <c r="A147" s="10">
        <v>30195</v>
      </c>
      <c r="B147" s="8">
        <v>22.65</v>
      </c>
      <c r="C147" s="8">
        <v>21.55</v>
      </c>
      <c r="D147" s="8">
        <v>20.95</v>
      </c>
      <c r="E147" s="8">
        <v>18.23</v>
      </c>
      <c r="F147" s="8">
        <v>21.34</v>
      </c>
      <c r="G147" s="8">
        <v>27.73</v>
      </c>
      <c r="H147" s="8">
        <v>28.64</v>
      </c>
      <c r="I147" s="8">
        <v>26.21</v>
      </c>
      <c r="J147" s="8">
        <v>19.68</v>
      </c>
      <c r="K147" s="8">
        <v>34.049999999999997</v>
      </c>
      <c r="L147" s="8">
        <v>15.62</v>
      </c>
      <c r="M147" s="8">
        <v>59.51</v>
      </c>
      <c r="N147" s="8">
        <v>23.29</v>
      </c>
      <c r="O147" s="8">
        <v>22.59</v>
      </c>
      <c r="P147" s="8">
        <v>25.9</v>
      </c>
      <c r="Q147" s="8">
        <v>26.78</v>
      </c>
      <c r="R147" s="8">
        <v>22.91</v>
      </c>
      <c r="S147" s="8">
        <v>27.5</v>
      </c>
      <c r="X147" s="8">
        <v>25</v>
      </c>
      <c r="Y147" s="8">
        <v>21.76</v>
      </c>
      <c r="AC147" s="8">
        <v>29.84</v>
      </c>
      <c r="AE147" s="8">
        <v>27.65</v>
      </c>
      <c r="AG147" s="8">
        <v>18.57</v>
      </c>
      <c r="AH147" s="8">
        <v>19.54</v>
      </c>
      <c r="AI147" s="8">
        <v>17.36</v>
      </c>
      <c r="AJ147" s="8">
        <v>7.64</v>
      </c>
      <c r="AK147" s="8">
        <v>20.329999999999998</v>
      </c>
      <c r="AL147" s="8">
        <v>16.09</v>
      </c>
      <c r="AM147" s="8">
        <v>37.44</v>
      </c>
      <c r="AN147" s="8">
        <v>15.41</v>
      </c>
      <c r="AO147" s="8">
        <v>1.41</v>
      </c>
      <c r="AP147" s="8">
        <v>1.41</v>
      </c>
      <c r="AQ147" s="8">
        <v>54.17</v>
      </c>
      <c r="AV147" s="8">
        <v>68.989999999999995</v>
      </c>
      <c r="AW147" s="8">
        <v>79.13</v>
      </c>
      <c r="AX147" s="8">
        <v>64.099999999999994</v>
      </c>
      <c r="AY147" s="8">
        <v>64.58</v>
      </c>
      <c r="BB147" s="8">
        <v>17.329999999999998</v>
      </c>
      <c r="BC147" s="8">
        <v>19.260000000000002</v>
      </c>
      <c r="BD147" s="8">
        <v>19.18</v>
      </c>
      <c r="BE147" s="8">
        <v>19.18</v>
      </c>
      <c r="BI147" s="8">
        <v>23.16</v>
      </c>
      <c r="BK147" s="8">
        <v>14.42</v>
      </c>
      <c r="BM147" s="8">
        <v>15.45</v>
      </c>
      <c r="BO147" s="8">
        <v>38.770000000000003</v>
      </c>
      <c r="BP147" s="8">
        <v>34.799999999999997</v>
      </c>
      <c r="BQ147" s="8">
        <v>37.479999999999997</v>
      </c>
      <c r="BR147" s="8">
        <v>25.63</v>
      </c>
      <c r="BS147" s="8">
        <v>62.18</v>
      </c>
      <c r="BT147" s="8">
        <v>62.18</v>
      </c>
      <c r="BV147" s="8">
        <v>74.180000000000007</v>
      </c>
      <c r="BW147" s="8">
        <v>84.61</v>
      </c>
      <c r="BY147" s="8">
        <v>35.340000000000003</v>
      </c>
      <c r="CA147" s="8">
        <v>39.06</v>
      </c>
      <c r="CB147" s="8">
        <v>43.2</v>
      </c>
      <c r="CE147" s="8">
        <v>16.27</v>
      </c>
      <c r="CF147" s="8">
        <v>18.309999999999999</v>
      </c>
      <c r="CJ147" s="8">
        <v>26.76</v>
      </c>
      <c r="CL147" s="8">
        <v>12.78</v>
      </c>
      <c r="CM147" s="8">
        <v>12.76</v>
      </c>
      <c r="CN147" s="8">
        <v>13.29</v>
      </c>
      <c r="CO147" s="8">
        <v>25.46</v>
      </c>
      <c r="CP147" s="8">
        <v>26.34</v>
      </c>
      <c r="CQ147" s="8">
        <v>49.26</v>
      </c>
      <c r="CR147" s="8">
        <v>31.75</v>
      </c>
      <c r="CS147" s="8">
        <v>21.45</v>
      </c>
      <c r="CT147" s="8">
        <v>23.74</v>
      </c>
      <c r="CU147" s="8">
        <v>15.88</v>
      </c>
      <c r="CV147" s="8">
        <v>16.39</v>
      </c>
      <c r="CW147" s="8">
        <v>16.39</v>
      </c>
      <c r="CX147" s="8">
        <v>79.36</v>
      </c>
      <c r="CY147" s="8">
        <v>79.36</v>
      </c>
      <c r="CZ147" s="8">
        <v>21.2</v>
      </c>
      <c r="DA147" s="8">
        <v>86.82</v>
      </c>
      <c r="DD147" s="8">
        <v>2196.08</v>
      </c>
      <c r="DI147" s="8">
        <v>23.9</v>
      </c>
      <c r="DJ147" s="8">
        <v>21.33</v>
      </c>
      <c r="DK147" s="8">
        <v>24.2</v>
      </c>
      <c r="DO147" s="8">
        <v>24.07</v>
      </c>
      <c r="DS147" s="8">
        <v>7.63</v>
      </c>
      <c r="DT147" s="8">
        <v>7.63</v>
      </c>
      <c r="ED147" s="9">
        <v>3.5</v>
      </c>
      <c r="EE147" s="9">
        <v>3.1</v>
      </c>
      <c r="EF147" s="9">
        <v>2.1</v>
      </c>
      <c r="EG147" s="9">
        <v>1.4</v>
      </c>
      <c r="EH147" s="9">
        <v>2.7</v>
      </c>
      <c r="EI147" s="9">
        <v>3.1</v>
      </c>
      <c r="EJ147" s="9">
        <v>1.5</v>
      </c>
      <c r="EK147" s="9">
        <v>0.8</v>
      </c>
      <c r="EL147" s="9">
        <v>0.7</v>
      </c>
      <c r="EM147" s="9">
        <v>4.3</v>
      </c>
      <c r="EN147" s="9">
        <v>-4.8</v>
      </c>
      <c r="EO147" s="9">
        <v>2.4</v>
      </c>
      <c r="EP147" s="9">
        <v>0.5</v>
      </c>
      <c r="EQ147" s="9">
        <v>3.9</v>
      </c>
      <c r="ER147" s="9">
        <v>3.2</v>
      </c>
      <c r="ES147" s="9">
        <v>1.6</v>
      </c>
      <c r="ET147" s="9">
        <v>6</v>
      </c>
      <c r="EU147" s="9">
        <v>3.7</v>
      </c>
      <c r="EZ147" s="9">
        <v>1.6</v>
      </c>
      <c r="FA147" s="9">
        <v>5.3</v>
      </c>
      <c r="FE147" s="9">
        <v>4.4000000000000004</v>
      </c>
      <c r="FG147" s="9">
        <v>3.2</v>
      </c>
      <c r="FI147" s="9">
        <v>2.5</v>
      </c>
      <c r="FJ147" s="9">
        <v>2.2999999999999998</v>
      </c>
      <c r="FK147" s="9">
        <v>2.8</v>
      </c>
      <c r="FL147" s="9">
        <v>4.4000000000000004</v>
      </c>
      <c r="FM147" s="9">
        <v>3.8</v>
      </c>
      <c r="FN147" s="9">
        <v>2</v>
      </c>
      <c r="FO147" s="9">
        <v>2.2000000000000002</v>
      </c>
      <c r="FP147" s="9">
        <v>4.4000000000000004</v>
      </c>
      <c r="FQ147" s="9">
        <v>6</v>
      </c>
      <c r="FR147" s="9">
        <v>6</v>
      </c>
      <c r="FS147" s="9">
        <v>1</v>
      </c>
      <c r="FX147" s="9">
        <v>2</v>
      </c>
      <c r="FY147" s="9">
        <v>0.3</v>
      </c>
      <c r="FZ147" s="9">
        <v>1.4</v>
      </c>
      <c r="GA147" s="9">
        <v>6</v>
      </c>
      <c r="GD147" s="9">
        <v>3.3</v>
      </c>
      <c r="GE147" s="9">
        <v>2.6</v>
      </c>
      <c r="GF147" s="9">
        <v>4</v>
      </c>
      <c r="GG147" s="9">
        <v>4</v>
      </c>
      <c r="GK147" s="9">
        <v>4.2</v>
      </c>
      <c r="GM147" s="9">
        <v>7.9</v>
      </c>
      <c r="GO147" s="9">
        <v>9.8000000000000007</v>
      </c>
      <c r="GQ147" s="9">
        <v>3.2</v>
      </c>
      <c r="GR147" s="9">
        <v>3.1</v>
      </c>
      <c r="GS147" s="9">
        <v>3.1</v>
      </c>
      <c r="GT147" s="9">
        <v>3.2</v>
      </c>
      <c r="GU147" s="9">
        <v>0.5</v>
      </c>
      <c r="GV147" s="9">
        <v>0.5</v>
      </c>
      <c r="GX147" s="9">
        <v>1.6</v>
      </c>
      <c r="GY147" s="9">
        <v>1.6</v>
      </c>
      <c r="HA147" s="9">
        <v>2.2000000000000002</v>
      </c>
      <c r="HC147" s="9">
        <v>3.2</v>
      </c>
      <c r="HD147" s="9">
        <v>2.7</v>
      </c>
      <c r="HG147" s="9">
        <v>2.7</v>
      </c>
      <c r="HH147" s="9">
        <v>5.9</v>
      </c>
      <c r="HL147" s="9">
        <v>3.2</v>
      </c>
      <c r="HN147" s="9">
        <v>7.8</v>
      </c>
      <c r="HO147" s="9">
        <v>8.6</v>
      </c>
      <c r="HP147" s="9">
        <v>2.6</v>
      </c>
      <c r="HQ147" s="9">
        <v>5.6</v>
      </c>
      <c r="HR147" s="9">
        <v>5.6</v>
      </c>
      <c r="HS147" s="9">
        <v>2.6</v>
      </c>
      <c r="HT147" s="9">
        <v>1.9</v>
      </c>
      <c r="HU147" s="9">
        <v>12.2</v>
      </c>
      <c r="HV147" s="9">
        <v>2.4</v>
      </c>
      <c r="HW147" s="9">
        <v>4.5999999999999996</v>
      </c>
      <c r="HX147" s="9">
        <v>5.4</v>
      </c>
      <c r="HY147" s="9">
        <v>5.4</v>
      </c>
      <c r="HZ147" s="9">
        <v>2.8</v>
      </c>
      <c r="IA147" s="9">
        <v>2.8</v>
      </c>
      <c r="IB147" s="9">
        <v>1.9</v>
      </c>
      <c r="IC147" s="9">
        <v>2.9</v>
      </c>
      <c r="IF147" s="9">
        <v>-0.8</v>
      </c>
      <c r="IK147" s="9">
        <v>1.9</v>
      </c>
      <c r="IL147" s="9">
        <v>5.5</v>
      </c>
      <c r="IM147" s="9">
        <v>-0.7</v>
      </c>
      <c r="IQ147" s="9">
        <v>0.3</v>
      </c>
    </row>
    <row r="148" spans="1:251" x14ac:dyDescent="0.2">
      <c r="A148" s="10">
        <v>30286</v>
      </c>
      <c r="B148" s="8">
        <v>23.31</v>
      </c>
      <c r="C148" s="8">
        <v>22.06</v>
      </c>
      <c r="D148" s="8">
        <v>21.4</v>
      </c>
      <c r="E148" s="8">
        <v>18.45</v>
      </c>
      <c r="F148" s="8">
        <v>22.13</v>
      </c>
      <c r="G148" s="8">
        <v>27.84</v>
      </c>
      <c r="H148" s="8">
        <v>28.73</v>
      </c>
      <c r="I148" s="8">
        <v>26.7</v>
      </c>
      <c r="J148" s="8">
        <v>20.12</v>
      </c>
      <c r="K148" s="8">
        <v>34.520000000000003</v>
      </c>
      <c r="L148" s="8">
        <v>15.79</v>
      </c>
      <c r="M148" s="8">
        <v>59.19</v>
      </c>
      <c r="N148" s="8">
        <v>23.67</v>
      </c>
      <c r="O148" s="8">
        <v>23.97</v>
      </c>
      <c r="P148" s="8">
        <v>26.54</v>
      </c>
      <c r="Q148" s="8">
        <v>27.31</v>
      </c>
      <c r="R148" s="8">
        <v>23.81</v>
      </c>
      <c r="S148" s="8">
        <v>28.33</v>
      </c>
      <c r="X148" s="8">
        <v>25.8</v>
      </c>
      <c r="Y148" s="8">
        <v>22.4</v>
      </c>
      <c r="AC148" s="8">
        <v>31.06</v>
      </c>
      <c r="AE148" s="8">
        <v>27.88</v>
      </c>
      <c r="AG148" s="8">
        <v>19</v>
      </c>
      <c r="AH148" s="8">
        <v>19.98</v>
      </c>
      <c r="AI148" s="8">
        <v>17.8</v>
      </c>
      <c r="AJ148" s="8">
        <v>8.0399999999999991</v>
      </c>
      <c r="AK148" s="8">
        <v>21.22</v>
      </c>
      <c r="AL148" s="8">
        <v>16.510000000000002</v>
      </c>
      <c r="AM148" s="8">
        <v>37.96</v>
      </c>
      <c r="AN148" s="8">
        <v>16.25</v>
      </c>
      <c r="AO148" s="8">
        <v>1.51</v>
      </c>
      <c r="AP148" s="8">
        <v>1.51</v>
      </c>
      <c r="AQ148" s="8">
        <v>55.43</v>
      </c>
      <c r="AV148" s="8">
        <v>70.45</v>
      </c>
      <c r="AW148" s="8">
        <v>80.55</v>
      </c>
      <c r="AX148" s="8">
        <v>65.87</v>
      </c>
      <c r="AY148" s="8">
        <v>65.489999999999995</v>
      </c>
      <c r="BB148" s="8">
        <v>17.68</v>
      </c>
      <c r="BC148" s="8">
        <v>19.809999999999999</v>
      </c>
      <c r="BD148" s="8">
        <v>19.579999999999998</v>
      </c>
      <c r="BE148" s="8">
        <v>19.579999999999998</v>
      </c>
      <c r="BI148" s="8">
        <v>23.48</v>
      </c>
      <c r="BK148" s="8">
        <v>15.43</v>
      </c>
      <c r="BM148" s="8">
        <v>16.53</v>
      </c>
      <c r="BO148" s="8">
        <v>40.21</v>
      </c>
      <c r="BP148" s="8">
        <v>35.85</v>
      </c>
      <c r="BQ148" s="8">
        <v>38.79</v>
      </c>
      <c r="BR148" s="8">
        <v>26.07</v>
      </c>
      <c r="BS148" s="8">
        <v>63.34</v>
      </c>
      <c r="BT148" s="8">
        <v>63.34</v>
      </c>
      <c r="BV148" s="8">
        <v>74.37</v>
      </c>
      <c r="BW148" s="8">
        <v>84.84</v>
      </c>
      <c r="BY148" s="8">
        <v>37.08</v>
      </c>
      <c r="CA148" s="8">
        <v>40.21</v>
      </c>
      <c r="CB148" s="8">
        <v>45.55</v>
      </c>
      <c r="CE148" s="8">
        <v>16.66</v>
      </c>
      <c r="CF148" s="8">
        <v>18.53</v>
      </c>
      <c r="CJ148" s="8">
        <v>27.33</v>
      </c>
      <c r="CL148" s="8">
        <v>13.65</v>
      </c>
      <c r="CM148" s="8">
        <v>13.71</v>
      </c>
      <c r="CN148" s="8">
        <v>13.45</v>
      </c>
      <c r="CO148" s="8">
        <v>25.82</v>
      </c>
      <c r="CP148" s="8">
        <v>26.61</v>
      </c>
      <c r="CQ148" s="8">
        <v>49.55</v>
      </c>
      <c r="CR148" s="8">
        <v>31.65</v>
      </c>
      <c r="CS148" s="8">
        <v>21.48</v>
      </c>
      <c r="CT148" s="8">
        <v>24.22</v>
      </c>
      <c r="CU148" s="8">
        <v>16.02</v>
      </c>
      <c r="CV148" s="8">
        <v>17.16</v>
      </c>
      <c r="CW148" s="8">
        <v>17.16</v>
      </c>
      <c r="CX148" s="8">
        <v>82.44</v>
      </c>
      <c r="CY148" s="8">
        <v>82.44</v>
      </c>
      <c r="CZ148" s="8">
        <v>21.54</v>
      </c>
      <c r="DA148" s="8">
        <v>90.8</v>
      </c>
      <c r="DD148" s="8">
        <v>2141.88</v>
      </c>
      <c r="DI148" s="8">
        <v>25.12</v>
      </c>
      <c r="DJ148" s="8">
        <v>23.12</v>
      </c>
      <c r="DK148" s="8">
        <v>24.73</v>
      </c>
      <c r="DO148" s="8">
        <v>25.04</v>
      </c>
      <c r="DS148" s="8">
        <v>7.63</v>
      </c>
      <c r="DT148" s="8">
        <v>7.63</v>
      </c>
      <c r="ED148" s="9">
        <v>2.9</v>
      </c>
      <c r="EE148" s="9">
        <v>2.4</v>
      </c>
      <c r="EF148" s="9">
        <v>2.1</v>
      </c>
      <c r="EG148" s="9">
        <v>1.2</v>
      </c>
      <c r="EH148" s="9">
        <v>3.7</v>
      </c>
      <c r="EI148" s="9">
        <v>0.4</v>
      </c>
      <c r="EJ148" s="9">
        <v>0.3</v>
      </c>
      <c r="EK148" s="9">
        <v>1.9</v>
      </c>
      <c r="EL148" s="9">
        <v>2.2000000000000002</v>
      </c>
      <c r="EM148" s="9">
        <v>1.4</v>
      </c>
      <c r="EN148" s="9">
        <v>1.1000000000000001</v>
      </c>
      <c r="EO148" s="9">
        <v>-0.5</v>
      </c>
      <c r="EP148" s="9">
        <v>1.6</v>
      </c>
      <c r="EQ148" s="9">
        <v>6.1</v>
      </c>
      <c r="ER148" s="9">
        <v>2.5</v>
      </c>
      <c r="ES148" s="9">
        <v>2</v>
      </c>
      <c r="ET148" s="9">
        <v>3.9</v>
      </c>
      <c r="EU148" s="9">
        <v>3</v>
      </c>
      <c r="EZ148" s="9">
        <v>3.2</v>
      </c>
      <c r="FA148" s="9">
        <v>2.9</v>
      </c>
      <c r="FE148" s="9">
        <v>4.0999999999999996</v>
      </c>
      <c r="FG148" s="9">
        <v>0.8</v>
      </c>
      <c r="FI148" s="9">
        <v>2.2999999999999998</v>
      </c>
      <c r="FJ148" s="9">
        <v>2.2999999999999998</v>
      </c>
      <c r="FK148" s="9">
        <v>2.5</v>
      </c>
      <c r="FL148" s="9">
        <v>5.2</v>
      </c>
      <c r="FM148" s="9">
        <v>4.4000000000000004</v>
      </c>
      <c r="FN148" s="9">
        <v>2.6</v>
      </c>
      <c r="FO148" s="9">
        <v>1.4</v>
      </c>
      <c r="FP148" s="9">
        <v>5.5</v>
      </c>
      <c r="FQ148" s="9">
        <v>7.1</v>
      </c>
      <c r="FR148" s="9">
        <v>7.1</v>
      </c>
      <c r="FS148" s="9">
        <v>2.2999999999999998</v>
      </c>
      <c r="FX148" s="9">
        <v>2.1</v>
      </c>
      <c r="FY148" s="9">
        <v>1.8</v>
      </c>
      <c r="FZ148" s="9">
        <v>2.8</v>
      </c>
      <c r="GA148" s="9">
        <v>1.4</v>
      </c>
      <c r="GD148" s="9">
        <v>2</v>
      </c>
      <c r="GE148" s="9">
        <v>2.9</v>
      </c>
      <c r="GF148" s="9">
        <v>2.1</v>
      </c>
      <c r="GG148" s="9">
        <v>2.1</v>
      </c>
      <c r="GK148" s="9">
        <v>1.4</v>
      </c>
      <c r="GM148" s="9">
        <v>7</v>
      </c>
      <c r="GO148" s="9">
        <v>7</v>
      </c>
      <c r="GQ148" s="9">
        <v>3.7</v>
      </c>
      <c r="GR148" s="9">
        <v>3</v>
      </c>
      <c r="GS148" s="9">
        <v>3.5</v>
      </c>
      <c r="GT148" s="9">
        <v>1.7</v>
      </c>
      <c r="GU148" s="9">
        <v>1.9</v>
      </c>
      <c r="GV148" s="9">
        <v>1.9</v>
      </c>
      <c r="GX148" s="9">
        <v>0.3</v>
      </c>
      <c r="GY148" s="9">
        <v>0.3</v>
      </c>
      <c r="HA148" s="9">
        <v>4.9000000000000004</v>
      </c>
      <c r="HC148" s="9">
        <v>2.9</v>
      </c>
      <c r="HD148" s="9">
        <v>5.4</v>
      </c>
      <c r="HG148" s="9">
        <v>2.4</v>
      </c>
      <c r="HH148" s="9">
        <v>1.2</v>
      </c>
      <c r="HL148" s="9">
        <v>2.1</v>
      </c>
      <c r="HN148" s="9">
        <v>6.8</v>
      </c>
      <c r="HO148" s="9">
        <v>7.4</v>
      </c>
      <c r="HP148" s="9">
        <v>1.2</v>
      </c>
      <c r="HQ148" s="9">
        <v>1.4</v>
      </c>
      <c r="HR148" s="9">
        <v>1</v>
      </c>
      <c r="HS148" s="9">
        <v>0.6</v>
      </c>
      <c r="HT148" s="9">
        <v>-0.3</v>
      </c>
      <c r="HU148" s="9">
        <v>0.1</v>
      </c>
      <c r="HV148" s="9">
        <v>2</v>
      </c>
      <c r="HW148" s="9">
        <v>0.9</v>
      </c>
      <c r="HX148" s="9">
        <v>4.7</v>
      </c>
      <c r="HY148" s="9">
        <v>4.7</v>
      </c>
      <c r="HZ148" s="9">
        <v>3.9</v>
      </c>
      <c r="IA148" s="9">
        <v>3.9</v>
      </c>
      <c r="IB148" s="9">
        <v>1.6</v>
      </c>
      <c r="IC148" s="9">
        <v>4.5999999999999996</v>
      </c>
      <c r="IF148" s="9">
        <v>-2.5</v>
      </c>
      <c r="IK148" s="9">
        <v>5.0999999999999996</v>
      </c>
      <c r="IL148" s="9">
        <v>8.4</v>
      </c>
      <c r="IM148" s="9">
        <v>2.2000000000000002</v>
      </c>
      <c r="IQ148" s="9">
        <v>4</v>
      </c>
    </row>
    <row r="149" spans="1:251" x14ac:dyDescent="0.2">
      <c r="A149" s="10">
        <v>30376</v>
      </c>
      <c r="B149" s="8">
        <v>23.81</v>
      </c>
      <c r="C149" s="8">
        <v>22.46</v>
      </c>
      <c r="D149" s="8">
        <v>22.13</v>
      </c>
      <c r="E149" s="8">
        <v>19.2</v>
      </c>
      <c r="F149" s="8">
        <v>22.44</v>
      </c>
      <c r="G149" s="8">
        <v>29.88</v>
      </c>
      <c r="H149" s="8">
        <v>30.5</v>
      </c>
      <c r="I149" s="8">
        <v>27.16</v>
      </c>
      <c r="J149" s="8">
        <v>20.36</v>
      </c>
      <c r="K149" s="8">
        <v>35.19</v>
      </c>
      <c r="L149" s="8">
        <v>16.14</v>
      </c>
      <c r="M149" s="8">
        <v>60.83</v>
      </c>
      <c r="N149" s="8">
        <v>24.43</v>
      </c>
      <c r="O149" s="8">
        <v>24.11</v>
      </c>
      <c r="P149" s="8">
        <v>26.89</v>
      </c>
      <c r="Q149" s="8">
        <v>27.35</v>
      </c>
      <c r="R149" s="8">
        <v>24.6</v>
      </c>
      <c r="S149" s="8">
        <v>29.27</v>
      </c>
      <c r="X149" s="8">
        <v>26.35</v>
      </c>
      <c r="Y149" s="8">
        <v>23.07</v>
      </c>
      <c r="AC149" s="8">
        <v>31.83</v>
      </c>
      <c r="AE149" s="8">
        <v>29.33</v>
      </c>
      <c r="AG149" s="8">
        <v>19.45</v>
      </c>
      <c r="AH149" s="8">
        <v>20.48</v>
      </c>
      <c r="AI149" s="8">
        <v>18.170000000000002</v>
      </c>
      <c r="AJ149" s="8">
        <v>8.16</v>
      </c>
      <c r="AK149" s="8">
        <v>21.5</v>
      </c>
      <c r="AL149" s="8">
        <v>16.75</v>
      </c>
      <c r="AM149" s="8">
        <v>38.25</v>
      </c>
      <c r="AN149" s="8">
        <v>16.5</v>
      </c>
      <c r="AO149" s="8">
        <v>1.54</v>
      </c>
      <c r="AP149" s="8">
        <v>1.54</v>
      </c>
      <c r="AQ149" s="8">
        <v>55.52</v>
      </c>
      <c r="AV149" s="8">
        <v>69.66</v>
      </c>
      <c r="AW149" s="8">
        <v>81.27</v>
      </c>
      <c r="AX149" s="8">
        <v>65.87</v>
      </c>
      <c r="AY149" s="8">
        <v>61.33</v>
      </c>
      <c r="BB149" s="8">
        <v>17.829999999999998</v>
      </c>
      <c r="BC149" s="8">
        <v>20.11</v>
      </c>
      <c r="BD149" s="8">
        <v>19.91</v>
      </c>
      <c r="BE149" s="8">
        <v>19.91</v>
      </c>
      <c r="BI149" s="8">
        <v>24.09</v>
      </c>
      <c r="BK149" s="8">
        <v>15.57</v>
      </c>
      <c r="BM149" s="8">
        <v>16.63</v>
      </c>
      <c r="BO149" s="8">
        <v>40.83</v>
      </c>
      <c r="BP149" s="8">
        <v>36.380000000000003</v>
      </c>
      <c r="BQ149" s="8">
        <v>39.42</v>
      </c>
      <c r="BR149" s="8">
        <v>26.29</v>
      </c>
      <c r="BS149" s="8">
        <v>64.83</v>
      </c>
      <c r="BT149" s="8">
        <v>64.83</v>
      </c>
      <c r="BV149" s="8">
        <v>74.47</v>
      </c>
      <c r="BW149" s="8">
        <v>84.95</v>
      </c>
      <c r="BY149" s="8">
        <v>38.049999999999997</v>
      </c>
      <c r="CA149" s="8">
        <v>41.75</v>
      </c>
      <c r="CB149" s="8">
        <v>47.7</v>
      </c>
      <c r="CE149" s="8">
        <v>17.670000000000002</v>
      </c>
      <c r="CF149" s="8">
        <v>18.89</v>
      </c>
      <c r="CJ149" s="8">
        <v>29.96</v>
      </c>
      <c r="CL149" s="8">
        <v>14.11</v>
      </c>
      <c r="CM149" s="8">
        <v>14.19</v>
      </c>
      <c r="CN149" s="8">
        <v>13.84</v>
      </c>
      <c r="CO149" s="8">
        <v>26.56</v>
      </c>
      <c r="CP149" s="8">
        <v>27.47</v>
      </c>
      <c r="CQ149" s="8">
        <v>51.09</v>
      </c>
      <c r="CR149" s="8">
        <v>31.7</v>
      </c>
      <c r="CS149" s="8">
        <v>22.35</v>
      </c>
      <c r="CT149" s="8">
        <v>24.94</v>
      </c>
      <c r="CU149" s="8">
        <v>16.09</v>
      </c>
      <c r="CV149" s="8">
        <v>17.29</v>
      </c>
      <c r="CW149" s="8">
        <v>17.29</v>
      </c>
      <c r="CX149" s="8">
        <v>82.55</v>
      </c>
      <c r="CY149" s="8">
        <v>82.55</v>
      </c>
      <c r="CZ149" s="8">
        <v>21.54</v>
      </c>
      <c r="DA149" s="8">
        <v>90.8</v>
      </c>
      <c r="DD149" s="8">
        <v>2108.2399999999998</v>
      </c>
      <c r="DI149" s="8">
        <v>26.42</v>
      </c>
      <c r="DJ149" s="8">
        <v>22.78</v>
      </c>
      <c r="DK149" s="8">
        <v>27.46</v>
      </c>
      <c r="DO149" s="8">
        <v>25.94</v>
      </c>
      <c r="DS149" s="8">
        <v>8.65</v>
      </c>
      <c r="DT149" s="8">
        <v>8.65</v>
      </c>
      <c r="ED149" s="9">
        <v>2.1</v>
      </c>
      <c r="EE149" s="9">
        <v>1.8</v>
      </c>
      <c r="EF149" s="9">
        <v>3.4</v>
      </c>
      <c r="EG149" s="9">
        <v>4.0999999999999996</v>
      </c>
      <c r="EH149" s="9">
        <v>1.4</v>
      </c>
      <c r="EI149" s="9">
        <v>7.3</v>
      </c>
      <c r="EJ149" s="9">
        <v>6.2</v>
      </c>
      <c r="EK149" s="9">
        <v>1.7</v>
      </c>
      <c r="EL149" s="9">
        <v>1.2</v>
      </c>
      <c r="EM149" s="9">
        <v>1.9</v>
      </c>
      <c r="EN149" s="9">
        <v>2.2000000000000002</v>
      </c>
      <c r="EO149" s="9">
        <v>2.8</v>
      </c>
      <c r="EP149" s="9">
        <v>3.2</v>
      </c>
      <c r="EQ149" s="9">
        <v>0.6</v>
      </c>
      <c r="ER149" s="9">
        <v>1.3</v>
      </c>
      <c r="ES149" s="9">
        <v>0.1</v>
      </c>
      <c r="ET149" s="9">
        <v>3.3</v>
      </c>
      <c r="EU149" s="9">
        <v>3.3</v>
      </c>
      <c r="EZ149" s="9">
        <v>2.1</v>
      </c>
      <c r="FA149" s="9">
        <v>3</v>
      </c>
      <c r="FE149" s="9">
        <v>2.5</v>
      </c>
      <c r="FG149" s="9">
        <v>5.2</v>
      </c>
      <c r="FI149" s="9">
        <v>2.4</v>
      </c>
      <c r="FJ149" s="9">
        <v>2.5</v>
      </c>
      <c r="FK149" s="9">
        <v>2.1</v>
      </c>
      <c r="FL149" s="9">
        <v>1.5</v>
      </c>
      <c r="FM149" s="9">
        <v>1.3</v>
      </c>
      <c r="FN149" s="9">
        <v>1.5</v>
      </c>
      <c r="FO149" s="9">
        <v>0.8</v>
      </c>
      <c r="FP149" s="9">
        <v>1.5</v>
      </c>
      <c r="FQ149" s="9">
        <v>2</v>
      </c>
      <c r="FR149" s="9">
        <v>2</v>
      </c>
      <c r="FS149" s="9">
        <v>0.2</v>
      </c>
      <c r="FX149" s="9">
        <v>-1.1000000000000001</v>
      </c>
      <c r="FY149" s="9">
        <v>0.9</v>
      </c>
      <c r="FZ149" s="9">
        <v>0</v>
      </c>
      <c r="GA149" s="9">
        <v>-6.4</v>
      </c>
      <c r="GD149" s="9">
        <v>0.8</v>
      </c>
      <c r="GE149" s="9">
        <v>1.5</v>
      </c>
      <c r="GF149" s="9">
        <v>1.7</v>
      </c>
      <c r="GG149" s="9">
        <v>1.7</v>
      </c>
      <c r="GK149" s="9">
        <v>2.6</v>
      </c>
      <c r="GM149" s="9">
        <v>0.9</v>
      </c>
      <c r="GO149" s="9">
        <v>0.6</v>
      </c>
      <c r="GQ149" s="9">
        <v>1.5</v>
      </c>
      <c r="GR149" s="9">
        <v>1.5</v>
      </c>
      <c r="GS149" s="9">
        <v>1.6</v>
      </c>
      <c r="GT149" s="9">
        <v>0.8</v>
      </c>
      <c r="GU149" s="9">
        <v>2.4</v>
      </c>
      <c r="GV149" s="9">
        <v>2.4</v>
      </c>
      <c r="GX149" s="9">
        <v>0.1</v>
      </c>
      <c r="GY149" s="9">
        <v>0.1</v>
      </c>
      <c r="HA149" s="9">
        <v>2.6</v>
      </c>
      <c r="HC149" s="9">
        <v>3.8</v>
      </c>
      <c r="HD149" s="9">
        <v>4.7</v>
      </c>
      <c r="HG149" s="9">
        <v>6.1</v>
      </c>
      <c r="HH149" s="9">
        <v>1.9</v>
      </c>
      <c r="HL149" s="9">
        <v>9.6</v>
      </c>
      <c r="HN149" s="9">
        <v>3.4</v>
      </c>
      <c r="HO149" s="9">
        <v>3.5</v>
      </c>
      <c r="HP149" s="9">
        <v>2.9</v>
      </c>
      <c r="HQ149" s="9">
        <v>2.9</v>
      </c>
      <c r="HR149" s="9">
        <v>3.2</v>
      </c>
      <c r="HS149" s="9">
        <v>3.1</v>
      </c>
      <c r="HT149" s="9">
        <v>0.2</v>
      </c>
      <c r="HU149" s="9">
        <v>4.0999999999999996</v>
      </c>
      <c r="HV149" s="9">
        <v>3</v>
      </c>
      <c r="HW149" s="9">
        <v>0.4</v>
      </c>
      <c r="HX149" s="9">
        <v>0.8</v>
      </c>
      <c r="HY149" s="9">
        <v>0.8</v>
      </c>
      <c r="HZ149" s="9">
        <v>0.1</v>
      </c>
      <c r="IA149" s="9">
        <v>0.1</v>
      </c>
      <c r="IB149" s="9">
        <v>0</v>
      </c>
      <c r="IC149" s="9">
        <v>0</v>
      </c>
      <c r="IF149" s="9">
        <v>-1.6</v>
      </c>
      <c r="IK149" s="9">
        <v>5.2</v>
      </c>
      <c r="IL149" s="9">
        <v>-1.5</v>
      </c>
      <c r="IM149" s="9">
        <v>11</v>
      </c>
      <c r="IQ149" s="9">
        <v>3.6</v>
      </c>
    </row>
    <row r="150" spans="1:251" x14ac:dyDescent="0.2">
      <c r="A150" s="10">
        <v>30468</v>
      </c>
      <c r="B150" s="8">
        <v>24.32</v>
      </c>
      <c r="C150" s="8">
        <v>23.44</v>
      </c>
      <c r="D150" s="8">
        <v>22.46</v>
      </c>
      <c r="E150" s="8">
        <v>19.32</v>
      </c>
      <c r="F150" s="8">
        <v>23.01</v>
      </c>
      <c r="G150" s="8">
        <v>30.03</v>
      </c>
      <c r="H150" s="8">
        <v>30.83</v>
      </c>
      <c r="I150" s="8">
        <v>29.43</v>
      </c>
      <c r="J150" s="8">
        <v>23.11</v>
      </c>
      <c r="K150" s="8">
        <v>35.28</v>
      </c>
      <c r="L150" s="8">
        <v>19.13</v>
      </c>
      <c r="M150" s="8">
        <v>60.52</v>
      </c>
      <c r="N150" s="8">
        <v>24.36</v>
      </c>
      <c r="O150" s="8">
        <v>24.73</v>
      </c>
      <c r="P150" s="8">
        <v>27.31</v>
      </c>
      <c r="Q150" s="8">
        <v>27.65</v>
      </c>
      <c r="R150" s="8">
        <v>25.61</v>
      </c>
      <c r="S150" s="8">
        <v>29.69</v>
      </c>
      <c r="X150" s="8">
        <v>26.87</v>
      </c>
      <c r="Y150" s="8">
        <v>22.89</v>
      </c>
      <c r="AC150" s="8">
        <v>31.88</v>
      </c>
      <c r="AE150" s="8">
        <v>30.24</v>
      </c>
      <c r="AG150" s="8">
        <v>19.75</v>
      </c>
      <c r="AH150" s="8">
        <v>20.78</v>
      </c>
      <c r="AI150" s="8">
        <v>18.45</v>
      </c>
      <c r="AJ150" s="8">
        <v>8.33</v>
      </c>
      <c r="AK150" s="8">
        <v>21.82</v>
      </c>
      <c r="AL150" s="8">
        <v>16.899999999999999</v>
      </c>
      <c r="AM150" s="8">
        <v>38.950000000000003</v>
      </c>
      <c r="AN150" s="8">
        <v>16.739999999999998</v>
      </c>
      <c r="AO150" s="8">
        <v>1.59</v>
      </c>
      <c r="AP150" s="8">
        <v>1.59</v>
      </c>
      <c r="AQ150" s="8">
        <v>57.41</v>
      </c>
      <c r="AV150" s="8">
        <v>74.349999999999994</v>
      </c>
      <c r="AW150" s="8">
        <v>83.16</v>
      </c>
      <c r="AX150" s="8">
        <v>69.95</v>
      </c>
      <c r="AY150" s="8">
        <v>70.56</v>
      </c>
      <c r="BB150" s="8">
        <v>18.22</v>
      </c>
      <c r="BC150" s="8">
        <v>20.41</v>
      </c>
      <c r="BD150" s="8">
        <v>20.28</v>
      </c>
      <c r="BE150" s="8">
        <v>20.28</v>
      </c>
      <c r="BI150" s="8">
        <v>24.48</v>
      </c>
      <c r="BK150" s="8">
        <v>15.57</v>
      </c>
      <c r="BM150" s="8">
        <v>16.600000000000001</v>
      </c>
      <c r="BO150" s="8">
        <v>41.33</v>
      </c>
      <c r="BP150" s="8">
        <v>37.03</v>
      </c>
      <c r="BQ150" s="8">
        <v>40.04</v>
      </c>
      <c r="BR150" s="8">
        <v>26.96</v>
      </c>
      <c r="BS150" s="8">
        <v>69.069999999999993</v>
      </c>
      <c r="BT150" s="8">
        <v>69.069999999999993</v>
      </c>
      <c r="BV150" s="8">
        <v>75.349999999999994</v>
      </c>
      <c r="BW150" s="8">
        <v>85.95</v>
      </c>
      <c r="BY150" s="8">
        <v>39.020000000000003</v>
      </c>
      <c r="CA150" s="8">
        <v>42.13</v>
      </c>
      <c r="CB150" s="8">
        <v>48.77</v>
      </c>
      <c r="CE150" s="8">
        <v>18.02</v>
      </c>
      <c r="CF150" s="8">
        <v>19.07</v>
      </c>
      <c r="CJ150" s="8">
        <v>30.52</v>
      </c>
      <c r="CL150" s="8">
        <v>14.45</v>
      </c>
      <c r="CM150" s="8">
        <v>14.57</v>
      </c>
      <c r="CN150" s="8">
        <v>13.94</v>
      </c>
      <c r="CO150" s="8">
        <v>26.56</v>
      </c>
      <c r="CP150" s="8">
        <v>27.47</v>
      </c>
      <c r="CQ150" s="8">
        <v>52.83</v>
      </c>
      <c r="CR150" s="8">
        <v>33.32</v>
      </c>
      <c r="CS150" s="8">
        <v>21.29</v>
      </c>
      <c r="CT150" s="8">
        <v>25.22</v>
      </c>
      <c r="CU150" s="8">
        <v>16.07</v>
      </c>
      <c r="CV150" s="8">
        <v>17.29</v>
      </c>
      <c r="CW150" s="8">
        <v>17.29</v>
      </c>
      <c r="CX150" s="8">
        <v>82.44</v>
      </c>
      <c r="CY150" s="8">
        <v>82.44</v>
      </c>
      <c r="CZ150" s="8">
        <v>21.54</v>
      </c>
      <c r="DA150" s="8">
        <v>90.8</v>
      </c>
      <c r="DD150" s="8">
        <v>2166.1799999999998</v>
      </c>
      <c r="DI150" s="8">
        <v>27.47</v>
      </c>
      <c r="DJ150" s="8">
        <v>22.81</v>
      </c>
      <c r="DK150" s="8">
        <v>29.39</v>
      </c>
      <c r="DO150" s="8">
        <v>25.51</v>
      </c>
      <c r="DS150" s="8">
        <v>8.65</v>
      </c>
      <c r="DT150" s="8">
        <v>8.65</v>
      </c>
      <c r="ED150" s="9">
        <v>2.1</v>
      </c>
      <c r="EE150" s="9">
        <v>4.4000000000000004</v>
      </c>
      <c r="EF150" s="9">
        <v>1.5</v>
      </c>
      <c r="EG150" s="9">
        <v>0.6</v>
      </c>
      <c r="EH150" s="9">
        <v>2.5</v>
      </c>
      <c r="EI150" s="9">
        <v>0.5</v>
      </c>
      <c r="EJ150" s="9">
        <v>1.1000000000000001</v>
      </c>
      <c r="EK150" s="9">
        <v>8.4</v>
      </c>
      <c r="EL150" s="9">
        <v>13.5</v>
      </c>
      <c r="EM150" s="9">
        <v>0.3</v>
      </c>
      <c r="EN150" s="9">
        <v>18.5</v>
      </c>
      <c r="EO150" s="9">
        <v>-0.5</v>
      </c>
      <c r="EP150" s="9">
        <v>-0.3</v>
      </c>
      <c r="EQ150" s="9">
        <v>2.6</v>
      </c>
      <c r="ER150" s="9">
        <v>1.6</v>
      </c>
      <c r="ES150" s="9">
        <v>1.1000000000000001</v>
      </c>
      <c r="ET150" s="9">
        <v>4.0999999999999996</v>
      </c>
      <c r="EU150" s="9">
        <v>1.4</v>
      </c>
      <c r="EZ150" s="9">
        <v>2</v>
      </c>
      <c r="FA150" s="9">
        <v>-0.8</v>
      </c>
      <c r="FE150" s="9">
        <v>0.2</v>
      </c>
      <c r="FG150" s="9">
        <v>3.1</v>
      </c>
      <c r="FI150" s="9">
        <v>1.5</v>
      </c>
      <c r="FJ150" s="9">
        <v>1.5</v>
      </c>
      <c r="FK150" s="9">
        <v>1.5</v>
      </c>
      <c r="FL150" s="9">
        <v>2.1</v>
      </c>
      <c r="FM150" s="9">
        <v>1.5</v>
      </c>
      <c r="FN150" s="9">
        <v>0.9</v>
      </c>
      <c r="FO150" s="9">
        <v>1.8</v>
      </c>
      <c r="FP150" s="9">
        <v>1.5</v>
      </c>
      <c r="FQ150" s="9">
        <v>3.2</v>
      </c>
      <c r="FR150" s="9">
        <v>3.2</v>
      </c>
      <c r="FS150" s="9">
        <v>3.4</v>
      </c>
      <c r="FX150" s="9">
        <v>6.7</v>
      </c>
      <c r="FY150" s="9">
        <v>2.2999999999999998</v>
      </c>
      <c r="FZ150" s="9">
        <v>6.2</v>
      </c>
      <c r="GA150" s="9">
        <v>15</v>
      </c>
      <c r="GD150" s="9">
        <v>2.2000000000000002</v>
      </c>
      <c r="GE150" s="9">
        <v>1.5</v>
      </c>
      <c r="GF150" s="9">
        <v>1.9</v>
      </c>
      <c r="GG150" s="9">
        <v>1.9</v>
      </c>
      <c r="GK150" s="9">
        <v>1.6</v>
      </c>
      <c r="GM150" s="9">
        <v>0</v>
      </c>
      <c r="GO150" s="9">
        <v>-0.2</v>
      </c>
      <c r="GQ150" s="9">
        <v>1.2</v>
      </c>
      <c r="GR150" s="9">
        <v>1.8</v>
      </c>
      <c r="GS150" s="9">
        <v>1.6</v>
      </c>
      <c r="GT150" s="9">
        <v>2.5</v>
      </c>
      <c r="GU150" s="9">
        <v>6.5</v>
      </c>
      <c r="GV150" s="9">
        <v>6.5</v>
      </c>
      <c r="GX150" s="9">
        <v>1.2</v>
      </c>
      <c r="GY150" s="9">
        <v>1.2</v>
      </c>
      <c r="HA150" s="9">
        <v>2.5</v>
      </c>
      <c r="HC150" s="9">
        <v>0.9</v>
      </c>
      <c r="HD150" s="9">
        <v>2.2000000000000002</v>
      </c>
      <c r="HG150" s="9">
        <v>2</v>
      </c>
      <c r="HH150" s="9">
        <v>1</v>
      </c>
      <c r="HL150" s="9">
        <v>1.9</v>
      </c>
      <c r="HN150" s="9">
        <v>2.4</v>
      </c>
      <c r="HO150" s="9">
        <v>2.7</v>
      </c>
      <c r="HP150" s="9">
        <v>0.7</v>
      </c>
      <c r="HQ150" s="9">
        <v>0</v>
      </c>
      <c r="HR150" s="9">
        <v>0</v>
      </c>
      <c r="HS150" s="9">
        <v>3.4</v>
      </c>
      <c r="HT150" s="9">
        <v>5.0999999999999996</v>
      </c>
      <c r="HU150" s="9">
        <v>-4.7</v>
      </c>
      <c r="HV150" s="9">
        <v>1.1000000000000001</v>
      </c>
      <c r="HW150" s="9">
        <v>-0.1</v>
      </c>
      <c r="HX150" s="9">
        <v>0</v>
      </c>
      <c r="HY150" s="9">
        <v>0</v>
      </c>
      <c r="HZ150" s="9">
        <v>-0.1</v>
      </c>
      <c r="IA150" s="9">
        <v>-0.1</v>
      </c>
      <c r="IB150" s="9">
        <v>0</v>
      </c>
      <c r="IC150" s="9">
        <v>0</v>
      </c>
      <c r="IF150" s="9">
        <v>2.7</v>
      </c>
      <c r="IK150" s="9">
        <v>4</v>
      </c>
      <c r="IL150" s="9">
        <v>0.1</v>
      </c>
      <c r="IM150" s="9">
        <v>7</v>
      </c>
      <c r="IQ150" s="9">
        <v>-1.7</v>
      </c>
    </row>
    <row r="151" spans="1:251" x14ac:dyDescent="0.2">
      <c r="A151" s="10">
        <v>30560</v>
      </c>
      <c r="B151" s="8">
        <v>24.74</v>
      </c>
      <c r="C151" s="8">
        <v>23.74</v>
      </c>
      <c r="D151" s="8">
        <v>22.83</v>
      </c>
      <c r="E151" s="8">
        <v>19.579999999999998</v>
      </c>
      <c r="F151" s="8">
        <v>23.5</v>
      </c>
      <c r="G151" s="8">
        <v>30.92</v>
      </c>
      <c r="H151" s="8">
        <v>30.45</v>
      </c>
      <c r="I151" s="8">
        <v>28.81</v>
      </c>
      <c r="J151" s="8">
        <v>23.01</v>
      </c>
      <c r="K151" s="8">
        <v>34.299999999999997</v>
      </c>
      <c r="L151" s="8">
        <v>16.11</v>
      </c>
      <c r="M151" s="8">
        <v>64.5</v>
      </c>
      <c r="N151" s="8">
        <v>24.8</v>
      </c>
      <c r="O151" s="8">
        <v>24.78</v>
      </c>
      <c r="P151" s="8">
        <v>27.46</v>
      </c>
      <c r="Q151" s="8">
        <v>27.76</v>
      </c>
      <c r="R151" s="8">
        <v>25.83</v>
      </c>
      <c r="S151" s="8">
        <v>29.4</v>
      </c>
      <c r="X151" s="8">
        <v>27.27</v>
      </c>
      <c r="Y151" s="8">
        <v>23.56</v>
      </c>
      <c r="AC151" s="8">
        <v>31.74</v>
      </c>
      <c r="AE151" s="8">
        <v>31.01</v>
      </c>
      <c r="AG151" s="8">
        <v>20.239999999999998</v>
      </c>
      <c r="AH151" s="8">
        <v>21.12</v>
      </c>
      <c r="AI151" s="8">
        <v>19.010000000000002</v>
      </c>
      <c r="AJ151" s="8">
        <v>8.51</v>
      </c>
      <c r="AK151" s="8">
        <v>22</v>
      </c>
      <c r="AL151" s="8">
        <v>17.079999999999998</v>
      </c>
      <c r="AM151" s="8">
        <v>39.24</v>
      </c>
      <c r="AN151" s="8">
        <v>16.88</v>
      </c>
      <c r="AO151" s="8">
        <v>1.67</v>
      </c>
      <c r="AP151" s="8">
        <v>1.67</v>
      </c>
      <c r="AQ151" s="8">
        <v>57.41</v>
      </c>
      <c r="AV151" s="8">
        <v>74.459999999999994</v>
      </c>
      <c r="AW151" s="8">
        <v>82.93</v>
      </c>
      <c r="AX151" s="8">
        <v>70.17</v>
      </c>
      <c r="AY151" s="8">
        <v>70.86</v>
      </c>
      <c r="BB151" s="8">
        <v>18.37</v>
      </c>
      <c r="BC151" s="8">
        <v>20.63</v>
      </c>
      <c r="BD151" s="8">
        <v>20.6</v>
      </c>
      <c r="BE151" s="8">
        <v>20.6</v>
      </c>
      <c r="BI151" s="8">
        <v>24.7</v>
      </c>
      <c r="BK151" s="8">
        <v>16.02</v>
      </c>
      <c r="BM151" s="8">
        <v>17.11</v>
      </c>
      <c r="BO151" s="8">
        <v>42.02</v>
      </c>
      <c r="BP151" s="8">
        <v>37.729999999999997</v>
      </c>
      <c r="BQ151" s="8">
        <v>40.92</v>
      </c>
      <c r="BR151" s="8">
        <v>27.27</v>
      </c>
      <c r="BS151" s="8">
        <v>70.12</v>
      </c>
      <c r="BT151" s="8">
        <v>70.12</v>
      </c>
      <c r="BV151" s="8">
        <v>75.84</v>
      </c>
      <c r="BW151" s="8">
        <v>86.51</v>
      </c>
      <c r="BY151" s="8">
        <v>40.42</v>
      </c>
      <c r="CA151" s="8">
        <v>43.42</v>
      </c>
      <c r="CB151" s="8">
        <v>49.69</v>
      </c>
      <c r="CE151" s="8">
        <v>18.71</v>
      </c>
      <c r="CF151" s="8">
        <v>19.64</v>
      </c>
      <c r="CJ151" s="8">
        <v>31.09</v>
      </c>
      <c r="CL151" s="8">
        <v>14.76</v>
      </c>
      <c r="CM151" s="8">
        <v>14.87</v>
      </c>
      <c r="CN151" s="8">
        <v>14.21</v>
      </c>
      <c r="CO151" s="8">
        <v>27.53</v>
      </c>
      <c r="CP151" s="8">
        <v>28.46</v>
      </c>
      <c r="CQ151" s="8">
        <v>53.5</v>
      </c>
      <c r="CR151" s="8">
        <v>34.5</v>
      </c>
      <c r="CS151" s="8">
        <v>22.88</v>
      </c>
      <c r="CT151" s="8">
        <v>25.62</v>
      </c>
      <c r="CU151" s="8">
        <v>16.579999999999998</v>
      </c>
      <c r="CV151" s="8">
        <v>17.78</v>
      </c>
      <c r="CW151" s="8">
        <v>17.78</v>
      </c>
      <c r="CX151" s="8">
        <v>82.44</v>
      </c>
      <c r="CY151" s="8">
        <v>82.44</v>
      </c>
      <c r="CZ151" s="8">
        <v>21.54</v>
      </c>
      <c r="DA151" s="8">
        <v>90.8</v>
      </c>
      <c r="DD151" s="8">
        <v>2175.52</v>
      </c>
      <c r="DI151" s="8">
        <v>27.56</v>
      </c>
      <c r="DJ151" s="8">
        <v>23.2</v>
      </c>
      <c r="DK151" s="8">
        <v>29.21</v>
      </c>
      <c r="DO151" s="8">
        <v>25.4</v>
      </c>
      <c r="DS151" s="8">
        <v>8.65</v>
      </c>
      <c r="DT151" s="8">
        <v>8.65</v>
      </c>
      <c r="ED151" s="9">
        <v>1.7</v>
      </c>
      <c r="EE151" s="9">
        <v>1.3</v>
      </c>
      <c r="EF151" s="9">
        <v>1.6</v>
      </c>
      <c r="EG151" s="9">
        <v>1.3</v>
      </c>
      <c r="EH151" s="9">
        <v>2.1</v>
      </c>
      <c r="EI151" s="9">
        <v>3</v>
      </c>
      <c r="EJ151" s="9">
        <v>-1.2</v>
      </c>
      <c r="EK151" s="9">
        <v>-2.1</v>
      </c>
      <c r="EL151" s="9">
        <v>-0.4</v>
      </c>
      <c r="EM151" s="9">
        <v>-2.8</v>
      </c>
      <c r="EN151" s="9">
        <v>-15.8</v>
      </c>
      <c r="EO151" s="9">
        <v>6.6</v>
      </c>
      <c r="EP151" s="9">
        <v>1.8</v>
      </c>
      <c r="EQ151" s="9">
        <v>0.2</v>
      </c>
      <c r="ER151" s="9">
        <v>0.5</v>
      </c>
      <c r="ES151" s="9">
        <v>0.4</v>
      </c>
      <c r="ET151" s="9">
        <v>0.9</v>
      </c>
      <c r="EU151" s="9">
        <v>-1</v>
      </c>
      <c r="EZ151" s="9">
        <v>1.5</v>
      </c>
      <c r="FA151" s="9">
        <v>2.9</v>
      </c>
      <c r="FE151" s="9">
        <v>-0.4</v>
      </c>
      <c r="FG151" s="9">
        <v>2.5</v>
      </c>
      <c r="FI151" s="9">
        <v>2.5</v>
      </c>
      <c r="FJ151" s="9">
        <v>1.6</v>
      </c>
      <c r="FK151" s="9">
        <v>3</v>
      </c>
      <c r="FL151" s="9">
        <v>2.2000000000000002</v>
      </c>
      <c r="FM151" s="9">
        <v>0.8</v>
      </c>
      <c r="FN151" s="9">
        <v>1.1000000000000001</v>
      </c>
      <c r="FO151" s="9">
        <v>0.7</v>
      </c>
      <c r="FP151" s="9">
        <v>0.8</v>
      </c>
      <c r="FQ151" s="9">
        <v>5</v>
      </c>
      <c r="FR151" s="9">
        <v>5</v>
      </c>
      <c r="FS151" s="9">
        <v>0</v>
      </c>
      <c r="FX151" s="9">
        <v>0.1</v>
      </c>
      <c r="FY151" s="9">
        <v>-0.3</v>
      </c>
      <c r="FZ151" s="9">
        <v>0.3</v>
      </c>
      <c r="GA151" s="9">
        <v>0.4</v>
      </c>
      <c r="GD151" s="9">
        <v>0.8</v>
      </c>
      <c r="GE151" s="9">
        <v>1.1000000000000001</v>
      </c>
      <c r="GF151" s="9">
        <v>1.6</v>
      </c>
      <c r="GG151" s="9">
        <v>1.6</v>
      </c>
      <c r="GK151" s="9">
        <v>0.9</v>
      </c>
      <c r="GM151" s="9">
        <v>2.9</v>
      </c>
      <c r="GO151" s="9">
        <v>3.1</v>
      </c>
      <c r="GQ151" s="9">
        <v>1.7</v>
      </c>
      <c r="GR151" s="9">
        <v>1.9</v>
      </c>
      <c r="GS151" s="9">
        <v>2.2000000000000002</v>
      </c>
      <c r="GT151" s="9">
        <v>1.1000000000000001</v>
      </c>
      <c r="GU151" s="9">
        <v>1.5</v>
      </c>
      <c r="GV151" s="9">
        <v>1.5</v>
      </c>
      <c r="GX151" s="9">
        <v>0.7</v>
      </c>
      <c r="GY151" s="9">
        <v>0.7</v>
      </c>
      <c r="HA151" s="9">
        <v>3.6</v>
      </c>
      <c r="HC151" s="9">
        <v>3.1</v>
      </c>
      <c r="HD151" s="9">
        <v>1.9</v>
      </c>
      <c r="HG151" s="9">
        <v>3.8</v>
      </c>
      <c r="HH151" s="9">
        <v>3</v>
      </c>
      <c r="HL151" s="9">
        <v>1.9</v>
      </c>
      <c r="HN151" s="9">
        <v>2.1</v>
      </c>
      <c r="HO151" s="9">
        <v>2.1</v>
      </c>
      <c r="HP151" s="9">
        <v>1.9</v>
      </c>
      <c r="HQ151" s="9">
        <v>3.7</v>
      </c>
      <c r="HR151" s="9">
        <v>3.6</v>
      </c>
      <c r="HS151" s="9">
        <v>1.3</v>
      </c>
      <c r="HT151" s="9">
        <v>3.5</v>
      </c>
      <c r="HU151" s="9">
        <v>7.5</v>
      </c>
      <c r="HV151" s="9">
        <v>1.6</v>
      </c>
      <c r="HW151" s="9">
        <v>3.2</v>
      </c>
      <c r="HX151" s="9">
        <v>2.8</v>
      </c>
      <c r="HY151" s="9">
        <v>2.8</v>
      </c>
      <c r="HZ151" s="9">
        <v>0</v>
      </c>
      <c r="IA151" s="9">
        <v>0</v>
      </c>
      <c r="IB151" s="9">
        <v>0</v>
      </c>
      <c r="IC151" s="9">
        <v>0</v>
      </c>
      <c r="IF151" s="9">
        <v>0.4</v>
      </c>
      <c r="IK151" s="9">
        <v>0.3</v>
      </c>
      <c r="IL151" s="9">
        <v>1.7</v>
      </c>
      <c r="IM151" s="9">
        <v>-0.6</v>
      </c>
      <c r="IQ151" s="9">
        <v>-0.4</v>
      </c>
    </row>
    <row r="152" spans="1:251" x14ac:dyDescent="0.2">
      <c r="A152" s="10">
        <v>30651</v>
      </c>
      <c r="B152" s="8">
        <v>25.32</v>
      </c>
      <c r="C152" s="8">
        <v>24.03</v>
      </c>
      <c r="D152" s="8">
        <v>23.39</v>
      </c>
      <c r="E152" s="8">
        <v>20.14</v>
      </c>
      <c r="F152" s="8">
        <v>23.96</v>
      </c>
      <c r="G152" s="8">
        <v>31.86</v>
      </c>
      <c r="H152" s="8">
        <v>31.16</v>
      </c>
      <c r="I152" s="8">
        <v>28.23</v>
      </c>
      <c r="J152" s="8">
        <v>22.67</v>
      </c>
      <c r="K152" s="8">
        <v>34.22</v>
      </c>
      <c r="L152" s="8">
        <v>15.1</v>
      </c>
      <c r="M152" s="8">
        <v>61.3</v>
      </c>
      <c r="N152" s="8">
        <v>24.87</v>
      </c>
      <c r="O152" s="8">
        <v>25.11</v>
      </c>
      <c r="P152" s="8">
        <v>28.03</v>
      </c>
      <c r="Q152" s="8">
        <v>28.64</v>
      </c>
      <c r="R152" s="8">
        <v>25.68</v>
      </c>
      <c r="S152" s="8">
        <v>29.85</v>
      </c>
      <c r="X152" s="8">
        <v>26.47</v>
      </c>
      <c r="Y152" s="8">
        <v>24.24</v>
      </c>
      <c r="AC152" s="8">
        <v>32.56</v>
      </c>
      <c r="AE152" s="8">
        <v>32.24</v>
      </c>
      <c r="AG152" s="8">
        <v>20.6</v>
      </c>
      <c r="AH152" s="8">
        <v>21.52</v>
      </c>
      <c r="AI152" s="8">
        <v>19.39</v>
      </c>
      <c r="AJ152" s="8">
        <v>9.0399999999999991</v>
      </c>
      <c r="AK152" s="8">
        <v>22.92</v>
      </c>
      <c r="AL152" s="8">
        <v>17.7</v>
      </c>
      <c r="AM152" s="8">
        <v>41.21</v>
      </c>
      <c r="AN152" s="8">
        <v>17.59</v>
      </c>
      <c r="AO152" s="8">
        <v>1.86</v>
      </c>
      <c r="AP152" s="8">
        <v>1.86</v>
      </c>
      <c r="AQ152" s="8">
        <v>58.67</v>
      </c>
      <c r="AV152" s="8">
        <v>74.239999999999995</v>
      </c>
      <c r="AW152" s="8">
        <v>83.52</v>
      </c>
      <c r="AX152" s="8">
        <v>69.069999999999993</v>
      </c>
      <c r="AY152" s="8">
        <v>71.17</v>
      </c>
      <c r="BB152" s="8">
        <v>18.72</v>
      </c>
      <c r="BC152" s="8">
        <v>21.15</v>
      </c>
      <c r="BD152" s="8">
        <v>20.93</v>
      </c>
      <c r="BE152" s="8">
        <v>20.93</v>
      </c>
      <c r="BI152" s="8">
        <v>25.16</v>
      </c>
      <c r="BK152" s="8">
        <v>16.739999999999998</v>
      </c>
      <c r="BM152" s="8">
        <v>17.88</v>
      </c>
      <c r="BO152" s="8">
        <v>43.21</v>
      </c>
      <c r="BP152" s="8">
        <v>38.369999999999997</v>
      </c>
      <c r="BQ152" s="8">
        <v>41.61</v>
      </c>
      <c r="BR152" s="8">
        <v>27.8</v>
      </c>
      <c r="BS152" s="8">
        <v>71.290000000000006</v>
      </c>
      <c r="BT152" s="8">
        <v>71.290000000000006</v>
      </c>
      <c r="BV152" s="8">
        <v>76.430000000000007</v>
      </c>
      <c r="BW152" s="8">
        <v>87.18</v>
      </c>
      <c r="BY152" s="8">
        <v>42.02</v>
      </c>
      <c r="CA152" s="8">
        <v>43.67</v>
      </c>
      <c r="CB152" s="8">
        <v>49.62</v>
      </c>
      <c r="CE152" s="8">
        <v>19.07</v>
      </c>
      <c r="CF152" s="8">
        <v>20.420000000000002</v>
      </c>
      <c r="CJ152" s="8">
        <v>31.29</v>
      </c>
      <c r="CL152" s="8">
        <v>15.15</v>
      </c>
      <c r="CM152" s="8">
        <v>15.27</v>
      </c>
      <c r="CN152" s="8">
        <v>14.6</v>
      </c>
      <c r="CO152" s="8">
        <v>28.28</v>
      </c>
      <c r="CP152" s="8">
        <v>29.09</v>
      </c>
      <c r="CQ152" s="8">
        <v>53.98</v>
      </c>
      <c r="CR152" s="8">
        <v>34.79</v>
      </c>
      <c r="CS152" s="8">
        <v>23.97</v>
      </c>
      <c r="CT152" s="8">
        <v>25.9</v>
      </c>
      <c r="CU152" s="8">
        <v>16.77</v>
      </c>
      <c r="CV152" s="8">
        <v>19.36</v>
      </c>
      <c r="CW152" s="8">
        <v>19.36</v>
      </c>
      <c r="CX152" s="8">
        <v>90.47</v>
      </c>
      <c r="CY152" s="8">
        <v>90.47</v>
      </c>
      <c r="CZ152" s="8">
        <v>23.89</v>
      </c>
      <c r="DA152" s="8">
        <v>99.24</v>
      </c>
      <c r="DD152" s="8">
        <v>2130.67</v>
      </c>
      <c r="DI152" s="8">
        <v>27.38</v>
      </c>
      <c r="DJ152" s="8">
        <v>24.49</v>
      </c>
      <c r="DK152" s="8">
        <v>27.64</v>
      </c>
      <c r="DO152" s="8">
        <v>25.4</v>
      </c>
      <c r="DS152" s="8">
        <v>8.65</v>
      </c>
      <c r="DT152" s="8">
        <v>8.65</v>
      </c>
      <c r="ED152" s="9">
        <v>2.2999999999999998</v>
      </c>
      <c r="EE152" s="9">
        <v>1.2</v>
      </c>
      <c r="EF152" s="9">
        <v>2.5</v>
      </c>
      <c r="EG152" s="9">
        <v>2.9</v>
      </c>
      <c r="EH152" s="9">
        <v>2</v>
      </c>
      <c r="EI152" s="9">
        <v>3</v>
      </c>
      <c r="EJ152" s="9">
        <v>2.2999999999999998</v>
      </c>
      <c r="EK152" s="9">
        <v>-2</v>
      </c>
      <c r="EL152" s="9">
        <v>-1.5</v>
      </c>
      <c r="EM152" s="9">
        <v>-0.2</v>
      </c>
      <c r="EN152" s="9">
        <v>-6.3</v>
      </c>
      <c r="EO152" s="9">
        <v>-5</v>
      </c>
      <c r="EP152" s="9">
        <v>0.3</v>
      </c>
      <c r="EQ152" s="9">
        <v>1.3</v>
      </c>
      <c r="ER152" s="9">
        <v>2.1</v>
      </c>
      <c r="ES152" s="9">
        <v>3.2</v>
      </c>
      <c r="ET152" s="9">
        <v>-0.6</v>
      </c>
      <c r="EU152" s="9">
        <v>1.5</v>
      </c>
      <c r="EZ152" s="9">
        <v>-2.9</v>
      </c>
      <c r="FA152" s="9">
        <v>2.9</v>
      </c>
      <c r="FE152" s="9">
        <v>2.6</v>
      </c>
      <c r="FG152" s="9">
        <v>4</v>
      </c>
      <c r="FI152" s="9">
        <v>1.8</v>
      </c>
      <c r="FJ152" s="9">
        <v>1.9</v>
      </c>
      <c r="FK152" s="9">
        <v>2</v>
      </c>
      <c r="FL152" s="9">
        <v>6.2</v>
      </c>
      <c r="FM152" s="9">
        <v>4.2</v>
      </c>
      <c r="FN152" s="9">
        <v>3.6</v>
      </c>
      <c r="FO152" s="9">
        <v>5</v>
      </c>
      <c r="FP152" s="9">
        <v>4.2</v>
      </c>
      <c r="FQ152" s="9">
        <v>11.4</v>
      </c>
      <c r="FR152" s="9">
        <v>11.4</v>
      </c>
      <c r="FS152" s="9">
        <v>2.2000000000000002</v>
      </c>
      <c r="FX152" s="9">
        <v>-0.3</v>
      </c>
      <c r="FY152" s="9">
        <v>0.7</v>
      </c>
      <c r="FZ152" s="9">
        <v>-1.6</v>
      </c>
      <c r="GA152" s="9">
        <v>0.4</v>
      </c>
      <c r="GD152" s="9">
        <v>1.9</v>
      </c>
      <c r="GE152" s="9">
        <v>2.5</v>
      </c>
      <c r="GF152" s="9">
        <v>1.6</v>
      </c>
      <c r="GG152" s="9">
        <v>1.6</v>
      </c>
      <c r="GK152" s="9">
        <v>1.9</v>
      </c>
      <c r="GM152" s="9">
        <v>4.5</v>
      </c>
      <c r="GO152" s="9">
        <v>4.5</v>
      </c>
      <c r="GQ152" s="9">
        <v>2.8</v>
      </c>
      <c r="GR152" s="9">
        <v>1.7</v>
      </c>
      <c r="GS152" s="9">
        <v>1.7</v>
      </c>
      <c r="GT152" s="9">
        <v>1.9</v>
      </c>
      <c r="GU152" s="9">
        <v>1.7</v>
      </c>
      <c r="GV152" s="9">
        <v>1.7</v>
      </c>
      <c r="GX152" s="9">
        <v>0.8</v>
      </c>
      <c r="GY152" s="9">
        <v>0.8</v>
      </c>
      <c r="HA152" s="9">
        <v>4</v>
      </c>
      <c r="HC152" s="9">
        <v>0.6</v>
      </c>
      <c r="HD152" s="9">
        <v>-0.1</v>
      </c>
      <c r="HG152" s="9">
        <v>1.9</v>
      </c>
      <c r="HH152" s="9">
        <v>4</v>
      </c>
      <c r="HL152" s="9">
        <v>0.6</v>
      </c>
      <c r="HN152" s="9">
        <v>2.6</v>
      </c>
      <c r="HO152" s="9">
        <v>2.7</v>
      </c>
      <c r="HP152" s="9">
        <v>2.7</v>
      </c>
      <c r="HQ152" s="9">
        <v>2.7</v>
      </c>
      <c r="HR152" s="9">
        <v>2.2000000000000002</v>
      </c>
      <c r="HS152" s="9">
        <v>0.9</v>
      </c>
      <c r="HT152" s="9">
        <v>0.8</v>
      </c>
      <c r="HU152" s="9">
        <v>4.8</v>
      </c>
      <c r="HV152" s="9">
        <v>1.1000000000000001</v>
      </c>
      <c r="HW152" s="9">
        <v>1.1000000000000001</v>
      </c>
      <c r="HX152" s="9">
        <v>8.9</v>
      </c>
      <c r="HY152" s="9">
        <v>8.9</v>
      </c>
      <c r="HZ152" s="9">
        <v>9.6999999999999993</v>
      </c>
      <c r="IA152" s="9">
        <v>9.6999999999999993</v>
      </c>
      <c r="IB152" s="9">
        <v>10.9</v>
      </c>
      <c r="IC152" s="9">
        <v>9.3000000000000007</v>
      </c>
      <c r="IF152" s="9">
        <v>-2.1</v>
      </c>
      <c r="IK152" s="9">
        <v>-0.7</v>
      </c>
      <c r="IL152" s="9">
        <v>5.6</v>
      </c>
      <c r="IM152" s="9">
        <v>-5.4</v>
      </c>
      <c r="IQ152" s="9">
        <v>0</v>
      </c>
    </row>
    <row r="153" spans="1:251" x14ac:dyDescent="0.2">
      <c r="A153" s="10">
        <v>30742</v>
      </c>
      <c r="B153" s="8">
        <v>25.21</v>
      </c>
      <c r="C153" s="8">
        <v>24.39</v>
      </c>
      <c r="D153" s="8">
        <v>24.01</v>
      </c>
      <c r="E153" s="8">
        <v>20.92</v>
      </c>
      <c r="F153" s="8">
        <v>24.19</v>
      </c>
      <c r="G153" s="8">
        <v>32.96</v>
      </c>
      <c r="H153" s="8">
        <v>32.840000000000003</v>
      </c>
      <c r="I153" s="8">
        <v>28.85</v>
      </c>
      <c r="J153" s="8">
        <v>23.04</v>
      </c>
      <c r="K153" s="8">
        <v>33.840000000000003</v>
      </c>
      <c r="L153" s="8">
        <v>16.88</v>
      </c>
      <c r="M153" s="8">
        <v>61.69</v>
      </c>
      <c r="N153" s="8">
        <v>24.94</v>
      </c>
      <c r="O153" s="8">
        <v>25.4</v>
      </c>
      <c r="P153" s="8">
        <v>28.18</v>
      </c>
      <c r="Q153" s="8">
        <v>28.98</v>
      </c>
      <c r="R153" s="8">
        <v>25.49</v>
      </c>
      <c r="S153" s="8">
        <v>30.14</v>
      </c>
      <c r="X153" s="8">
        <v>26.35</v>
      </c>
      <c r="Y153" s="8">
        <v>24.16</v>
      </c>
      <c r="AC153" s="8">
        <v>32.46</v>
      </c>
      <c r="AE153" s="8">
        <v>33.15</v>
      </c>
      <c r="AG153" s="8">
        <v>21.02</v>
      </c>
      <c r="AH153" s="8">
        <v>22.03</v>
      </c>
      <c r="AI153" s="8">
        <v>19.7</v>
      </c>
      <c r="AJ153" s="8">
        <v>9.1999999999999993</v>
      </c>
      <c r="AK153" s="8">
        <v>23.42</v>
      </c>
      <c r="AL153" s="8">
        <v>18</v>
      </c>
      <c r="AM153" s="8">
        <v>41.56</v>
      </c>
      <c r="AN153" s="8">
        <v>18.05</v>
      </c>
      <c r="AO153" s="8">
        <v>1.87</v>
      </c>
      <c r="AP153" s="8">
        <v>1.87</v>
      </c>
      <c r="AQ153" s="8">
        <v>58.85</v>
      </c>
      <c r="AV153" s="8">
        <v>75.02</v>
      </c>
      <c r="AW153" s="8">
        <v>83.16</v>
      </c>
      <c r="AX153" s="8">
        <v>69.180000000000007</v>
      </c>
      <c r="AY153" s="8">
        <v>74.92</v>
      </c>
      <c r="BB153" s="8">
        <v>18.87</v>
      </c>
      <c r="BC153" s="8">
        <v>21.48</v>
      </c>
      <c r="BD153" s="8">
        <v>21.26</v>
      </c>
      <c r="BE153" s="8">
        <v>21.26</v>
      </c>
      <c r="BI153" s="8">
        <v>25.84</v>
      </c>
      <c r="BK153" s="8">
        <v>16.670000000000002</v>
      </c>
      <c r="BM153" s="8">
        <v>17.66</v>
      </c>
      <c r="BO153" s="8">
        <v>43.52</v>
      </c>
      <c r="BP153" s="8">
        <v>38.840000000000003</v>
      </c>
      <c r="BQ153" s="8">
        <v>42.11</v>
      </c>
      <c r="BR153" s="8">
        <v>28.02</v>
      </c>
      <c r="BS153" s="8">
        <v>72.03</v>
      </c>
      <c r="BT153" s="8">
        <v>72.03</v>
      </c>
      <c r="BV153" s="8">
        <v>76.92</v>
      </c>
      <c r="BW153" s="8">
        <v>87.74</v>
      </c>
      <c r="BY153" s="8">
        <v>42.15</v>
      </c>
      <c r="CA153" s="8">
        <v>44.31</v>
      </c>
      <c r="CB153" s="8">
        <v>50.41</v>
      </c>
      <c r="CE153" s="8">
        <v>19.91</v>
      </c>
      <c r="CF153" s="8">
        <v>20.63</v>
      </c>
      <c r="CJ153" s="8">
        <v>32.01</v>
      </c>
      <c r="CL153" s="8">
        <v>10.68</v>
      </c>
      <c r="CM153" s="8">
        <v>10.14</v>
      </c>
      <c r="CN153" s="8">
        <v>15.1</v>
      </c>
      <c r="CO153" s="8">
        <v>28.5</v>
      </c>
      <c r="CP153" s="8">
        <v>29.27</v>
      </c>
      <c r="CQ153" s="8">
        <v>54.46</v>
      </c>
      <c r="CR153" s="8">
        <v>35.33</v>
      </c>
      <c r="CS153" s="8">
        <v>23.85</v>
      </c>
      <c r="CT153" s="8">
        <v>26.42</v>
      </c>
      <c r="CU153" s="8">
        <v>16.91</v>
      </c>
      <c r="CV153" s="8">
        <v>19.57</v>
      </c>
      <c r="CW153" s="8">
        <v>19.579999999999998</v>
      </c>
      <c r="CX153" s="8">
        <v>90.58</v>
      </c>
      <c r="CY153" s="8">
        <v>90.58</v>
      </c>
      <c r="CZ153" s="8">
        <v>23.92</v>
      </c>
      <c r="DA153" s="8">
        <v>99.47</v>
      </c>
      <c r="DD153" s="8">
        <v>2091.42</v>
      </c>
      <c r="DI153" s="8">
        <v>27.82</v>
      </c>
      <c r="DJ153" s="8">
        <v>24.23</v>
      </c>
      <c r="DK153" s="8">
        <v>28.72</v>
      </c>
      <c r="DO153" s="8">
        <v>25.36</v>
      </c>
      <c r="DS153" s="8">
        <v>9.59</v>
      </c>
      <c r="DT153" s="8">
        <v>9.59</v>
      </c>
      <c r="ED153" s="9">
        <v>-0.4</v>
      </c>
      <c r="EE153" s="9">
        <v>1.5</v>
      </c>
      <c r="EF153" s="9">
        <v>2.7</v>
      </c>
      <c r="EG153" s="9">
        <v>3.9</v>
      </c>
      <c r="EH153" s="9">
        <v>1</v>
      </c>
      <c r="EI153" s="9">
        <v>3.5</v>
      </c>
      <c r="EJ153" s="9">
        <v>5.4</v>
      </c>
      <c r="EK153" s="9">
        <v>2.2000000000000002</v>
      </c>
      <c r="EL153" s="9">
        <v>1.6</v>
      </c>
      <c r="EM153" s="9">
        <v>-1.1000000000000001</v>
      </c>
      <c r="EN153" s="9">
        <v>11.8</v>
      </c>
      <c r="EO153" s="9">
        <v>0.6</v>
      </c>
      <c r="EP153" s="9">
        <v>0.3</v>
      </c>
      <c r="EQ153" s="9">
        <v>1.2</v>
      </c>
      <c r="ER153" s="9">
        <v>0.5</v>
      </c>
      <c r="ES153" s="9">
        <v>1.2</v>
      </c>
      <c r="ET153" s="9">
        <v>-0.7</v>
      </c>
      <c r="EU153" s="9">
        <v>1</v>
      </c>
      <c r="EZ153" s="9">
        <v>-0.5</v>
      </c>
      <c r="FA153" s="9">
        <v>-0.3</v>
      </c>
      <c r="FE153" s="9">
        <v>-0.3</v>
      </c>
      <c r="FG153" s="9">
        <v>2.8</v>
      </c>
      <c r="FI153" s="9">
        <v>2</v>
      </c>
      <c r="FJ153" s="9">
        <v>2.4</v>
      </c>
      <c r="FK153" s="9">
        <v>1.6</v>
      </c>
      <c r="FL153" s="9">
        <v>1.8</v>
      </c>
      <c r="FM153" s="9">
        <v>2.2000000000000002</v>
      </c>
      <c r="FN153" s="9">
        <v>1.7</v>
      </c>
      <c r="FO153" s="9">
        <v>0.8</v>
      </c>
      <c r="FP153" s="9">
        <v>2.6</v>
      </c>
      <c r="FQ153" s="9">
        <v>0.5</v>
      </c>
      <c r="FR153" s="9">
        <v>0.5</v>
      </c>
      <c r="FS153" s="9">
        <v>0.3</v>
      </c>
      <c r="FX153" s="9">
        <v>1.1000000000000001</v>
      </c>
      <c r="FY153" s="9">
        <v>-0.4</v>
      </c>
      <c r="FZ153" s="9">
        <v>0.2</v>
      </c>
      <c r="GA153" s="9">
        <v>5.3</v>
      </c>
      <c r="GD153" s="9">
        <v>0.8</v>
      </c>
      <c r="GE153" s="9">
        <v>1.6</v>
      </c>
      <c r="GF153" s="9">
        <v>1.6</v>
      </c>
      <c r="GG153" s="9">
        <v>1.6</v>
      </c>
      <c r="GK153" s="9">
        <v>2.7</v>
      </c>
      <c r="GM153" s="9">
        <v>-0.4</v>
      </c>
      <c r="GO153" s="9">
        <v>-1.2</v>
      </c>
      <c r="GQ153" s="9">
        <v>0.7</v>
      </c>
      <c r="GR153" s="9">
        <v>1.2</v>
      </c>
      <c r="GS153" s="9">
        <v>1.2</v>
      </c>
      <c r="GT153" s="9">
        <v>0.8</v>
      </c>
      <c r="GU153" s="9">
        <v>1</v>
      </c>
      <c r="GV153" s="9">
        <v>1</v>
      </c>
      <c r="GX153" s="9">
        <v>0.6</v>
      </c>
      <c r="GY153" s="9">
        <v>0.6</v>
      </c>
      <c r="HA153" s="9">
        <v>0.3</v>
      </c>
      <c r="HC153" s="9">
        <v>1.5</v>
      </c>
      <c r="HD153" s="9">
        <v>1.6</v>
      </c>
      <c r="HG153" s="9">
        <v>4.4000000000000004</v>
      </c>
      <c r="HH153" s="9">
        <v>1</v>
      </c>
      <c r="HL153" s="9">
        <v>2.2999999999999998</v>
      </c>
      <c r="HN153" s="9">
        <v>-29.5</v>
      </c>
      <c r="HO153" s="9">
        <v>-33.6</v>
      </c>
      <c r="HP153" s="9">
        <v>3.4</v>
      </c>
      <c r="HQ153" s="9">
        <v>0.8</v>
      </c>
      <c r="HR153" s="9">
        <v>0.6</v>
      </c>
      <c r="HS153" s="9">
        <v>0.9</v>
      </c>
      <c r="HT153" s="9">
        <v>1.6</v>
      </c>
      <c r="HU153" s="9">
        <v>-0.5</v>
      </c>
      <c r="HV153" s="9">
        <v>2</v>
      </c>
      <c r="HW153" s="9">
        <v>0.8</v>
      </c>
      <c r="HX153" s="9">
        <v>1.1000000000000001</v>
      </c>
      <c r="HY153" s="9">
        <v>1.1000000000000001</v>
      </c>
      <c r="HZ153" s="9">
        <v>0.1</v>
      </c>
      <c r="IA153" s="9">
        <v>0.1</v>
      </c>
      <c r="IB153" s="9">
        <v>0.1</v>
      </c>
      <c r="IC153" s="9">
        <v>0.2</v>
      </c>
      <c r="IF153" s="9">
        <v>-1.8</v>
      </c>
      <c r="IK153" s="9">
        <v>1.6</v>
      </c>
      <c r="IL153" s="9">
        <v>-1.1000000000000001</v>
      </c>
      <c r="IM153" s="9">
        <v>3.9</v>
      </c>
      <c r="IQ153" s="9">
        <v>-0.2</v>
      </c>
    </row>
    <row r="154" spans="1:251" x14ac:dyDescent="0.2">
      <c r="A154" s="10">
        <v>30834</v>
      </c>
      <c r="B154" s="8">
        <v>25.28</v>
      </c>
      <c r="C154" s="8">
        <v>24.32</v>
      </c>
      <c r="D154" s="8">
        <v>24.56</v>
      </c>
      <c r="E154" s="8">
        <v>21.39</v>
      </c>
      <c r="F154" s="8">
        <v>24.83</v>
      </c>
      <c r="G154" s="8">
        <v>34.01</v>
      </c>
      <c r="H154" s="8">
        <v>32.549999999999997</v>
      </c>
      <c r="I154" s="8">
        <v>28.93</v>
      </c>
      <c r="J154" s="8">
        <v>23.25</v>
      </c>
      <c r="K154" s="8">
        <v>34.130000000000003</v>
      </c>
      <c r="L154" s="8">
        <v>16.98</v>
      </c>
      <c r="M154" s="8">
        <v>59.58</v>
      </c>
      <c r="N154" s="8">
        <v>24.74</v>
      </c>
      <c r="O154" s="8">
        <v>25.45</v>
      </c>
      <c r="P154" s="8">
        <v>28.15</v>
      </c>
      <c r="Q154" s="8">
        <v>29.05</v>
      </c>
      <c r="R154" s="8">
        <v>25.31</v>
      </c>
      <c r="S154" s="8">
        <v>29.85</v>
      </c>
      <c r="X154" s="8">
        <v>26.35</v>
      </c>
      <c r="Y154" s="8">
        <v>24.73</v>
      </c>
      <c r="AC154" s="8">
        <v>32.71</v>
      </c>
      <c r="AE154" s="8">
        <v>34.28</v>
      </c>
      <c r="AG154" s="8">
        <v>21.48</v>
      </c>
      <c r="AH154" s="8">
        <v>22.53</v>
      </c>
      <c r="AI154" s="8">
        <v>20.170000000000002</v>
      </c>
      <c r="AJ154" s="8">
        <v>9.43</v>
      </c>
      <c r="AK154" s="8">
        <v>24.06</v>
      </c>
      <c r="AL154" s="8">
        <v>18.420000000000002</v>
      </c>
      <c r="AM154" s="8">
        <v>42.08</v>
      </c>
      <c r="AN154" s="8">
        <v>18.57</v>
      </c>
      <c r="AO154" s="8">
        <v>1.91</v>
      </c>
      <c r="AP154" s="8">
        <v>1.91</v>
      </c>
      <c r="AQ154" s="8">
        <v>60.57</v>
      </c>
      <c r="AV154" s="8">
        <v>77.37</v>
      </c>
      <c r="AW154" s="8">
        <v>85.66</v>
      </c>
      <c r="AX154" s="8">
        <v>71.61</v>
      </c>
      <c r="AY154" s="8">
        <v>76.84</v>
      </c>
      <c r="BB154" s="8">
        <v>19.28</v>
      </c>
      <c r="BC154" s="8">
        <v>21.96</v>
      </c>
      <c r="BD154" s="8">
        <v>21.74</v>
      </c>
      <c r="BE154" s="8">
        <v>21.74</v>
      </c>
      <c r="BI154" s="8">
        <v>26.35</v>
      </c>
      <c r="BK154" s="8">
        <v>16.45</v>
      </c>
      <c r="BM154" s="8">
        <v>17.329999999999998</v>
      </c>
      <c r="BO154" s="8">
        <v>43.83</v>
      </c>
      <c r="BP154" s="8">
        <v>39.14</v>
      </c>
      <c r="BQ154" s="8">
        <v>42.36</v>
      </c>
      <c r="BR154" s="8">
        <v>28.42</v>
      </c>
      <c r="BS154" s="8">
        <v>73.73</v>
      </c>
      <c r="BT154" s="8">
        <v>73.73</v>
      </c>
      <c r="BV154" s="8">
        <v>77.41</v>
      </c>
      <c r="BW154" s="8">
        <v>88.3</v>
      </c>
      <c r="BY154" s="8">
        <v>42.71</v>
      </c>
      <c r="CA154" s="8">
        <v>45.79</v>
      </c>
      <c r="CB154" s="8">
        <v>50.62</v>
      </c>
      <c r="CE154" s="8">
        <v>20.27</v>
      </c>
      <c r="CF154" s="8">
        <v>20.6</v>
      </c>
      <c r="CJ154" s="8">
        <v>32.58</v>
      </c>
      <c r="CL154" s="8">
        <v>8.3000000000000007</v>
      </c>
      <c r="CM154" s="8">
        <v>7.41</v>
      </c>
      <c r="CN154" s="8">
        <v>15.36</v>
      </c>
      <c r="CO154" s="8">
        <v>29.03</v>
      </c>
      <c r="CP154" s="8">
        <v>29.91</v>
      </c>
      <c r="CQ154" s="8">
        <v>55.24</v>
      </c>
      <c r="CR154" s="8">
        <v>36.36</v>
      </c>
      <c r="CS154" s="8">
        <v>24.72</v>
      </c>
      <c r="CT154" s="8">
        <v>26.78</v>
      </c>
      <c r="CU154" s="8">
        <v>17.329999999999998</v>
      </c>
      <c r="CV154" s="8">
        <v>19.57</v>
      </c>
      <c r="CW154" s="8">
        <v>19.579999999999998</v>
      </c>
      <c r="CX154" s="8">
        <v>90.58</v>
      </c>
      <c r="CY154" s="8">
        <v>90.58</v>
      </c>
      <c r="CZ154" s="8">
        <v>23.92</v>
      </c>
      <c r="DA154" s="8">
        <v>99.47</v>
      </c>
      <c r="DD154" s="8">
        <v>2037.22</v>
      </c>
      <c r="DI154" s="8">
        <v>27.6</v>
      </c>
      <c r="DJ154" s="8">
        <v>24.23</v>
      </c>
      <c r="DK154" s="8">
        <v>28.36</v>
      </c>
      <c r="DO154" s="8">
        <v>26.16</v>
      </c>
      <c r="DS154" s="8">
        <v>9.59</v>
      </c>
      <c r="DT154" s="8">
        <v>9.59</v>
      </c>
      <c r="ED154" s="9">
        <v>0.3</v>
      </c>
      <c r="EE154" s="9">
        <v>-0.3</v>
      </c>
      <c r="EF154" s="9">
        <v>2.2999999999999998</v>
      </c>
      <c r="EG154" s="9">
        <v>2.2000000000000002</v>
      </c>
      <c r="EH154" s="9">
        <v>2.6</v>
      </c>
      <c r="EI154" s="9">
        <v>3.2</v>
      </c>
      <c r="EJ154" s="9">
        <v>-0.9</v>
      </c>
      <c r="EK154" s="9">
        <v>0.3</v>
      </c>
      <c r="EL154" s="9">
        <v>0.9</v>
      </c>
      <c r="EM154" s="9">
        <v>0.9</v>
      </c>
      <c r="EN154" s="9">
        <v>0.6</v>
      </c>
      <c r="EO154" s="9">
        <v>-3.4</v>
      </c>
      <c r="EP154" s="9">
        <v>-0.8</v>
      </c>
      <c r="EQ154" s="9">
        <v>0.2</v>
      </c>
      <c r="ER154" s="9">
        <v>-0.1</v>
      </c>
      <c r="ES154" s="9">
        <v>0.2</v>
      </c>
      <c r="ET154" s="9">
        <v>-0.7</v>
      </c>
      <c r="EU154" s="9">
        <v>-1</v>
      </c>
      <c r="EZ154" s="9">
        <v>0</v>
      </c>
      <c r="FA154" s="9">
        <v>2.4</v>
      </c>
      <c r="FE154" s="9">
        <v>0.8</v>
      </c>
      <c r="FG154" s="9">
        <v>3.4</v>
      </c>
      <c r="FI154" s="9">
        <v>2.2000000000000002</v>
      </c>
      <c r="FJ154" s="9">
        <v>2.2999999999999998</v>
      </c>
      <c r="FK154" s="9">
        <v>2.4</v>
      </c>
      <c r="FL154" s="9">
        <v>2.5</v>
      </c>
      <c r="FM154" s="9">
        <v>2.7</v>
      </c>
      <c r="FN154" s="9">
        <v>2.2999999999999998</v>
      </c>
      <c r="FO154" s="9">
        <v>1.3</v>
      </c>
      <c r="FP154" s="9">
        <v>2.9</v>
      </c>
      <c r="FQ154" s="9">
        <v>2.1</v>
      </c>
      <c r="FR154" s="9">
        <v>2.1</v>
      </c>
      <c r="FS154" s="9">
        <v>2.9</v>
      </c>
      <c r="FX154" s="9">
        <v>3.1</v>
      </c>
      <c r="FY154" s="9">
        <v>3</v>
      </c>
      <c r="FZ154" s="9">
        <v>3.5</v>
      </c>
      <c r="GA154" s="9">
        <v>2.6</v>
      </c>
      <c r="GD154" s="9">
        <v>2.2000000000000002</v>
      </c>
      <c r="GE154" s="9">
        <v>2.2000000000000002</v>
      </c>
      <c r="GF154" s="9">
        <v>2.2999999999999998</v>
      </c>
      <c r="GG154" s="9">
        <v>2.2999999999999998</v>
      </c>
      <c r="GK154" s="9">
        <v>2</v>
      </c>
      <c r="GM154" s="9">
        <v>-1.3</v>
      </c>
      <c r="GO154" s="9">
        <v>-1.9</v>
      </c>
      <c r="GQ154" s="9">
        <v>0.7</v>
      </c>
      <c r="GR154" s="9">
        <v>0.8</v>
      </c>
      <c r="GS154" s="9">
        <v>0.6</v>
      </c>
      <c r="GT154" s="9">
        <v>1.4</v>
      </c>
      <c r="GU154" s="9">
        <v>2.4</v>
      </c>
      <c r="GV154" s="9">
        <v>2.4</v>
      </c>
      <c r="GX154" s="9">
        <v>0.6</v>
      </c>
      <c r="GY154" s="9">
        <v>0.6</v>
      </c>
      <c r="HA154" s="9">
        <v>1.3</v>
      </c>
      <c r="HC154" s="9">
        <v>3.3</v>
      </c>
      <c r="HD154" s="9">
        <v>0.4</v>
      </c>
      <c r="HG154" s="9">
        <v>1.8</v>
      </c>
      <c r="HH154" s="9">
        <v>-0.1</v>
      </c>
      <c r="HL154" s="9">
        <v>1.8</v>
      </c>
      <c r="HN154" s="9">
        <v>-22.3</v>
      </c>
      <c r="HO154" s="9">
        <v>-26.9</v>
      </c>
      <c r="HP154" s="9">
        <v>1.7</v>
      </c>
      <c r="HQ154" s="9">
        <v>1.9</v>
      </c>
      <c r="HR154" s="9">
        <v>2.2000000000000002</v>
      </c>
      <c r="HS154" s="9">
        <v>1.4</v>
      </c>
      <c r="HT154" s="9">
        <v>2.9</v>
      </c>
      <c r="HU154" s="9">
        <v>3.6</v>
      </c>
      <c r="HV154" s="9">
        <v>1.4</v>
      </c>
      <c r="HW154" s="9">
        <v>2.5</v>
      </c>
      <c r="HX154" s="9">
        <v>0</v>
      </c>
      <c r="HY154" s="9">
        <v>0</v>
      </c>
      <c r="HZ154" s="9">
        <v>0</v>
      </c>
      <c r="IA154" s="9">
        <v>0</v>
      </c>
      <c r="IB154" s="9">
        <v>0</v>
      </c>
      <c r="IC154" s="9">
        <v>0</v>
      </c>
      <c r="IF154" s="9">
        <v>-2.6</v>
      </c>
      <c r="IK154" s="9">
        <v>-0.8</v>
      </c>
      <c r="IL154" s="9">
        <v>0</v>
      </c>
      <c r="IM154" s="9">
        <v>-1.3</v>
      </c>
      <c r="IQ154" s="9">
        <v>3.2</v>
      </c>
    </row>
    <row r="155" spans="1:251" x14ac:dyDescent="0.2">
      <c r="A155" s="10">
        <v>30926</v>
      </c>
      <c r="B155" s="8">
        <v>25.59</v>
      </c>
      <c r="C155" s="8">
        <v>24.86</v>
      </c>
      <c r="D155" s="8">
        <v>24.97</v>
      </c>
      <c r="E155" s="8">
        <v>21.65</v>
      </c>
      <c r="F155" s="8">
        <v>25.29</v>
      </c>
      <c r="G155" s="8">
        <v>34.74</v>
      </c>
      <c r="H155" s="8">
        <v>33.31</v>
      </c>
      <c r="I155" s="8">
        <v>29.47</v>
      </c>
      <c r="J155" s="8">
        <v>23.76</v>
      </c>
      <c r="K155" s="8">
        <v>34.39</v>
      </c>
      <c r="L155" s="8">
        <v>17.850000000000001</v>
      </c>
      <c r="M155" s="8">
        <v>60.36</v>
      </c>
      <c r="N155" s="8">
        <v>24.94</v>
      </c>
      <c r="O155" s="8">
        <v>25.35</v>
      </c>
      <c r="P155" s="8">
        <v>28.11</v>
      </c>
      <c r="Q155" s="8">
        <v>29.05</v>
      </c>
      <c r="R155" s="8">
        <v>25.38</v>
      </c>
      <c r="S155" s="8">
        <v>30.06</v>
      </c>
      <c r="X155" s="8">
        <v>26.17</v>
      </c>
      <c r="Y155" s="8">
        <v>24.88</v>
      </c>
      <c r="AC155" s="8">
        <v>32.71</v>
      </c>
      <c r="AE155" s="8">
        <v>36.049999999999997</v>
      </c>
      <c r="AG155" s="8">
        <v>21.67</v>
      </c>
      <c r="AH155" s="8">
        <v>22.73</v>
      </c>
      <c r="AI155" s="8">
        <v>20.350000000000001</v>
      </c>
      <c r="AJ155" s="8">
        <v>9.57</v>
      </c>
      <c r="AK155" s="8">
        <v>24.31</v>
      </c>
      <c r="AL155" s="8">
        <v>18.72</v>
      </c>
      <c r="AM155" s="8">
        <v>42.55</v>
      </c>
      <c r="AN155" s="8">
        <v>18.78</v>
      </c>
      <c r="AO155" s="8">
        <v>1.95</v>
      </c>
      <c r="AP155" s="8">
        <v>1.95</v>
      </c>
      <c r="AQ155" s="8">
        <v>60.84</v>
      </c>
      <c r="AV155" s="8">
        <v>78.040000000000006</v>
      </c>
      <c r="AW155" s="8">
        <v>87.67</v>
      </c>
      <c r="AX155" s="8">
        <v>71.83</v>
      </c>
      <c r="AY155" s="8">
        <v>77.05</v>
      </c>
      <c r="BB155" s="8">
        <v>20.05</v>
      </c>
      <c r="BC155" s="8">
        <v>22.33</v>
      </c>
      <c r="BD155" s="8">
        <v>22.14</v>
      </c>
      <c r="BE155" s="8">
        <v>22.14</v>
      </c>
      <c r="BI155" s="8">
        <v>26.63</v>
      </c>
      <c r="BK155" s="8">
        <v>16.899999999999999</v>
      </c>
      <c r="BM155" s="8">
        <v>17.899999999999999</v>
      </c>
      <c r="BO155" s="8">
        <v>44.33</v>
      </c>
      <c r="BP155" s="8">
        <v>39.659999999999997</v>
      </c>
      <c r="BQ155" s="8">
        <v>42.98</v>
      </c>
      <c r="BR155" s="8">
        <v>28.68</v>
      </c>
      <c r="BS155" s="8">
        <v>73.3</v>
      </c>
      <c r="BT155" s="8">
        <v>73.3</v>
      </c>
      <c r="BV155" s="8">
        <v>77.010000000000005</v>
      </c>
      <c r="BW155" s="8">
        <v>87.85</v>
      </c>
      <c r="BY155" s="8">
        <v>42.85</v>
      </c>
      <c r="CA155" s="8">
        <v>45.66</v>
      </c>
      <c r="CB155" s="8">
        <v>51.62</v>
      </c>
      <c r="CE155" s="8">
        <v>20.329999999999998</v>
      </c>
      <c r="CF155" s="8">
        <v>21</v>
      </c>
      <c r="CJ155" s="8">
        <v>32.79</v>
      </c>
      <c r="CL155" s="8">
        <v>8.18</v>
      </c>
      <c r="CM155" s="8">
        <v>7.25</v>
      </c>
      <c r="CN155" s="8">
        <v>15.51</v>
      </c>
      <c r="CO155" s="8">
        <v>29.38</v>
      </c>
      <c r="CP155" s="8">
        <v>30.22</v>
      </c>
      <c r="CQ155" s="8">
        <v>55.81</v>
      </c>
      <c r="CR155" s="8">
        <v>37</v>
      </c>
      <c r="CS155" s="8">
        <v>24.94</v>
      </c>
      <c r="CT155" s="8">
        <v>27.02</v>
      </c>
      <c r="CU155" s="8">
        <v>17.82</v>
      </c>
      <c r="CV155" s="8">
        <v>20.04</v>
      </c>
      <c r="CW155" s="8">
        <v>20.04</v>
      </c>
      <c r="CX155" s="8">
        <v>90.58</v>
      </c>
      <c r="CY155" s="8">
        <v>90.58</v>
      </c>
      <c r="CZ155" s="8">
        <v>23.92</v>
      </c>
      <c r="DA155" s="8">
        <v>99.47</v>
      </c>
      <c r="DD155" s="8">
        <v>1997.97</v>
      </c>
      <c r="DI155" s="8">
        <v>28.08</v>
      </c>
      <c r="DJ155" s="8">
        <v>24.53</v>
      </c>
      <c r="DK155" s="8">
        <v>28.89</v>
      </c>
      <c r="DO155" s="8">
        <v>26.01</v>
      </c>
      <c r="DS155" s="8">
        <v>9.64</v>
      </c>
      <c r="DT155" s="8">
        <v>9.64</v>
      </c>
      <c r="ED155" s="9">
        <v>1.2</v>
      </c>
      <c r="EE155" s="9">
        <v>2.2000000000000002</v>
      </c>
      <c r="EF155" s="9">
        <v>1.7</v>
      </c>
      <c r="EG155" s="9">
        <v>1.2</v>
      </c>
      <c r="EH155" s="9">
        <v>1.9</v>
      </c>
      <c r="EI155" s="9">
        <v>2.1</v>
      </c>
      <c r="EJ155" s="9">
        <v>2.2999999999999998</v>
      </c>
      <c r="EK155" s="9">
        <v>1.9</v>
      </c>
      <c r="EL155" s="9">
        <v>2.2000000000000002</v>
      </c>
      <c r="EM155" s="9">
        <v>0.8</v>
      </c>
      <c r="EN155" s="9">
        <v>5.0999999999999996</v>
      </c>
      <c r="EO155" s="9">
        <v>1.3</v>
      </c>
      <c r="EP155" s="9">
        <v>0.8</v>
      </c>
      <c r="EQ155" s="9">
        <v>-0.4</v>
      </c>
      <c r="ER155" s="9">
        <v>-0.1</v>
      </c>
      <c r="ES155" s="9">
        <v>0</v>
      </c>
      <c r="ET155" s="9">
        <v>0.3</v>
      </c>
      <c r="EU155" s="9">
        <v>0.7</v>
      </c>
      <c r="EZ155" s="9">
        <v>-0.7</v>
      </c>
      <c r="FA155" s="9">
        <v>0.6</v>
      </c>
      <c r="FE155" s="9">
        <v>0</v>
      </c>
      <c r="FG155" s="9">
        <v>5.2</v>
      </c>
      <c r="FI155" s="9">
        <v>0.9</v>
      </c>
      <c r="FJ155" s="9">
        <v>0.9</v>
      </c>
      <c r="FK155" s="9">
        <v>0.9</v>
      </c>
      <c r="FL155" s="9">
        <v>1.5</v>
      </c>
      <c r="FM155" s="9">
        <v>1</v>
      </c>
      <c r="FN155" s="9">
        <v>1.6</v>
      </c>
      <c r="FO155" s="9">
        <v>1.1000000000000001</v>
      </c>
      <c r="FP155" s="9">
        <v>1.1000000000000001</v>
      </c>
      <c r="FQ155" s="9">
        <v>2.1</v>
      </c>
      <c r="FR155" s="9">
        <v>2.1</v>
      </c>
      <c r="FS155" s="9">
        <v>0.4</v>
      </c>
      <c r="FX155" s="9">
        <v>0.9</v>
      </c>
      <c r="FY155" s="9">
        <v>2.2999999999999998</v>
      </c>
      <c r="FZ155" s="9">
        <v>0.3</v>
      </c>
      <c r="GA155" s="9">
        <v>0.3</v>
      </c>
      <c r="GD155" s="9">
        <v>4</v>
      </c>
      <c r="GE155" s="9">
        <v>1.7</v>
      </c>
      <c r="GF155" s="9">
        <v>1.8</v>
      </c>
      <c r="GG155" s="9">
        <v>1.8</v>
      </c>
      <c r="GK155" s="9">
        <v>1.1000000000000001</v>
      </c>
      <c r="GM155" s="9">
        <v>2.7</v>
      </c>
      <c r="GO155" s="9">
        <v>3.3</v>
      </c>
      <c r="GQ155" s="9">
        <v>1.1000000000000001</v>
      </c>
      <c r="GR155" s="9">
        <v>1.3</v>
      </c>
      <c r="GS155" s="9">
        <v>1.5</v>
      </c>
      <c r="GT155" s="9">
        <v>0.9</v>
      </c>
      <c r="GU155" s="9">
        <v>-0.6</v>
      </c>
      <c r="GV155" s="9">
        <v>-0.6</v>
      </c>
      <c r="GX155" s="9">
        <v>-0.5</v>
      </c>
      <c r="GY155" s="9">
        <v>-0.5</v>
      </c>
      <c r="HA155" s="9">
        <v>0.3</v>
      </c>
      <c r="HC155" s="9">
        <v>-0.3</v>
      </c>
      <c r="HD155" s="9">
        <v>2</v>
      </c>
      <c r="HG155" s="9">
        <v>0.3</v>
      </c>
      <c r="HH155" s="9">
        <v>1.9</v>
      </c>
      <c r="HL155" s="9">
        <v>0.6</v>
      </c>
      <c r="HN155" s="9">
        <v>-1.4</v>
      </c>
      <c r="HO155" s="9">
        <v>-2.2000000000000002</v>
      </c>
      <c r="HP155" s="9">
        <v>1</v>
      </c>
      <c r="HQ155" s="9">
        <v>1.2</v>
      </c>
      <c r="HR155" s="9">
        <v>1</v>
      </c>
      <c r="HS155" s="9">
        <v>1</v>
      </c>
      <c r="HT155" s="9">
        <v>1.8</v>
      </c>
      <c r="HU155" s="9">
        <v>0.9</v>
      </c>
      <c r="HV155" s="9">
        <v>0.9</v>
      </c>
      <c r="HW155" s="9">
        <v>2.8</v>
      </c>
      <c r="HX155" s="9">
        <v>2.4</v>
      </c>
      <c r="HY155" s="9">
        <v>2.2999999999999998</v>
      </c>
      <c r="HZ155" s="9">
        <v>0</v>
      </c>
      <c r="IA155" s="9">
        <v>0</v>
      </c>
      <c r="IB155" s="9">
        <v>0</v>
      </c>
      <c r="IC155" s="9">
        <v>0</v>
      </c>
      <c r="IF155" s="9">
        <v>-1.9</v>
      </c>
      <c r="IK155" s="9">
        <v>1.7</v>
      </c>
      <c r="IL155" s="9">
        <v>1.2</v>
      </c>
      <c r="IM155" s="9">
        <v>1.9</v>
      </c>
      <c r="IQ155" s="9">
        <v>-0.6</v>
      </c>
    </row>
    <row r="156" spans="1:251" x14ac:dyDescent="0.2">
      <c r="A156" s="10">
        <v>31017</v>
      </c>
      <c r="B156" s="8">
        <v>25.98</v>
      </c>
      <c r="C156" s="8">
        <v>25.23</v>
      </c>
      <c r="D156" s="8">
        <v>25.01</v>
      </c>
      <c r="E156" s="8">
        <v>21.46</v>
      </c>
      <c r="F156" s="8">
        <v>25.6</v>
      </c>
      <c r="G156" s="8">
        <v>35.06</v>
      </c>
      <c r="H156" s="8">
        <v>33.03</v>
      </c>
      <c r="I156" s="8">
        <v>29.76</v>
      </c>
      <c r="J156" s="8">
        <v>24.06</v>
      </c>
      <c r="K156" s="8">
        <v>34.9</v>
      </c>
      <c r="L156" s="8">
        <v>17.149999999999999</v>
      </c>
      <c r="M156" s="8">
        <v>62.08</v>
      </c>
      <c r="N156" s="8">
        <v>25.01</v>
      </c>
      <c r="O156" s="8">
        <v>26.73</v>
      </c>
      <c r="P156" s="8">
        <v>27.99</v>
      </c>
      <c r="Q156" s="8">
        <v>29.01</v>
      </c>
      <c r="R156" s="8">
        <v>24.93</v>
      </c>
      <c r="S156" s="8">
        <v>29.6</v>
      </c>
      <c r="X156" s="8">
        <v>26.23</v>
      </c>
      <c r="Y156" s="8">
        <v>25.18</v>
      </c>
      <c r="AC156" s="8">
        <v>33.68</v>
      </c>
      <c r="AE156" s="8">
        <v>36.83</v>
      </c>
      <c r="AG156" s="8">
        <v>22.07</v>
      </c>
      <c r="AH156" s="8">
        <v>23.1</v>
      </c>
      <c r="AI156" s="8">
        <v>20.73</v>
      </c>
      <c r="AJ156" s="8">
        <v>9.76</v>
      </c>
      <c r="AK156" s="8">
        <v>24.81</v>
      </c>
      <c r="AL156" s="8">
        <v>18.78</v>
      </c>
      <c r="AM156" s="8">
        <v>44.29</v>
      </c>
      <c r="AN156" s="8">
        <v>19.11</v>
      </c>
      <c r="AO156" s="8">
        <v>2</v>
      </c>
      <c r="AP156" s="8">
        <v>2</v>
      </c>
      <c r="AQ156" s="8">
        <v>62.37</v>
      </c>
      <c r="AV156" s="8">
        <v>80.489999999999995</v>
      </c>
      <c r="AW156" s="8">
        <v>90.4</v>
      </c>
      <c r="AX156" s="8">
        <v>74.59</v>
      </c>
      <c r="AY156" s="8">
        <v>78.36</v>
      </c>
      <c r="BB156" s="8">
        <v>20.14</v>
      </c>
      <c r="BC156" s="8">
        <v>22.7</v>
      </c>
      <c r="BD156" s="8">
        <v>22.54</v>
      </c>
      <c r="BE156" s="8">
        <v>22.54</v>
      </c>
      <c r="BI156" s="8">
        <v>26.56</v>
      </c>
      <c r="BK156" s="8">
        <v>17.329999999999998</v>
      </c>
      <c r="BM156" s="8">
        <v>18.39</v>
      </c>
      <c r="BO156" s="8">
        <v>44.77</v>
      </c>
      <c r="BP156" s="8">
        <v>40.479999999999997</v>
      </c>
      <c r="BQ156" s="8">
        <v>44.05</v>
      </c>
      <c r="BR156" s="8">
        <v>28.99</v>
      </c>
      <c r="BS156" s="8">
        <v>73.510000000000005</v>
      </c>
      <c r="BT156" s="8">
        <v>73.510000000000005</v>
      </c>
      <c r="BV156" s="8">
        <v>76.72</v>
      </c>
      <c r="BW156" s="8">
        <v>87.51</v>
      </c>
      <c r="BY156" s="8">
        <v>43.27</v>
      </c>
      <c r="CA156" s="8">
        <v>46.17</v>
      </c>
      <c r="CB156" s="8">
        <v>53.98</v>
      </c>
      <c r="CE156" s="8">
        <v>19.75</v>
      </c>
      <c r="CF156" s="8">
        <v>21.48</v>
      </c>
      <c r="CJ156" s="8">
        <v>33.35</v>
      </c>
      <c r="CL156" s="8">
        <v>8.2899999999999991</v>
      </c>
      <c r="CM156" s="8">
        <v>7.32</v>
      </c>
      <c r="CN156" s="8">
        <v>15.96</v>
      </c>
      <c r="CO156" s="8">
        <v>29.64</v>
      </c>
      <c r="CP156" s="8">
        <v>30.45</v>
      </c>
      <c r="CQ156" s="8">
        <v>56.68</v>
      </c>
      <c r="CR156" s="8">
        <v>37.1</v>
      </c>
      <c r="CS156" s="8">
        <v>24.72</v>
      </c>
      <c r="CT156" s="8">
        <v>27.38</v>
      </c>
      <c r="CU156" s="8">
        <v>18.489999999999998</v>
      </c>
      <c r="CV156" s="8">
        <v>20.5</v>
      </c>
      <c r="CW156" s="8">
        <v>20.5</v>
      </c>
      <c r="CX156" s="8">
        <v>90.58</v>
      </c>
      <c r="CY156" s="8">
        <v>90.58</v>
      </c>
      <c r="CZ156" s="8">
        <v>23.92</v>
      </c>
      <c r="DA156" s="8">
        <v>99.47</v>
      </c>
      <c r="DD156" s="8">
        <v>1923.21</v>
      </c>
      <c r="DI156" s="8">
        <v>28.34</v>
      </c>
      <c r="DJ156" s="8">
        <v>25.79</v>
      </c>
      <c r="DK156" s="8">
        <v>28.18</v>
      </c>
      <c r="DO156" s="8">
        <v>26.66</v>
      </c>
      <c r="DS156" s="8">
        <v>9.64</v>
      </c>
      <c r="DT156" s="8">
        <v>9.64</v>
      </c>
      <c r="ED156" s="9">
        <v>1.5</v>
      </c>
      <c r="EE156" s="9">
        <v>1.5</v>
      </c>
      <c r="EF156" s="9">
        <v>0.2</v>
      </c>
      <c r="EG156" s="9">
        <v>-0.9</v>
      </c>
      <c r="EH156" s="9">
        <v>1.2</v>
      </c>
      <c r="EI156" s="9">
        <v>0.9</v>
      </c>
      <c r="EJ156" s="9">
        <v>-0.8</v>
      </c>
      <c r="EK156" s="9">
        <v>1</v>
      </c>
      <c r="EL156" s="9">
        <v>1.3</v>
      </c>
      <c r="EM156" s="9">
        <v>1.5</v>
      </c>
      <c r="EN156" s="9">
        <v>-3.9</v>
      </c>
      <c r="EO156" s="9">
        <v>2.8</v>
      </c>
      <c r="EP156" s="9">
        <v>0.3</v>
      </c>
      <c r="EQ156" s="9">
        <v>5.4</v>
      </c>
      <c r="ER156" s="9">
        <v>-0.4</v>
      </c>
      <c r="ES156" s="9">
        <v>-0.1</v>
      </c>
      <c r="ET156" s="9">
        <v>-1.8</v>
      </c>
      <c r="EU156" s="9">
        <v>-1.5</v>
      </c>
      <c r="EZ156" s="9">
        <v>0.2</v>
      </c>
      <c r="FA156" s="9">
        <v>1.2</v>
      </c>
      <c r="FE156" s="9">
        <v>3</v>
      </c>
      <c r="FG156" s="9">
        <v>2.2000000000000002</v>
      </c>
      <c r="FI156" s="9">
        <v>1.8</v>
      </c>
      <c r="FJ156" s="9">
        <v>1.6</v>
      </c>
      <c r="FK156" s="9">
        <v>1.9</v>
      </c>
      <c r="FL156" s="9">
        <v>2</v>
      </c>
      <c r="FM156" s="9">
        <v>2.1</v>
      </c>
      <c r="FN156" s="9">
        <v>0.3</v>
      </c>
      <c r="FO156" s="9">
        <v>4.0999999999999996</v>
      </c>
      <c r="FP156" s="9">
        <v>1.8</v>
      </c>
      <c r="FQ156" s="9">
        <v>2.6</v>
      </c>
      <c r="FR156" s="9">
        <v>2.6</v>
      </c>
      <c r="FS156" s="9">
        <v>2.5</v>
      </c>
      <c r="FX156" s="9">
        <v>3.1</v>
      </c>
      <c r="FY156" s="9">
        <v>3.1</v>
      </c>
      <c r="FZ156" s="9">
        <v>3.8</v>
      </c>
      <c r="GA156" s="9">
        <v>1.7</v>
      </c>
      <c r="GD156" s="9">
        <v>0.4</v>
      </c>
      <c r="GE156" s="9">
        <v>1.7</v>
      </c>
      <c r="GF156" s="9">
        <v>1.8</v>
      </c>
      <c r="GG156" s="9">
        <v>1.8</v>
      </c>
      <c r="GK156" s="9">
        <v>-0.3</v>
      </c>
      <c r="GM156" s="9">
        <v>2.5</v>
      </c>
      <c r="GO156" s="9">
        <v>2.7</v>
      </c>
      <c r="GQ156" s="9">
        <v>1</v>
      </c>
      <c r="GR156" s="9">
        <v>2.1</v>
      </c>
      <c r="GS156" s="9">
        <v>2.5</v>
      </c>
      <c r="GT156" s="9">
        <v>1.1000000000000001</v>
      </c>
      <c r="GU156" s="9">
        <v>0.3</v>
      </c>
      <c r="GV156" s="9">
        <v>0.3</v>
      </c>
      <c r="GX156" s="9">
        <v>-0.4</v>
      </c>
      <c r="GY156" s="9">
        <v>-0.4</v>
      </c>
      <c r="HA156" s="9">
        <v>1</v>
      </c>
      <c r="HC156" s="9">
        <v>1.1000000000000001</v>
      </c>
      <c r="HD156" s="9">
        <v>4.5999999999999996</v>
      </c>
      <c r="HG156" s="9">
        <v>-2.9</v>
      </c>
      <c r="HH156" s="9">
        <v>2.2999999999999998</v>
      </c>
      <c r="HL156" s="9">
        <v>1.7</v>
      </c>
      <c r="HN156" s="9">
        <v>1.3</v>
      </c>
      <c r="HO156" s="9">
        <v>1</v>
      </c>
      <c r="HP156" s="9">
        <v>2.9</v>
      </c>
      <c r="HQ156" s="9">
        <v>0.9</v>
      </c>
      <c r="HR156" s="9">
        <v>0.8</v>
      </c>
      <c r="HS156" s="9">
        <v>1.6</v>
      </c>
      <c r="HT156" s="9">
        <v>0.3</v>
      </c>
      <c r="HU156" s="9">
        <v>-0.9</v>
      </c>
      <c r="HV156" s="9">
        <v>1.3</v>
      </c>
      <c r="HW156" s="9">
        <v>3.8</v>
      </c>
      <c r="HX156" s="9">
        <v>2.2999999999999998</v>
      </c>
      <c r="HY156" s="9">
        <v>2.2999999999999998</v>
      </c>
      <c r="HZ156" s="9">
        <v>0</v>
      </c>
      <c r="IA156" s="9">
        <v>0</v>
      </c>
      <c r="IB156" s="9">
        <v>0</v>
      </c>
      <c r="IC156" s="9">
        <v>0</v>
      </c>
      <c r="IF156" s="9">
        <v>-3.7</v>
      </c>
      <c r="IK156" s="9">
        <v>0.9</v>
      </c>
      <c r="IL156" s="9">
        <v>5.0999999999999996</v>
      </c>
      <c r="IM156" s="9">
        <v>-2.5</v>
      </c>
      <c r="IQ156" s="9">
        <v>2.5</v>
      </c>
    </row>
    <row r="157" spans="1:251" x14ac:dyDescent="0.2">
      <c r="A157" s="10">
        <v>31107</v>
      </c>
      <c r="B157" s="8">
        <v>26.33</v>
      </c>
      <c r="C157" s="8">
        <v>25.48</v>
      </c>
      <c r="D157" s="8">
        <v>25.34</v>
      </c>
      <c r="E157" s="8">
        <v>21.68</v>
      </c>
      <c r="F157" s="8">
        <v>25.94</v>
      </c>
      <c r="G157" s="8">
        <v>35.47</v>
      </c>
      <c r="H157" s="8">
        <v>33.65</v>
      </c>
      <c r="I157" s="8">
        <v>29.88</v>
      </c>
      <c r="J157" s="8">
        <v>23.93</v>
      </c>
      <c r="K157" s="8">
        <v>35.700000000000003</v>
      </c>
      <c r="L157" s="8">
        <v>16.93</v>
      </c>
      <c r="M157" s="8">
        <v>64.180000000000007</v>
      </c>
      <c r="N157" s="8">
        <v>25.49</v>
      </c>
      <c r="O157" s="8">
        <v>26.59</v>
      </c>
      <c r="P157" s="8">
        <v>28.53</v>
      </c>
      <c r="Q157" s="8">
        <v>29.85</v>
      </c>
      <c r="R157" s="8">
        <v>25.23</v>
      </c>
      <c r="S157" s="8">
        <v>29.73</v>
      </c>
      <c r="X157" s="8">
        <v>26.69</v>
      </c>
      <c r="Y157" s="8">
        <v>25.82</v>
      </c>
      <c r="AC157" s="8">
        <v>34.11</v>
      </c>
      <c r="AE157" s="8">
        <v>38.46</v>
      </c>
      <c r="AG157" s="8">
        <v>22.52</v>
      </c>
      <c r="AH157" s="8">
        <v>23.54</v>
      </c>
      <c r="AI157" s="8">
        <v>21.2</v>
      </c>
      <c r="AJ157" s="8">
        <v>9.8699999999999992</v>
      </c>
      <c r="AK157" s="8">
        <v>25.09</v>
      </c>
      <c r="AL157" s="8">
        <v>19.010000000000002</v>
      </c>
      <c r="AM157" s="8">
        <v>44.35</v>
      </c>
      <c r="AN157" s="8">
        <v>19.38</v>
      </c>
      <c r="AO157" s="8">
        <v>2.02</v>
      </c>
      <c r="AP157" s="8">
        <v>2.02</v>
      </c>
      <c r="AQ157" s="8">
        <v>62.55</v>
      </c>
      <c r="AV157" s="8">
        <v>80.83</v>
      </c>
      <c r="AW157" s="8">
        <v>90.4</v>
      </c>
      <c r="AX157" s="8">
        <v>74.92</v>
      </c>
      <c r="AY157" s="8">
        <v>78.77</v>
      </c>
      <c r="BB157" s="8">
        <v>19.64</v>
      </c>
      <c r="BC157" s="8">
        <v>23.03</v>
      </c>
      <c r="BD157" s="8">
        <v>22.94</v>
      </c>
      <c r="BE157" s="8">
        <v>22.94</v>
      </c>
      <c r="BI157" s="8">
        <v>26.7</v>
      </c>
      <c r="BK157" s="8">
        <v>17.760000000000002</v>
      </c>
      <c r="BM157" s="8">
        <v>18.96</v>
      </c>
      <c r="BO157" s="8">
        <v>45.46</v>
      </c>
      <c r="BP157" s="8">
        <v>40.950000000000003</v>
      </c>
      <c r="BQ157" s="8">
        <v>44.55</v>
      </c>
      <c r="BR157" s="8">
        <v>29.39</v>
      </c>
      <c r="BS157" s="8">
        <v>73.41</v>
      </c>
      <c r="BT157" s="8">
        <v>73.41</v>
      </c>
      <c r="BV157" s="8">
        <v>76.33</v>
      </c>
      <c r="BW157" s="8">
        <v>87.07</v>
      </c>
      <c r="BY157" s="8">
        <v>43.61</v>
      </c>
      <c r="CA157" s="8">
        <v>47.65</v>
      </c>
      <c r="CB157" s="8">
        <v>54.84</v>
      </c>
      <c r="CE157" s="8">
        <v>20.239999999999998</v>
      </c>
      <c r="CF157" s="8">
        <v>21.78</v>
      </c>
      <c r="CJ157" s="8">
        <v>33.869999999999997</v>
      </c>
      <c r="CL157" s="8">
        <v>8.48</v>
      </c>
      <c r="CM157" s="8">
        <v>7.48</v>
      </c>
      <c r="CN157" s="8">
        <v>16.38</v>
      </c>
      <c r="CO157" s="8">
        <v>30.13</v>
      </c>
      <c r="CP157" s="8">
        <v>31.03</v>
      </c>
      <c r="CQ157" s="8">
        <v>58.32</v>
      </c>
      <c r="CR157" s="8">
        <v>37.4</v>
      </c>
      <c r="CS157" s="8">
        <v>25.22</v>
      </c>
      <c r="CT157" s="8">
        <v>27.66</v>
      </c>
      <c r="CU157" s="8">
        <v>18.559999999999999</v>
      </c>
      <c r="CV157" s="8">
        <v>20.59</v>
      </c>
      <c r="CW157" s="8">
        <v>20.6</v>
      </c>
      <c r="CX157" s="8">
        <v>93.32</v>
      </c>
      <c r="CY157" s="8">
        <v>93.32</v>
      </c>
      <c r="CZ157" s="8">
        <v>24.7</v>
      </c>
      <c r="DA157" s="8">
        <v>102.4</v>
      </c>
      <c r="DD157" s="8">
        <v>1876.48</v>
      </c>
      <c r="DI157" s="8">
        <v>29.04</v>
      </c>
      <c r="DJ157" s="8">
        <v>25.6</v>
      </c>
      <c r="DK157" s="8">
        <v>29.65</v>
      </c>
      <c r="DO157" s="8">
        <v>26.66</v>
      </c>
      <c r="DS157" s="8">
        <v>10.42</v>
      </c>
      <c r="DT157" s="8">
        <v>10.42</v>
      </c>
      <c r="ED157" s="9">
        <v>1.3</v>
      </c>
      <c r="EE157" s="9">
        <v>1</v>
      </c>
      <c r="EF157" s="9">
        <v>1.3</v>
      </c>
      <c r="EG157" s="9">
        <v>1</v>
      </c>
      <c r="EH157" s="9">
        <v>1.3</v>
      </c>
      <c r="EI157" s="9">
        <v>1.2</v>
      </c>
      <c r="EJ157" s="9">
        <v>1.9</v>
      </c>
      <c r="EK157" s="9">
        <v>0.4</v>
      </c>
      <c r="EL157" s="9">
        <v>-0.5</v>
      </c>
      <c r="EM157" s="9">
        <v>2.2999999999999998</v>
      </c>
      <c r="EN157" s="9">
        <v>-1.3</v>
      </c>
      <c r="EO157" s="9">
        <v>3.4</v>
      </c>
      <c r="EP157" s="9">
        <v>1.9</v>
      </c>
      <c r="EQ157" s="9">
        <v>-0.5</v>
      </c>
      <c r="ER157" s="9">
        <v>1.9</v>
      </c>
      <c r="ES157" s="9">
        <v>2.9</v>
      </c>
      <c r="ET157" s="9">
        <v>1.2</v>
      </c>
      <c r="EU157" s="9">
        <v>0.4</v>
      </c>
      <c r="EZ157" s="9">
        <v>1.8</v>
      </c>
      <c r="FA157" s="9">
        <v>2.5</v>
      </c>
      <c r="FE157" s="9">
        <v>1.3</v>
      </c>
      <c r="FG157" s="9">
        <v>4.4000000000000004</v>
      </c>
      <c r="FI157" s="9">
        <v>2</v>
      </c>
      <c r="FJ157" s="9">
        <v>1.9</v>
      </c>
      <c r="FK157" s="9">
        <v>2.2999999999999998</v>
      </c>
      <c r="FL157" s="9">
        <v>1.1000000000000001</v>
      </c>
      <c r="FM157" s="9">
        <v>1.1000000000000001</v>
      </c>
      <c r="FN157" s="9">
        <v>1.2</v>
      </c>
      <c r="FO157" s="9">
        <v>0.1</v>
      </c>
      <c r="FP157" s="9">
        <v>1.4</v>
      </c>
      <c r="FQ157" s="9">
        <v>1</v>
      </c>
      <c r="FR157" s="9">
        <v>1</v>
      </c>
      <c r="FS157" s="9">
        <v>0.3</v>
      </c>
      <c r="FX157" s="9">
        <v>0.4</v>
      </c>
      <c r="FY157" s="9">
        <v>0</v>
      </c>
      <c r="FZ157" s="9">
        <v>0.4</v>
      </c>
      <c r="GA157" s="9">
        <v>0.5</v>
      </c>
      <c r="GD157" s="9">
        <v>-2.5</v>
      </c>
      <c r="GE157" s="9">
        <v>1.5</v>
      </c>
      <c r="GF157" s="9">
        <v>1.8</v>
      </c>
      <c r="GG157" s="9">
        <v>1.8</v>
      </c>
      <c r="GK157" s="9">
        <v>0.5</v>
      </c>
      <c r="GM157" s="9">
        <v>2.5</v>
      </c>
      <c r="GO157" s="9">
        <v>3.1</v>
      </c>
      <c r="GQ157" s="9">
        <v>1.5</v>
      </c>
      <c r="GR157" s="9">
        <v>1.2</v>
      </c>
      <c r="GS157" s="9">
        <v>1.1000000000000001</v>
      </c>
      <c r="GT157" s="9">
        <v>1.4</v>
      </c>
      <c r="GU157" s="9">
        <v>-0.1</v>
      </c>
      <c r="GV157" s="9">
        <v>-0.1</v>
      </c>
      <c r="GX157" s="9">
        <v>-0.5</v>
      </c>
      <c r="GY157" s="9">
        <v>-0.5</v>
      </c>
      <c r="HA157" s="9">
        <v>0.8</v>
      </c>
      <c r="HC157" s="9">
        <v>3.2</v>
      </c>
      <c r="HD157" s="9">
        <v>1.6</v>
      </c>
      <c r="HG157" s="9">
        <v>2.5</v>
      </c>
      <c r="HH157" s="9">
        <v>1.4</v>
      </c>
      <c r="HL157" s="9">
        <v>1.6</v>
      </c>
      <c r="HN157" s="9">
        <v>2.2999999999999998</v>
      </c>
      <c r="HO157" s="9">
        <v>2.2000000000000002</v>
      </c>
      <c r="HP157" s="9">
        <v>2.6</v>
      </c>
      <c r="HQ157" s="9">
        <v>1.7</v>
      </c>
      <c r="HR157" s="9">
        <v>1.9</v>
      </c>
      <c r="HS157" s="9">
        <v>2.9</v>
      </c>
      <c r="HT157" s="9">
        <v>0.8</v>
      </c>
      <c r="HU157" s="9">
        <v>2</v>
      </c>
      <c r="HV157" s="9">
        <v>1</v>
      </c>
      <c r="HW157" s="9">
        <v>0.4</v>
      </c>
      <c r="HX157" s="9">
        <v>0.4</v>
      </c>
      <c r="HY157" s="9">
        <v>0.5</v>
      </c>
      <c r="HZ157" s="9">
        <v>3</v>
      </c>
      <c r="IA157" s="9">
        <v>3</v>
      </c>
      <c r="IB157" s="9">
        <v>3.3</v>
      </c>
      <c r="IC157" s="9">
        <v>2.9</v>
      </c>
      <c r="IF157" s="9">
        <v>-2.4</v>
      </c>
      <c r="IK157" s="9">
        <v>2.5</v>
      </c>
      <c r="IL157" s="9">
        <v>-0.7</v>
      </c>
      <c r="IM157" s="9">
        <v>5.2</v>
      </c>
      <c r="IQ157" s="9">
        <v>0</v>
      </c>
    </row>
    <row r="158" spans="1:251" x14ac:dyDescent="0.2">
      <c r="A158" s="10">
        <v>31199</v>
      </c>
      <c r="B158" s="8">
        <v>26.95</v>
      </c>
      <c r="C158" s="8">
        <v>25.96</v>
      </c>
      <c r="D158" s="8">
        <v>26.04</v>
      </c>
      <c r="E158" s="8">
        <v>22.65</v>
      </c>
      <c r="F158" s="8">
        <v>26.32</v>
      </c>
      <c r="G158" s="8">
        <v>36.15</v>
      </c>
      <c r="H158" s="8">
        <v>34.119999999999997</v>
      </c>
      <c r="I158" s="8">
        <v>30.79</v>
      </c>
      <c r="J158" s="8">
        <v>24.71</v>
      </c>
      <c r="K158" s="8">
        <v>35.75</v>
      </c>
      <c r="L158" s="8">
        <v>17.7</v>
      </c>
      <c r="M158" s="8">
        <v>64.11</v>
      </c>
      <c r="N158" s="8">
        <v>26.22</v>
      </c>
      <c r="O158" s="8">
        <v>28.44</v>
      </c>
      <c r="P158" s="8">
        <v>29.14</v>
      </c>
      <c r="Q158" s="8">
        <v>30.19</v>
      </c>
      <c r="R158" s="8">
        <v>26.35</v>
      </c>
      <c r="S158" s="8">
        <v>30.18</v>
      </c>
      <c r="X158" s="8">
        <v>26.78</v>
      </c>
      <c r="Y158" s="8">
        <v>25.52</v>
      </c>
      <c r="AC158" s="8">
        <v>34.409999999999997</v>
      </c>
      <c r="AE158" s="8">
        <v>38.909999999999997</v>
      </c>
      <c r="AG158" s="8">
        <v>23.05</v>
      </c>
      <c r="AH158" s="8">
        <v>24.24</v>
      </c>
      <c r="AI158" s="8">
        <v>21.6</v>
      </c>
      <c r="AJ158" s="8">
        <v>10.02</v>
      </c>
      <c r="AK158" s="8">
        <v>25.41</v>
      </c>
      <c r="AL158" s="8">
        <v>19.489999999999998</v>
      </c>
      <c r="AM158" s="8">
        <v>44.29</v>
      </c>
      <c r="AN158" s="8">
        <v>19.66</v>
      </c>
      <c r="AO158" s="8">
        <v>2.06</v>
      </c>
      <c r="AP158" s="8">
        <v>2.06</v>
      </c>
      <c r="AQ158" s="8">
        <v>64.260000000000005</v>
      </c>
      <c r="AV158" s="8">
        <v>82.39</v>
      </c>
      <c r="AW158" s="8">
        <v>91.94</v>
      </c>
      <c r="AX158" s="8">
        <v>76.790000000000006</v>
      </c>
      <c r="AY158" s="8">
        <v>79.78</v>
      </c>
      <c r="BB158" s="8">
        <v>19.850000000000001</v>
      </c>
      <c r="BC158" s="8">
        <v>23.55</v>
      </c>
      <c r="BD158" s="8">
        <v>23.41</v>
      </c>
      <c r="BE158" s="8">
        <v>23.41</v>
      </c>
      <c r="BI158" s="8">
        <v>27.17</v>
      </c>
      <c r="BK158" s="8">
        <v>17.940000000000001</v>
      </c>
      <c r="BM158" s="8">
        <v>19.04</v>
      </c>
      <c r="BO158" s="8">
        <v>46.21</v>
      </c>
      <c r="BP158" s="8">
        <v>41.24</v>
      </c>
      <c r="BQ158" s="8">
        <v>44.61</v>
      </c>
      <c r="BR158" s="8">
        <v>30.06</v>
      </c>
      <c r="BS158" s="8">
        <v>75.42</v>
      </c>
      <c r="BT158" s="8">
        <v>75.42</v>
      </c>
      <c r="BV158" s="8">
        <v>77.31</v>
      </c>
      <c r="BW158" s="8">
        <v>88.18</v>
      </c>
      <c r="BY158" s="8">
        <v>45.21</v>
      </c>
      <c r="CA158" s="8">
        <v>50.09</v>
      </c>
      <c r="CB158" s="8">
        <v>56.05</v>
      </c>
      <c r="CE158" s="8">
        <v>20.399999999999999</v>
      </c>
      <c r="CF158" s="8">
        <v>22.17</v>
      </c>
      <c r="CJ158" s="8">
        <v>34.229999999999997</v>
      </c>
      <c r="CL158" s="8">
        <v>8.6</v>
      </c>
      <c r="CM158" s="8">
        <v>7.57</v>
      </c>
      <c r="CN158" s="8">
        <v>16.739999999999998</v>
      </c>
      <c r="CO158" s="8">
        <v>31.49</v>
      </c>
      <c r="CP158" s="8">
        <v>32.479999999999997</v>
      </c>
      <c r="CQ158" s="8">
        <v>60.15</v>
      </c>
      <c r="CR158" s="8">
        <v>38.28</v>
      </c>
      <c r="CS158" s="8">
        <v>27.65</v>
      </c>
      <c r="CT158" s="8">
        <v>28.3</v>
      </c>
      <c r="CU158" s="8">
        <v>18.63</v>
      </c>
      <c r="CV158" s="8">
        <v>20.66</v>
      </c>
      <c r="CW158" s="8">
        <v>20.66</v>
      </c>
      <c r="CX158" s="8">
        <v>95.41</v>
      </c>
      <c r="CY158" s="8">
        <v>95.41</v>
      </c>
      <c r="CZ158" s="8">
        <v>26.21</v>
      </c>
      <c r="DA158" s="8">
        <v>103.81</v>
      </c>
      <c r="DD158" s="8">
        <v>1923.21</v>
      </c>
      <c r="DI158" s="8">
        <v>30.38</v>
      </c>
      <c r="DJ158" s="8">
        <v>25.6</v>
      </c>
      <c r="DK158" s="8">
        <v>32.11</v>
      </c>
      <c r="DO158" s="8">
        <v>27.24</v>
      </c>
      <c r="DS158" s="8">
        <v>10.42</v>
      </c>
      <c r="DT158" s="8">
        <v>10.42</v>
      </c>
      <c r="ED158" s="9">
        <v>2.4</v>
      </c>
      <c r="EE158" s="9">
        <v>1.9</v>
      </c>
      <c r="EF158" s="9">
        <v>2.8</v>
      </c>
      <c r="EG158" s="9">
        <v>4.5</v>
      </c>
      <c r="EH158" s="9">
        <v>1.5</v>
      </c>
      <c r="EI158" s="9">
        <v>1.9</v>
      </c>
      <c r="EJ158" s="9">
        <v>1.4</v>
      </c>
      <c r="EK158" s="9">
        <v>3</v>
      </c>
      <c r="EL158" s="9">
        <v>3.3</v>
      </c>
      <c r="EM158" s="9">
        <v>0.1</v>
      </c>
      <c r="EN158" s="9">
        <v>4.5</v>
      </c>
      <c r="EO158" s="9">
        <v>-0.1</v>
      </c>
      <c r="EP158" s="9">
        <v>2.9</v>
      </c>
      <c r="EQ158" s="9">
        <v>7</v>
      </c>
      <c r="ER158" s="9">
        <v>2.1</v>
      </c>
      <c r="ES158" s="9">
        <v>1.1000000000000001</v>
      </c>
      <c r="ET158" s="9">
        <v>4.4000000000000004</v>
      </c>
      <c r="EU158" s="9">
        <v>1.5</v>
      </c>
      <c r="EZ158" s="9">
        <v>0.3</v>
      </c>
      <c r="FA158" s="9">
        <v>-1.2</v>
      </c>
      <c r="FE158" s="9">
        <v>0.9</v>
      </c>
      <c r="FG158" s="9">
        <v>1.2</v>
      </c>
      <c r="FI158" s="9">
        <v>2.4</v>
      </c>
      <c r="FJ158" s="9">
        <v>3</v>
      </c>
      <c r="FK158" s="9">
        <v>1.9</v>
      </c>
      <c r="FL158" s="9">
        <v>1.5</v>
      </c>
      <c r="FM158" s="9">
        <v>1.3</v>
      </c>
      <c r="FN158" s="9">
        <v>2.5</v>
      </c>
      <c r="FO158" s="9">
        <v>-0.1</v>
      </c>
      <c r="FP158" s="9">
        <v>1.4</v>
      </c>
      <c r="FQ158" s="9">
        <v>2</v>
      </c>
      <c r="FR158" s="9">
        <v>2</v>
      </c>
      <c r="FS158" s="9">
        <v>2.7</v>
      </c>
      <c r="FX158" s="9">
        <v>1.9</v>
      </c>
      <c r="FY158" s="9">
        <v>1.7</v>
      </c>
      <c r="FZ158" s="9">
        <v>2.5</v>
      </c>
      <c r="GA158" s="9">
        <v>1.3</v>
      </c>
      <c r="GD158" s="9">
        <v>1.1000000000000001</v>
      </c>
      <c r="GE158" s="9">
        <v>2.2999999999999998</v>
      </c>
      <c r="GF158" s="9">
        <v>2</v>
      </c>
      <c r="GG158" s="9">
        <v>2</v>
      </c>
      <c r="GK158" s="9">
        <v>1.8</v>
      </c>
      <c r="GM158" s="9">
        <v>1</v>
      </c>
      <c r="GO158" s="9">
        <v>0.4</v>
      </c>
      <c r="GQ158" s="9">
        <v>1.6</v>
      </c>
      <c r="GR158" s="9">
        <v>0.7</v>
      </c>
      <c r="GS158" s="9">
        <v>0.1</v>
      </c>
      <c r="GT158" s="9">
        <v>2.2999999999999998</v>
      </c>
      <c r="GU158" s="9">
        <v>2.7</v>
      </c>
      <c r="GV158" s="9">
        <v>2.7</v>
      </c>
      <c r="GX158" s="9">
        <v>1.3</v>
      </c>
      <c r="GY158" s="9">
        <v>1.3</v>
      </c>
      <c r="HA158" s="9">
        <v>3.7</v>
      </c>
      <c r="HC158" s="9">
        <v>5.0999999999999996</v>
      </c>
      <c r="HD158" s="9">
        <v>2.2000000000000002</v>
      </c>
      <c r="HG158" s="9">
        <v>0.8</v>
      </c>
      <c r="HH158" s="9">
        <v>1.8</v>
      </c>
      <c r="HL158" s="9">
        <v>1.1000000000000001</v>
      </c>
      <c r="HN158" s="9">
        <v>1.4</v>
      </c>
      <c r="HO158" s="9">
        <v>1.2</v>
      </c>
      <c r="HP158" s="9">
        <v>2.2000000000000002</v>
      </c>
      <c r="HQ158" s="9">
        <v>4.5</v>
      </c>
      <c r="HR158" s="9">
        <v>4.7</v>
      </c>
      <c r="HS158" s="9">
        <v>3.1</v>
      </c>
      <c r="HT158" s="9">
        <v>2.4</v>
      </c>
      <c r="HU158" s="9">
        <v>9.6</v>
      </c>
      <c r="HV158" s="9">
        <v>2.2999999999999998</v>
      </c>
      <c r="HW158" s="9">
        <v>0.4</v>
      </c>
      <c r="HX158" s="9">
        <v>0.3</v>
      </c>
      <c r="HY158" s="9">
        <v>0.3</v>
      </c>
      <c r="HZ158" s="9">
        <v>2.2000000000000002</v>
      </c>
      <c r="IA158" s="9">
        <v>2.2000000000000002</v>
      </c>
      <c r="IB158" s="9">
        <v>6.1</v>
      </c>
      <c r="IC158" s="9">
        <v>1.4</v>
      </c>
      <c r="IF158" s="9">
        <v>2.5</v>
      </c>
      <c r="IK158" s="9">
        <v>4.5999999999999996</v>
      </c>
      <c r="IL158" s="9">
        <v>0</v>
      </c>
      <c r="IM158" s="9">
        <v>8.3000000000000007</v>
      </c>
      <c r="IQ158" s="9">
        <v>2.2000000000000002</v>
      </c>
    </row>
    <row r="159" spans="1:251" x14ac:dyDescent="0.2">
      <c r="A159" s="10">
        <v>31291</v>
      </c>
      <c r="B159" s="8">
        <v>27.56</v>
      </c>
      <c r="C159" s="8">
        <v>26.43</v>
      </c>
      <c r="D159" s="8">
        <v>26.74</v>
      </c>
      <c r="E159" s="8">
        <v>23.28</v>
      </c>
      <c r="F159" s="8">
        <v>26.96</v>
      </c>
      <c r="G159" s="8">
        <v>37.46</v>
      </c>
      <c r="H159" s="8">
        <v>35.22</v>
      </c>
      <c r="I159" s="8">
        <v>31.04</v>
      </c>
      <c r="J159" s="8">
        <v>24.77</v>
      </c>
      <c r="K159" s="8">
        <v>36.090000000000003</v>
      </c>
      <c r="L159" s="8">
        <v>17.579999999999998</v>
      </c>
      <c r="M159" s="8">
        <v>63.25</v>
      </c>
      <c r="N159" s="8">
        <v>26.6</v>
      </c>
      <c r="O159" s="8">
        <v>30.63</v>
      </c>
      <c r="P159" s="8">
        <v>29.33</v>
      </c>
      <c r="Q159" s="8">
        <v>30.6</v>
      </c>
      <c r="R159" s="8">
        <v>25.9</v>
      </c>
      <c r="S159" s="8">
        <v>30.55</v>
      </c>
      <c r="X159" s="8">
        <v>27.76</v>
      </c>
      <c r="Y159" s="8">
        <v>26.83</v>
      </c>
      <c r="AC159" s="8">
        <v>35.380000000000003</v>
      </c>
      <c r="AE159" s="8">
        <v>40.369999999999997</v>
      </c>
      <c r="AG159" s="8">
        <v>23.57</v>
      </c>
      <c r="AH159" s="8">
        <v>24.88</v>
      </c>
      <c r="AI159" s="8">
        <v>22.01</v>
      </c>
      <c r="AJ159" s="8">
        <v>10.3</v>
      </c>
      <c r="AK159" s="8">
        <v>26.05</v>
      </c>
      <c r="AL159" s="8">
        <v>19.940000000000001</v>
      </c>
      <c r="AM159" s="8">
        <v>44.87</v>
      </c>
      <c r="AN159" s="8">
        <v>20.2</v>
      </c>
      <c r="AO159" s="8">
        <v>2.13</v>
      </c>
      <c r="AP159" s="8">
        <v>2.13</v>
      </c>
      <c r="AQ159" s="8">
        <v>65.069999999999993</v>
      </c>
      <c r="AV159" s="8">
        <v>83.62</v>
      </c>
      <c r="AW159" s="8">
        <v>93.37</v>
      </c>
      <c r="AX159" s="8">
        <v>77.459999999999994</v>
      </c>
      <c r="AY159" s="8">
        <v>81.91</v>
      </c>
      <c r="BB159" s="8">
        <v>20.38</v>
      </c>
      <c r="BC159" s="8">
        <v>24.1</v>
      </c>
      <c r="BD159" s="8">
        <v>24.18</v>
      </c>
      <c r="BE159" s="8">
        <v>24.18</v>
      </c>
      <c r="BI159" s="8">
        <v>27.67</v>
      </c>
      <c r="BK159" s="8">
        <v>18.21</v>
      </c>
      <c r="BM159" s="8">
        <v>19.37</v>
      </c>
      <c r="BO159" s="8">
        <v>47.15</v>
      </c>
      <c r="BP159" s="8">
        <v>42.83</v>
      </c>
      <c r="BQ159" s="8">
        <v>46.17</v>
      </c>
      <c r="BR159" s="8">
        <v>31.43</v>
      </c>
      <c r="BS159" s="8">
        <v>76.69</v>
      </c>
      <c r="BT159" s="8">
        <v>76.69</v>
      </c>
      <c r="BV159" s="8">
        <v>77.41</v>
      </c>
      <c r="BW159" s="8">
        <v>88.3</v>
      </c>
      <c r="BY159" s="8">
        <v>47.16</v>
      </c>
      <c r="CA159" s="8">
        <v>51.11</v>
      </c>
      <c r="CB159" s="8">
        <v>57.55</v>
      </c>
      <c r="CE159" s="8">
        <v>20.66</v>
      </c>
      <c r="CF159" s="8">
        <v>22.53</v>
      </c>
      <c r="CJ159" s="8">
        <v>36.65</v>
      </c>
      <c r="CL159" s="8">
        <v>8.75</v>
      </c>
      <c r="CM159" s="8">
        <v>7.67</v>
      </c>
      <c r="CN159" s="8">
        <v>17.190000000000001</v>
      </c>
      <c r="CO159" s="8">
        <v>32.15</v>
      </c>
      <c r="CP159" s="8">
        <v>33.159999999999997</v>
      </c>
      <c r="CQ159" s="8">
        <v>61.5</v>
      </c>
      <c r="CR159" s="8">
        <v>38.869999999999997</v>
      </c>
      <c r="CS159" s="8">
        <v>28.34</v>
      </c>
      <c r="CT159" s="8">
        <v>28.82</v>
      </c>
      <c r="CU159" s="8">
        <v>19.05</v>
      </c>
      <c r="CV159" s="8">
        <v>21.21</v>
      </c>
      <c r="CW159" s="8">
        <v>21.21</v>
      </c>
      <c r="CX159" s="8">
        <v>95.41</v>
      </c>
      <c r="CY159" s="8">
        <v>95.41</v>
      </c>
      <c r="CZ159" s="8">
        <v>26.21</v>
      </c>
      <c r="DA159" s="8">
        <v>103.81</v>
      </c>
      <c r="DD159" s="8">
        <v>1947.5</v>
      </c>
      <c r="DI159" s="8">
        <v>31.47</v>
      </c>
      <c r="DJ159" s="8">
        <v>26.44</v>
      </c>
      <c r="DK159" s="8">
        <v>33.369999999999997</v>
      </c>
      <c r="DO159" s="8">
        <v>27.85</v>
      </c>
      <c r="DS159" s="8">
        <v>10.44</v>
      </c>
      <c r="DT159" s="8">
        <v>10.44</v>
      </c>
      <c r="ED159" s="9">
        <v>2.2999999999999998</v>
      </c>
      <c r="EE159" s="9">
        <v>1.8</v>
      </c>
      <c r="EF159" s="9">
        <v>2.7</v>
      </c>
      <c r="EG159" s="9">
        <v>2.8</v>
      </c>
      <c r="EH159" s="9">
        <v>2.4</v>
      </c>
      <c r="EI159" s="9">
        <v>3.6</v>
      </c>
      <c r="EJ159" s="9">
        <v>3.2</v>
      </c>
      <c r="EK159" s="9">
        <v>0.8</v>
      </c>
      <c r="EL159" s="9">
        <v>0.2</v>
      </c>
      <c r="EM159" s="9">
        <v>1</v>
      </c>
      <c r="EN159" s="9">
        <v>-0.7</v>
      </c>
      <c r="EO159" s="9">
        <v>-1.3</v>
      </c>
      <c r="EP159" s="9">
        <v>1.4</v>
      </c>
      <c r="EQ159" s="9">
        <v>7.7</v>
      </c>
      <c r="ER159" s="9">
        <v>0.7</v>
      </c>
      <c r="ES159" s="9">
        <v>1.4</v>
      </c>
      <c r="ET159" s="9">
        <v>-1.7</v>
      </c>
      <c r="EU159" s="9">
        <v>1.2</v>
      </c>
      <c r="EZ159" s="9">
        <v>3.7</v>
      </c>
      <c r="FA159" s="9">
        <v>5.0999999999999996</v>
      </c>
      <c r="FE159" s="9">
        <v>2.8</v>
      </c>
      <c r="FG159" s="9">
        <v>3.8</v>
      </c>
      <c r="FI159" s="9">
        <v>2.2999999999999998</v>
      </c>
      <c r="FJ159" s="9">
        <v>2.6</v>
      </c>
      <c r="FK159" s="9">
        <v>1.9</v>
      </c>
      <c r="FL159" s="9">
        <v>2.8</v>
      </c>
      <c r="FM159" s="9">
        <v>2.5</v>
      </c>
      <c r="FN159" s="9">
        <v>2.2999999999999998</v>
      </c>
      <c r="FO159" s="9">
        <v>1.3</v>
      </c>
      <c r="FP159" s="9">
        <v>2.7</v>
      </c>
      <c r="FQ159" s="9">
        <v>3.4</v>
      </c>
      <c r="FR159" s="9">
        <v>3.4</v>
      </c>
      <c r="FS159" s="9">
        <v>1.3</v>
      </c>
      <c r="FX159" s="9">
        <v>1.5</v>
      </c>
      <c r="FY159" s="9">
        <v>1.6</v>
      </c>
      <c r="FZ159" s="9">
        <v>0.9</v>
      </c>
      <c r="GA159" s="9">
        <v>2.7</v>
      </c>
      <c r="GD159" s="9">
        <v>2.7</v>
      </c>
      <c r="GE159" s="9">
        <v>2.2999999999999998</v>
      </c>
      <c r="GF159" s="9">
        <v>3.3</v>
      </c>
      <c r="GG159" s="9">
        <v>3.3</v>
      </c>
      <c r="GK159" s="9">
        <v>1.8</v>
      </c>
      <c r="GM159" s="9">
        <v>1.5</v>
      </c>
      <c r="GO159" s="9">
        <v>1.7</v>
      </c>
      <c r="GQ159" s="9">
        <v>2</v>
      </c>
      <c r="GR159" s="9">
        <v>3.9</v>
      </c>
      <c r="GS159" s="9">
        <v>3.5</v>
      </c>
      <c r="GT159" s="9">
        <v>4.5999999999999996</v>
      </c>
      <c r="GU159" s="9">
        <v>1.7</v>
      </c>
      <c r="GV159" s="9">
        <v>1.7</v>
      </c>
      <c r="GX159" s="9">
        <v>0.1</v>
      </c>
      <c r="GY159" s="9">
        <v>0.1</v>
      </c>
      <c r="HA159" s="9">
        <v>4.3</v>
      </c>
      <c r="HC159" s="9">
        <v>2</v>
      </c>
      <c r="HD159" s="9">
        <v>2.7</v>
      </c>
      <c r="HG159" s="9">
        <v>1.3</v>
      </c>
      <c r="HH159" s="9">
        <v>1.6</v>
      </c>
      <c r="HL159" s="9">
        <v>7.1</v>
      </c>
      <c r="HN159" s="9">
        <v>1.7</v>
      </c>
      <c r="HO159" s="9">
        <v>1.3</v>
      </c>
      <c r="HP159" s="9">
        <v>2.7</v>
      </c>
      <c r="HQ159" s="9">
        <v>2.1</v>
      </c>
      <c r="HR159" s="9">
        <v>2.1</v>
      </c>
      <c r="HS159" s="9">
        <v>2.2000000000000002</v>
      </c>
      <c r="HT159" s="9">
        <v>1.5</v>
      </c>
      <c r="HU159" s="9">
        <v>2.5</v>
      </c>
      <c r="HV159" s="9">
        <v>1.8</v>
      </c>
      <c r="HW159" s="9">
        <v>2.2999999999999998</v>
      </c>
      <c r="HX159" s="9">
        <v>2.7</v>
      </c>
      <c r="HY159" s="9">
        <v>2.7</v>
      </c>
      <c r="HZ159" s="9">
        <v>0</v>
      </c>
      <c r="IA159" s="9">
        <v>0</v>
      </c>
      <c r="IB159" s="9">
        <v>0</v>
      </c>
      <c r="IC159" s="9">
        <v>0</v>
      </c>
      <c r="IF159" s="9">
        <v>1.3</v>
      </c>
      <c r="IK159" s="9">
        <v>3.6</v>
      </c>
      <c r="IL159" s="9">
        <v>3.3</v>
      </c>
      <c r="IM159" s="9">
        <v>3.9</v>
      </c>
      <c r="IQ159" s="9">
        <v>2.2000000000000002</v>
      </c>
    </row>
    <row r="160" spans="1:251" x14ac:dyDescent="0.2">
      <c r="A160" s="10">
        <v>31382</v>
      </c>
      <c r="B160" s="8">
        <v>28.11</v>
      </c>
      <c r="C160" s="8">
        <v>27.05</v>
      </c>
      <c r="D160" s="8">
        <v>28.06</v>
      </c>
      <c r="E160" s="8">
        <v>23.65</v>
      </c>
      <c r="F160" s="8">
        <v>29.63</v>
      </c>
      <c r="G160" s="8">
        <v>38.299999999999997</v>
      </c>
      <c r="H160" s="8">
        <v>36.03</v>
      </c>
      <c r="I160" s="8">
        <v>30.83</v>
      </c>
      <c r="J160" s="8">
        <v>24.81</v>
      </c>
      <c r="K160" s="8">
        <v>36.04</v>
      </c>
      <c r="L160" s="8">
        <v>16.29</v>
      </c>
      <c r="M160" s="8">
        <v>63.72</v>
      </c>
      <c r="N160" s="8">
        <v>26.84</v>
      </c>
      <c r="O160" s="8">
        <v>31.3</v>
      </c>
      <c r="P160" s="8">
        <v>29.75</v>
      </c>
      <c r="Q160" s="8">
        <v>31.17</v>
      </c>
      <c r="R160" s="8">
        <v>25.83</v>
      </c>
      <c r="S160" s="8">
        <v>30.63</v>
      </c>
      <c r="X160" s="8">
        <v>27.86</v>
      </c>
      <c r="Y160" s="8">
        <v>28.19</v>
      </c>
      <c r="AC160" s="8">
        <v>36.54</v>
      </c>
      <c r="AE160" s="8">
        <v>40.82</v>
      </c>
      <c r="AG160" s="8">
        <v>24.12</v>
      </c>
      <c r="AH160" s="8">
        <v>25.22</v>
      </c>
      <c r="AI160" s="8">
        <v>22.69</v>
      </c>
      <c r="AJ160" s="8">
        <v>10.55</v>
      </c>
      <c r="AK160" s="8">
        <v>26.58</v>
      </c>
      <c r="AL160" s="8">
        <v>20.59</v>
      </c>
      <c r="AM160" s="8">
        <v>44.75</v>
      </c>
      <c r="AN160" s="8">
        <v>20.66</v>
      </c>
      <c r="AO160" s="8">
        <v>2.2000000000000002</v>
      </c>
      <c r="AP160" s="8">
        <v>2.2000000000000002</v>
      </c>
      <c r="AQ160" s="8">
        <v>67.239999999999995</v>
      </c>
      <c r="AV160" s="8">
        <v>85.07</v>
      </c>
      <c r="AW160" s="8">
        <v>95.74</v>
      </c>
      <c r="AX160" s="8">
        <v>78.23</v>
      </c>
      <c r="AY160" s="8">
        <v>83.84</v>
      </c>
      <c r="BB160" s="8">
        <v>20.38</v>
      </c>
      <c r="BC160" s="8">
        <v>24.66</v>
      </c>
      <c r="BD160" s="8">
        <v>24.69</v>
      </c>
      <c r="BE160" s="8">
        <v>24.69</v>
      </c>
      <c r="BI160" s="8">
        <v>28.57</v>
      </c>
      <c r="BK160" s="8">
        <v>18.43</v>
      </c>
      <c r="BM160" s="8">
        <v>19.54</v>
      </c>
      <c r="BO160" s="8">
        <v>48.59</v>
      </c>
      <c r="BP160" s="8">
        <v>44.41</v>
      </c>
      <c r="BQ160" s="8">
        <v>47.67</v>
      </c>
      <c r="BR160" s="8">
        <v>32.99</v>
      </c>
      <c r="BS160" s="8">
        <v>79.45</v>
      </c>
      <c r="BT160" s="8">
        <v>79.45</v>
      </c>
      <c r="BV160" s="8">
        <v>79.849999999999994</v>
      </c>
      <c r="BW160" s="8">
        <v>91.09</v>
      </c>
      <c r="BY160" s="8">
        <v>48.83</v>
      </c>
      <c r="CA160" s="8">
        <v>52.33</v>
      </c>
      <c r="CB160" s="8">
        <v>57.69</v>
      </c>
      <c r="CE160" s="8">
        <v>21.21</v>
      </c>
      <c r="CF160" s="8">
        <v>22.89</v>
      </c>
      <c r="CJ160" s="8">
        <v>37.32</v>
      </c>
      <c r="CL160" s="8">
        <v>8.89</v>
      </c>
      <c r="CM160" s="8">
        <v>7.79</v>
      </c>
      <c r="CN160" s="8">
        <v>17.61</v>
      </c>
      <c r="CO160" s="8">
        <v>32.33</v>
      </c>
      <c r="CP160" s="8">
        <v>33.29</v>
      </c>
      <c r="CQ160" s="8">
        <v>63.33</v>
      </c>
      <c r="CR160" s="8">
        <v>38.97</v>
      </c>
      <c r="CS160" s="8">
        <v>27.34</v>
      </c>
      <c r="CT160" s="8">
        <v>29.51</v>
      </c>
      <c r="CU160" s="8">
        <v>19.239999999999998</v>
      </c>
      <c r="CV160" s="8">
        <v>21.68</v>
      </c>
      <c r="CW160" s="8">
        <v>21.68</v>
      </c>
      <c r="CX160" s="8">
        <v>97.17</v>
      </c>
      <c r="CY160" s="8">
        <v>97.17</v>
      </c>
      <c r="CZ160" s="8">
        <v>26.38</v>
      </c>
      <c r="DA160" s="8">
        <v>105.92</v>
      </c>
      <c r="DD160" s="8">
        <v>1923.21</v>
      </c>
      <c r="DI160" s="8">
        <v>32.08</v>
      </c>
      <c r="DJ160" s="8">
        <v>27.89</v>
      </c>
      <c r="DK160" s="8">
        <v>33.19</v>
      </c>
      <c r="DO160" s="8">
        <v>27.89</v>
      </c>
      <c r="DS160" s="8">
        <v>10.44</v>
      </c>
      <c r="DT160" s="8">
        <v>10.44</v>
      </c>
      <c r="ED160" s="9">
        <v>2</v>
      </c>
      <c r="EE160" s="9">
        <v>2.2999999999999998</v>
      </c>
      <c r="EF160" s="9">
        <v>4.9000000000000004</v>
      </c>
      <c r="EG160" s="9">
        <v>1.6</v>
      </c>
      <c r="EH160" s="9">
        <v>9.9</v>
      </c>
      <c r="EI160" s="9">
        <v>2.2000000000000002</v>
      </c>
      <c r="EJ160" s="9">
        <v>2.2999999999999998</v>
      </c>
      <c r="EK160" s="9">
        <v>-0.7</v>
      </c>
      <c r="EL160" s="9">
        <v>0.2</v>
      </c>
      <c r="EM160" s="9">
        <v>-0.1</v>
      </c>
      <c r="EN160" s="9">
        <v>-7.3</v>
      </c>
      <c r="EO160" s="9">
        <v>0.7</v>
      </c>
      <c r="EP160" s="9">
        <v>0.9</v>
      </c>
      <c r="EQ160" s="9">
        <v>2.2000000000000002</v>
      </c>
      <c r="ER160" s="9">
        <v>1.4</v>
      </c>
      <c r="ES160" s="9">
        <v>1.9</v>
      </c>
      <c r="ET160" s="9">
        <v>-0.3</v>
      </c>
      <c r="EU160" s="9">
        <v>0.3</v>
      </c>
      <c r="EZ160" s="9">
        <v>0.4</v>
      </c>
      <c r="FA160" s="9">
        <v>5.0999999999999996</v>
      </c>
      <c r="FE160" s="9">
        <v>3.3</v>
      </c>
      <c r="FG160" s="9">
        <v>1.1000000000000001</v>
      </c>
      <c r="FI160" s="9">
        <v>2.2999999999999998</v>
      </c>
      <c r="FJ160" s="9">
        <v>1.4</v>
      </c>
      <c r="FK160" s="9">
        <v>3.1</v>
      </c>
      <c r="FL160" s="9">
        <v>2.4</v>
      </c>
      <c r="FM160" s="9">
        <v>2</v>
      </c>
      <c r="FN160" s="9">
        <v>3.3</v>
      </c>
      <c r="FO160" s="9">
        <v>-0.3</v>
      </c>
      <c r="FP160" s="9">
        <v>2.2999999999999998</v>
      </c>
      <c r="FQ160" s="9">
        <v>3.3</v>
      </c>
      <c r="FR160" s="9">
        <v>3.3</v>
      </c>
      <c r="FS160" s="9">
        <v>3.3</v>
      </c>
      <c r="FX160" s="9">
        <v>1.7</v>
      </c>
      <c r="FY160" s="9">
        <v>2.5</v>
      </c>
      <c r="FZ160" s="9">
        <v>1</v>
      </c>
      <c r="GA160" s="9">
        <v>2.4</v>
      </c>
      <c r="GD160" s="9">
        <v>0</v>
      </c>
      <c r="GE160" s="9">
        <v>2.2999999999999998</v>
      </c>
      <c r="GF160" s="9">
        <v>2.1</v>
      </c>
      <c r="GG160" s="9">
        <v>2.1</v>
      </c>
      <c r="GK160" s="9">
        <v>3.3</v>
      </c>
      <c r="GM160" s="9">
        <v>1.2</v>
      </c>
      <c r="GO160" s="9">
        <v>0.9</v>
      </c>
      <c r="GQ160" s="9">
        <v>3.1</v>
      </c>
      <c r="GR160" s="9">
        <v>3.7</v>
      </c>
      <c r="GS160" s="9">
        <v>3.2</v>
      </c>
      <c r="GT160" s="9">
        <v>5</v>
      </c>
      <c r="GU160" s="9">
        <v>3.6</v>
      </c>
      <c r="GV160" s="9">
        <v>3.6</v>
      </c>
      <c r="GX160" s="9">
        <v>3.2</v>
      </c>
      <c r="GY160" s="9">
        <v>3.2</v>
      </c>
      <c r="HA160" s="9">
        <v>3.5</v>
      </c>
      <c r="HC160" s="9">
        <v>2.4</v>
      </c>
      <c r="HD160" s="9">
        <v>0.2</v>
      </c>
      <c r="HG160" s="9">
        <v>2.7</v>
      </c>
      <c r="HH160" s="9">
        <v>1.6</v>
      </c>
      <c r="HL160" s="9">
        <v>1.8</v>
      </c>
      <c r="HN160" s="9">
        <v>1.6</v>
      </c>
      <c r="HO160" s="9">
        <v>1.6</v>
      </c>
      <c r="HP160" s="9">
        <v>2.4</v>
      </c>
      <c r="HQ160" s="9">
        <v>0.6</v>
      </c>
      <c r="HR160" s="9">
        <v>0.4</v>
      </c>
      <c r="HS160" s="9">
        <v>3</v>
      </c>
      <c r="HT160" s="9">
        <v>0.3</v>
      </c>
      <c r="HU160" s="9">
        <v>-3.5</v>
      </c>
      <c r="HV160" s="9">
        <v>2.4</v>
      </c>
      <c r="HW160" s="9">
        <v>1</v>
      </c>
      <c r="HX160" s="9">
        <v>2.2000000000000002</v>
      </c>
      <c r="HY160" s="9">
        <v>2.2000000000000002</v>
      </c>
      <c r="HZ160" s="9">
        <v>1.8</v>
      </c>
      <c r="IA160" s="9">
        <v>1.8</v>
      </c>
      <c r="IB160" s="9">
        <v>0.6</v>
      </c>
      <c r="IC160" s="9">
        <v>2</v>
      </c>
      <c r="IF160" s="9">
        <v>-1.2</v>
      </c>
      <c r="IK160" s="9">
        <v>1.9</v>
      </c>
      <c r="IL160" s="9">
        <v>5.5</v>
      </c>
      <c r="IM160" s="9">
        <v>-0.5</v>
      </c>
      <c r="IQ160" s="9">
        <v>0.1</v>
      </c>
    </row>
    <row r="161" spans="1:251" x14ac:dyDescent="0.2">
      <c r="A161" s="10">
        <v>31472</v>
      </c>
      <c r="B161" s="8">
        <v>28.76</v>
      </c>
      <c r="C161" s="8">
        <v>27.59</v>
      </c>
      <c r="D161" s="8">
        <v>28.58</v>
      </c>
      <c r="E161" s="8">
        <v>24</v>
      </c>
      <c r="F161" s="8">
        <v>30.35</v>
      </c>
      <c r="G161" s="8">
        <v>38.51</v>
      </c>
      <c r="H161" s="8">
        <v>36.799999999999997</v>
      </c>
      <c r="I161" s="8">
        <v>31.24</v>
      </c>
      <c r="J161" s="8">
        <v>24.94</v>
      </c>
      <c r="K161" s="8">
        <v>36.47</v>
      </c>
      <c r="L161" s="8">
        <v>16.829999999999998</v>
      </c>
      <c r="M161" s="8">
        <v>65.819999999999993</v>
      </c>
      <c r="N161" s="8">
        <v>27.11</v>
      </c>
      <c r="O161" s="8">
        <v>31.58</v>
      </c>
      <c r="P161" s="8">
        <v>30.2</v>
      </c>
      <c r="Q161" s="8">
        <v>31.67</v>
      </c>
      <c r="R161" s="8">
        <v>26.43</v>
      </c>
      <c r="S161" s="8">
        <v>30.96</v>
      </c>
      <c r="X161" s="8">
        <v>28.04</v>
      </c>
      <c r="Y161" s="8">
        <v>28.15</v>
      </c>
      <c r="AC161" s="8">
        <v>37.659999999999997</v>
      </c>
      <c r="AE161" s="8">
        <v>41.28</v>
      </c>
      <c r="AG161" s="8">
        <v>24.74</v>
      </c>
      <c r="AH161" s="8">
        <v>26.06</v>
      </c>
      <c r="AI161" s="8">
        <v>23.13</v>
      </c>
      <c r="AJ161" s="8">
        <v>10.86</v>
      </c>
      <c r="AK161" s="8">
        <v>27.19</v>
      </c>
      <c r="AL161" s="8">
        <v>21.1</v>
      </c>
      <c r="AM161" s="8">
        <v>45.22</v>
      </c>
      <c r="AN161" s="8">
        <v>21.18</v>
      </c>
      <c r="AO161" s="8">
        <v>2.29</v>
      </c>
      <c r="AP161" s="8">
        <v>2.29</v>
      </c>
      <c r="AQ161" s="8">
        <v>67.69</v>
      </c>
      <c r="AV161" s="8">
        <v>85.63</v>
      </c>
      <c r="AW161" s="8">
        <v>95.74</v>
      </c>
      <c r="AX161" s="8">
        <v>78.34</v>
      </c>
      <c r="AY161" s="8">
        <v>85.87</v>
      </c>
      <c r="BB161" s="8">
        <v>20.94</v>
      </c>
      <c r="BC161" s="8">
        <v>25.1</v>
      </c>
      <c r="BD161" s="8">
        <v>25.24</v>
      </c>
      <c r="BE161" s="8">
        <v>25.24</v>
      </c>
      <c r="BI161" s="8">
        <v>29.36</v>
      </c>
      <c r="BK161" s="8">
        <v>18.79</v>
      </c>
      <c r="BM161" s="8">
        <v>20</v>
      </c>
      <c r="BO161" s="8">
        <v>49.46</v>
      </c>
      <c r="BP161" s="8">
        <v>45.35</v>
      </c>
      <c r="BQ161" s="8">
        <v>48.68</v>
      </c>
      <c r="BR161" s="8">
        <v>33.61</v>
      </c>
      <c r="BS161" s="8">
        <v>81.040000000000006</v>
      </c>
      <c r="BT161" s="8">
        <v>81.040000000000006</v>
      </c>
      <c r="BV161" s="8">
        <v>82.49</v>
      </c>
      <c r="BW161" s="8">
        <v>94.1</v>
      </c>
      <c r="BY161" s="8">
        <v>50.08</v>
      </c>
      <c r="CA161" s="8">
        <v>53.42</v>
      </c>
      <c r="CB161" s="8">
        <v>58.91</v>
      </c>
      <c r="CE161" s="8">
        <v>22.19</v>
      </c>
      <c r="CF161" s="8">
        <v>23.26</v>
      </c>
      <c r="CJ161" s="8">
        <v>38.19</v>
      </c>
      <c r="CL161" s="8">
        <v>9.16</v>
      </c>
      <c r="CM161" s="8">
        <v>8.0399999999999991</v>
      </c>
      <c r="CN161" s="8">
        <v>18.05</v>
      </c>
      <c r="CO161" s="8">
        <v>33.42</v>
      </c>
      <c r="CP161" s="8">
        <v>34.51</v>
      </c>
      <c r="CQ161" s="8">
        <v>66.42</v>
      </c>
      <c r="CR161" s="8">
        <v>39.51</v>
      </c>
      <c r="CS161" s="8">
        <v>27.99</v>
      </c>
      <c r="CT161" s="8">
        <v>30.43</v>
      </c>
      <c r="CU161" s="8">
        <v>19.5</v>
      </c>
      <c r="CV161" s="8">
        <v>22.05</v>
      </c>
      <c r="CW161" s="8">
        <v>22.05</v>
      </c>
      <c r="CX161" s="8">
        <v>97.94</v>
      </c>
      <c r="CY161" s="8">
        <v>97.94</v>
      </c>
      <c r="CZ161" s="8">
        <v>26.38</v>
      </c>
      <c r="DA161" s="8">
        <v>107.09</v>
      </c>
      <c r="DD161" s="8">
        <v>1941.9</v>
      </c>
      <c r="DI161" s="8">
        <v>32.17</v>
      </c>
      <c r="DJ161" s="8">
        <v>27.2</v>
      </c>
      <c r="DK161" s="8">
        <v>33.9</v>
      </c>
      <c r="DO161" s="8">
        <v>28.83</v>
      </c>
      <c r="DS161" s="8">
        <v>11.46</v>
      </c>
      <c r="DT161" s="8">
        <v>11.46</v>
      </c>
      <c r="ED161" s="9">
        <v>2.2999999999999998</v>
      </c>
      <c r="EE161" s="9">
        <v>2</v>
      </c>
      <c r="EF161" s="9">
        <v>1.9</v>
      </c>
      <c r="EG161" s="9">
        <v>1.5</v>
      </c>
      <c r="EH161" s="9">
        <v>2.4</v>
      </c>
      <c r="EI161" s="9">
        <v>0.5</v>
      </c>
      <c r="EJ161" s="9">
        <v>2.1</v>
      </c>
      <c r="EK161" s="9">
        <v>1.3</v>
      </c>
      <c r="EL161" s="9">
        <v>0.5</v>
      </c>
      <c r="EM161" s="9">
        <v>1.2</v>
      </c>
      <c r="EN161" s="9">
        <v>3.3</v>
      </c>
      <c r="EO161" s="9">
        <v>3.3</v>
      </c>
      <c r="EP161" s="9">
        <v>1</v>
      </c>
      <c r="EQ161" s="9">
        <v>0.9</v>
      </c>
      <c r="ER161" s="9">
        <v>1.5</v>
      </c>
      <c r="ES161" s="9">
        <v>1.6</v>
      </c>
      <c r="ET161" s="9">
        <v>2.2999999999999998</v>
      </c>
      <c r="EU161" s="9">
        <v>1.1000000000000001</v>
      </c>
      <c r="EZ161" s="9">
        <v>0.6</v>
      </c>
      <c r="FA161" s="9">
        <v>-0.1</v>
      </c>
      <c r="FE161" s="9">
        <v>3.1</v>
      </c>
      <c r="FG161" s="9">
        <v>1.1000000000000001</v>
      </c>
      <c r="FI161" s="9">
        <v>2.6</v>
      </c>
      <c r="FJ161" s="9">
        <v>3.3</v>
      </c>
      <c r="FK161" s="9">
        <v>1.9</v>
      </c>
      <c r="FL161" s="9">
        <v>2.9</v>
      </c>
      <c r="FM161" s="9">
        <v>2.2999999999999998</v>
      </c>
      <c r="FN161" s="9">
        <v>2.5</v>
      </c>
      <c r="FO161" s="9">
        <v>1.1000000000000001</v>
      </c>
      <c r="FP161" s="9">
        <v>2.5</v>
      </c>
      <c r="FQ161" s="9">
        <v>4.0999999999999996</v>
      </c>
      <c r="FR161" s="9">
        <v>4.0999999999999996</v>
      </c>
      <c r="FS161" s="9">
        <v>0.7</v>
      </c>
      <c r="FX161" s="9">
        <v>0.7</v>
      </c>
      <c r="FY161" s="9">
        <v>0</v>
      </c>
      <c r="FZ161" s="9">
        <v>0.1</v>
      </c>
      <c r="GA161" s="9">
        <v>2.4</v>
      </c>
      <c r="GD161" s="9">
        <v>2.7</v>
      </c>
      <c r="GE161" s="9">
        <v>1.8</v>
      </c>
      <c r="GF161" s="9">
        <v>2.2000000000000002</v>
      </c>
      <c r="GG161" s="9">
        <v>2.2000000000000002</v>
      </c>
      <c r="GK161" s="9">
        <v>2.8</v>
      </c>
      <c r="GM161" s="9">
        <v>2</v>
      </c>
      <c r="GO161" s="9">
        <v>2.4</v>
      </c>
      <c r="GQ161" s="9">
        <v>1.8</v>
      </c>
      <c r="GR161" s="9">
        <v>2.1</v>
      </c>
      <c r="GS161" s="9">
        <v>2.1</v>
      </c>
      <c r="GT161" s="9">
        <v>1.9</v>
      </c>
      <c r="GU161" s="9">
        <v>2</v>
      </c>
      <c r="GV161" s="9">
        <v>2</v>
      </c>
      <c r="GX161" s="9">
        <v>3.3</v>
      </c>
      <c r="GY161" s="9">
        <v>3.3</v>
      </c>
      <c r="HA161" s="9">
        <v>2.6</v>
      </c>
      <c r="HC161" s="9">
        <v>2.1</v>
      </c>
      <c r="HD161" s="9">
        <v>2.1</v>
      </c>
      <c r="HG161" s="9">
        <v>4.5999999999999996</v>
      </c>
      <c r="HH161" s="9">
        <v>1.6</v>
      </c>
      <c r="HL161" s="9">
        <v>2.2999999999999998</v>
      </c>
      <c r="HN161" s="9">
        <v>3</v>
      </c>
      <c r="HO161" s="9">
        <v>3.2</v>
      </c>
      <c r="HP161" s="9">
        <v>2.5</v>
      </c>
      <c r="HQ161" s="9">
        <v>3.4</v>
      </c>
      <c r="HR161" s="9">
        <v>3.7</v>
      </c>
      <c r="HS161" s="9">
        <v>4.9000000000000004</v>
      </c>
      <c r="HT161" s="9">
        <v>1.4</v>
      </c>
      <c r="HU161" s="9">
        <v>2.4</v>
      </c>
      <c r="HV161" s="9">
        <v>3.1</v>
      </c>
      <c r="HW161" s="9">
        <v>1.4</v>
      </c>
      <c r="HX161" s="9">
        <v>1.7</v>
      </c>
      <c r="HY161" s="9">
        <v>1.7</v>
      </c>
      <c r="HZ161" s="9">
        <v>0.8</v>
      </c>
      <c r="IA161" s="9">
        <v>0.8</v>
      </c>
      <c r="IB161" s="9">
        <v>0</v>
      </c>
      <c r="IC161" s="9">
        <v>1.1000000000000001</v>
      </c>
      <c r="IF161" s="9">
        <v>1</v>
      </c>
      <c r="IK161" s="9">
        <v>0.3</v>
      </c>
      <c r="IL161" s="9">
        <v>-2.5</v>
      </c>
      <c r="IM161" s="9">
        <v>2.1</v>
      </c>
      <c r="IQ161" s="9">
        <v>3.4</v>
      </c>
    </row>
    <row r="162" spans="1:251" x14ac:dyDescent="0.2">
      <c r="A162" s="10">
        <v>31564</v>
      </c>
      <c r="B162" s="8">
        <v>29.23</v>
      </c>
      <c r="C162" s="8">
        <v>28.21</v>
      </c>
      <c r="D162" s="8">
        <v>29.06</v>
      </c>
      <c r="E162" s="8">
        <v>24.38</v>
      </c>
      <c r="F162" s="8">
        <v>31</v>
      </c>
      <c r="G162" s="8">
        <v>39.24</v>
      </c>
      <c r="H162" s="8">
        <v>36.46</v>
      </c>
      <c r="I162" s="8">
        <v>31.74</v>
      </c>
      <c r="J162" s="8">
        <v>25.25</v>
      </c>
      <c r="K162" s="8">
        <v>36.51</v>
      </c>
      <c r="L162" s="8">
        <v>18.29</v>
      </c>
      <c r="M162" s="8">
        <v>65.28</v>
      </c>
      <c r="N162" s="8">
        <v>27.22</v>
      </c>
      <c r="O162" s="8">
        <v>31.39</v>
      </c>
      <c r="P162" s="8">
        <v>30.78</v>
      </c>
      <c r="Q162" s="8">
        <v>32.31</v>
      </c>
      <c r="R162" s="8">
        <v>27.1</v>
      </c>
      <c r="S162" s="8">
        <v>30.8</v>
      </c>
      <c r="X162" s="8">
        <v>27.73</v>
      </c>
      <c r="Y162" s="8">
        <v>29.09</v>
      </c>
      <c r="AC162" s="8">
        <v>38.14</v>
      </c>
      <c r="AE162" s="8">
        <v>49.63</v>
      </c>
      <c r="AG162" s="8">
        <v>25.2</v>
      </c>
      <c r="AH162" s="8">
        <v>26.39</v>
      </c>
      <c r="AI162" s="8">
        <v>23.66</v>
      </c>
      <c r="AJ162" s="8">
        <v>11.08</v>
      </c>
      <c r="AK162" s="8">
        <v>27.68</v>
      </c>
      <c r="AL162" s="8">
        <v>21.61</v>
      </c>
      <c r="AM162" s="8">
        <v>45.33</v>
      </c>
      <c r="AN162" s="8">
        <v>21.64</v>
      </c>
      <c r="AO162" s="8">
        <v>2.34</v>
      </c>
      <c r="AP162" s="8">
        <v>2.34</v>
      </c>
      <c r="AQ162" s="8">
        <v>70.84</v>
      </c>
      <c r="AV162" s="8">
        <v>92.44</v>
      </c>
      <c r="AW162" s="8">
        <v>98.71</v>
      </c>
      <c r="AX162" s="8">
        <v>89.37</v>
      </c>
      <c r="AY162" s="8">
        <v>87.89</v>
      </c>
      <c r="BB162" s="8">
        <v>21.65</v>
      </c>
      <c r="BC162" s="8">
        <v>25.54</v>
      </c>
      <c r="BD162" s="8">
        <v>25.93</v>
      </c>
      <c r="BE162" s="8">
        <v>25.93</v>
      </c>
      <c r="BI162" s="8">
        <v>29.29</v>
      </c>
      <c r="BK162" s="8">
        <v>18.75</v>
      </c>
      <c r="BM162" s="8">
        <v>20.12</v>
      </c>
      <c r="BO162" s="8">
        <v>50.21</v>
      </c>
      <c r="BP162" s="8">
        <v>46.05</v>
      </c>
      <c r="BQ162" s="8">
        <v>49.55</v>
      </c>
      <c r="BR162" s="8">
        <v>34</v>
      </c>
      <c r="BS162" s="8">
        <v>85.06</v>
      </c>
      <c r="BT162" s="8">
        <v>85.06</v>
      </c>
      <c r="BV162" s="8">
        <v>83.28</v>
      </c>
      <c r="BW162" s="8">
        <v>94.99</v>
      </c>
      <c r="BY162" s="8">
        <v>51.2</v>
      </c>
      <c r="CA162" s="8">
        <v>54.06</v>
      </c>
      <c r="CB162" s="8">
        <v>60.12</v>
      </c>
      <c r="CE162" s="8">
        <v>23.2</v>
      </c>
      <c r="CF162" s="8">
        <v>23.53</v>
      </c>
      <c r="CJ162" s="8">
        <v>39.32</v>
      </c>
      <c r="CL162" s="8">
        <v>9.81</v>
      </c>
      <c r="CM162" s="8">
        <v>8.7100000000000009</v>
      </c>
      <c r="CN162" s="8">
        <v>18.420000000000002</v>
      </c>
      <c r="CO162" s="8">
        <v>32.9</v>
      </c>
      <c r="CP162" s="8">
        <v>33.880000000000003</v>
      </c>
      <c r="CQ162" s="8">
        <v>68.150000000000006</v>
      </c>
      <c r="CR162" s="8">
        <v>39.85</v>
      </c>
      <c r="CS162" s="8">
        <v>24.85</v>
      </c>
      <c r="CT162" s="8">
        <v>31.27</v>
      </c>
      <c r="CU162" s="8">
        <v>19.54</v>
      </c>
      <c r="CV162" s="8">
        <v>22.14</v>
      </c>
      <c r="CW162" s="8">
        <v>22.14</v>
      </c>
      <c r="CX162" s="8">
        <v>97.94</v>
      </c>
      <c r="CY162" s="8">
        <v>97.94</v>
      </c>
      <c r="CZ162" s="8">
        <v>26.38</v>
      </c>
      <c r="DA162" s="8">
        <v>107.09</v>
      </c>
      <c r="DD162" s="8">
        <v>1964.32</v>
      </c>
      <c r="DI162" s="8">
        <v>32.69</v>
      </c>
      <c r="DJ162" s="8">
        <v>27.39</v>
      </c>
      <c r="DK162" s="8">
        <v>34.799999999999997</v>
      </c>
      <c r="DO162" s="8">
        <v>29.22</v>
      </c>
      <c r="DS162" s="8">
        <v>11.48</v>
      </c>
      <c r="DT162" s="8">
        <v>11.48</v>
      </c>
      <c r="ED162" s="9">
        <v>1.6</v>
      </c>
      <c r="EE162" s="9">
        <v>2.2000000000000002</v>
      </c>
      <c r="EF162" s="9">
        <v>1.7</v>
      </c>
      <c r="EG162" s="9">
        <v>1.6</v>
      </c>
      <c r="EH162" s="9">
        <v>2.1</v>
      </c>
      <c r="EI162" s="9">
        <v>1.9</v>
      </c>
      <c r="EJ162" s="9">
        <v>-0.9</v>
      </c>
      <c r="EK162" s="9">
        <v>1.6</v>
      </c>
      <c r="EL162" s="9">
        <v>1.2</v>
      </c>
      <c r="EM162" s="9">
        <v>0.1</v>
      </c>
      <c r="EN162" s="9">
        <v>8.6999999999999993</v>
      </c>
      <c r="EO162" s="9">
        <v>-0.8</v>
      </c>
      <c r="EP162" s="9">
        <v>0.4</v>
      </c>
      <c r="EQ162" s="9">
        <v>-0.6</v>
      </c>
      <c r="ER162" s="9">
        <v>1.9</v>
      </c>
      <c r="ES162" s="9">
        <v>2</v>
      </c>
      <c r="ET162" s="9">
        <v>2.5</v>
      </c>
      <c r="EU162" s="9">
        <v>-0.5</v>
      </c>
      <c r="EZ162" s="9">
        <v>-1.1000000000000001</v>
      </c>
      <c r="FA162" s="9">
        <v>3.3</v>
      </c>
      <c r="FE162" s="9">
        <v>1.3</v>
      </c>
      <c r="FG162" s="9">
        <v>20.2</v>
      </c>
      <c r="FI162" s="9">
        <v>1.9</v>
      </c>
      <c r="FJ162" s="9">
        <v>1.3</v>
      </c>
      <c r="FK162" s="9">
        <v>2.2999999999999998</v>
      </c>
      <c r="FL162" s="9">
        <v>2</v>
      </c>
      <c r="FM162" s="9">
        <v>1.8</v>
      </c>
      <c r="FN162" s="9">
        <v>2.4</v>
      </c>
      <c r="FO162" s="9">
        <v>0.2</v>
      </c>
      <c r="FP162" s="9">
        <v>2.2000000000000002</v>
      </c>
      <c r="FQ162" s="9">
        <v>2.2000000000000002</v>
      </c>
      <c r="FR162" s="9">
        <v>2.2000000000000002</v>
      </c>
      <c r="FS162" s="9">
        <v>4.7</v>
      </c>
      <c r="FX162" s="9">
        <v>8</v>
      </c>
      <c r="FY162" s="9">
        <v>3.1</v>
      </c>
      <c r="FZ162" s="9">
        <v>14.1</v>
      </c>
      <c r="GA162" s="9">
        <v>2.4</v>
      </c>
      <c r="GD162" s="9">
        <v>3.4</v>
      </c>
      <c r="GE162" s="9">
        <v>1.8</v>
      </c>
      <c r="GF162" s="9">
        <v>2.7</v>
      </c>
      <c r="GG162" s="9">
        <v>2.7</v>
      </c>
      <c r="GK162" s="9">
        <v>-0.2</v>
      </c>
      <c r="GM162" s="9">
        <v>-0.2</v>
      </c>
      <c r="GO162" s="9">
        <v>0.6</v>
      </c>
      <c r="GQ162" s="9">
        <v>1.5</v>
      </c>
      <c r="GR162" s="9">
        <v>1.5</v>
      </c>
      <c r="GS162" s="9">
        <v>1.8</v>
      </c>
      <c r="GT162" s="9">
        <v>1.2</v>
      </c>
      <c r="GU162" s="9">
        <v>5</v>
      </c>
      <c r="GV162" s="9">
        <v>5</v>
      </c>
      <c r="GX162" s="9">
        <v>1</v>
      </c>
      <c r="GY162" s="9">
        <v>0.9</v>
      </c>
      <c r="HA162" s="9">
        <v>2.2000000000000002</v>
      </c>
      <c r="HC162" s="9">
        <v>1.2</v>
      </c>
      <c r="HD162" s="9">
        <v>2.1</v>
      </c>
      <c r="HG162" s="9">
        <v>4.5999999999999996</v>
      </c>
      <c r="HH162" s="9">
        <v>1.2</v>
      </c>
      <c r="HL162" s="9">
        <v>3</v>
      </c>
      <c r="HN162" s="9">
        <v>7.1</v>
      </c>
      <c r="HO162" s="9">
        <v>8.3000000000000007</v>
      </c>
      <c r="HP162" s="9">
        <v>2</v>
      </c>
      <c r="HQ162" s="9">
        <v>-1.6</v>
      </c>
      <c r="HR162" s="9">
        <v>-1.8</v>
      </c>
      <c r="HS162" s="9">
        <v>2.6</v>
      </c>
      <c r="HT162" s="9">
        <v>0.9</v>
      </c>
      <c r="HU162" s="9">
        <v>-11.2</v>
      </c>
      <c r="HV162" s="9">
        <v>2.8</v>
      </c>
      <c r="HW162" s="9">
        <v>0.2</v>
      </c>
      <c r="HX162" s="9">
        <v>0.4</v>
      </c>
      <c r="HY162" s="9">
        <v>0.4</v>
      </c>
      <c r="HZ162" s="9">
        <v>0</v>
      </c>
      <c r="IA162" s="9">
        <v>0</v>
      </c>
      <c r="IB162" s="9">
        <v>0</v>
      </c>
      <c r="IC162" s="9">
        <v>0</v>
      </c>
      <c r="IF162" s="9">
        <v>1.2</v>
      </c>
      <c r="IK162" s="9">
        <v>1.6</v>
      </c>
      <c r="IL162" s="9">
        <v>0.7</v>
      </c>
      <c r="IM162" s="9">
        <v>2.7</v>
      </c>
      <c r="IQ162" s="9">
        <v>1.4</v>
      </c>
    </row>
    <row r="163" spans="1:251" x14ac:dyDescent="0.2">
      <c r="A163" s="10">
        <v>31656</v>
      </c>
      <c r="B163" s="8">
        <v>30</v>
      </c>
      <c r="C163" s="8">
        <v>29.01</v>
      </c>
      <c r="D163" s="8">
        <v>29.54</v>
      </c>
      <c r="E163" s="8">
        <v>24.81</v>
      </c>
      <c r="F163" s="8">
        <v>31.22</v>
      </c>
      <c r="G163" s="8">
        <v>40.03</v>
      </c>
      <c r="H163" s="8">
        <v>37.99</v>
      </c>
      <c r="I163" s="8">
        <v>32.56</v>
      </c>
      <c r="J163" s="8">
        <v>25.62</v>
      </c>
      <c r="K163" s="8">
        <v>35.96</v>
      </c>
      <c r="L163" s="8">
        <v>20.45</v>
      </c>
      <c r="M163" s="8">
        <v>64.650000000000006</v>
      </c>
      <c r="N163" s="8">
        <v>27.49</v>
      </c>
      <c r="O163" s="8">
        <v>32.44</v>
      </c>
      <c r="P163" s="8">
        <v>31.46</v>
      </c>
      <c r="Q163" s="8">
        <v>32.76</v>
      </c>
      <c r="R163" s="8">
        <v>28.52</v>
      </c>
      <c r="S163" s="8">
        <v>31.09</v>
      </c>
      <c r="X163" s="8">
        <v>27.52</v>
      </c>
      <c r="Y163" s="8">
        <v>29.12</v>
      </c>
      <c r="AC163" s="8">
        <v>38.58</v>
      </c>
      <c r="AE163" s="8">
        <v>47.13</v>
      </c>
      <c r="AG163" s="8">
        <v>25.66</v>
      </c>
      <c r="AH163" s="8">
        <v>26.93</v>
      </c>
      <c r="AI163" s="8">
        <v>24.03</v>
      </c>
      <c r="AJ163" s="8">
        <v>11.34</v>
      </c>
      <c r="AK163" s="8">
        <v>28.32</v>
      </c>
      <c r="AL163" s="8">
        <v>22.08</v>
      </c>
      <c r="AM163" s="8">
        <v>46.2</v>
      </c>
      <c r="AN163" s="8">
        <v>22.16</v>
      </c>
      <c r="AO163" s="8">
        <v>2.4</v>
      </c>
      <c r="AP163" s="8">
        <v>2.4</v>
      </c>
      <c r="AQ163" s="8">
        <v>71.2</v>
      </c>
      <c r="AV163" s="8">
        <v>93.33</v>
      </c>
      <c r="AW163" s="8">
        <v>100.25</v>
      </c>
      <c r="AX163" s="8">
        <v>90.03</v>
      </c>
      <c r="AY163" s="8">
        <v>88.6</v>
      </c>
      <c r="BB163" s="8">
        <v>21.86</v>
      </c>
      <c r="BC163" s="8">
        <v>25.99</v>
      </c>
      <c r="BD163" s="8">
        <v>26.62</v>
      </c>
      <c r="BE163" s="8">
        <v>26.62</v>
      </c>
      <c r="BI163" s="8">
        <v>29.39</v>
      </c>
      <c r="BK163" s="8">
        <v>19.13</v>
      </c>
      <c r="BM163" s="8">
        <v>20.46</v>
      </c>
      <c r="BO163" s="8">
        <v>51.02</v>
      </c>
      <c r="BP163" s="8">
        <v>46.87</v>
      </c>
      <c r="BQ163" s="8">
        <v>50.68</v>
      </c>
      <c r="BR163" s="8">
        <v>34.229999999999997</v>
      </c>
      <c r="BS163" s="8">
        <v>86.54</v>
      </c>
      <c r="BT163" s="8">
        <v>86.54</v>
      </c>
      <c r="BV163" s="8">
        <v>84.94</v>
      </c>
      <c r="BW163" s="8">
        <v>96.89</v>
      </c>
      <c r="BY163" s="8">
        <v>52.73</v>
      </c>
      <c r="CA163" s="8">
        <v>53.93</v>
      </c>
      <c r="CB163" s="8">
        <v>61.05</v>
      </c>
      <c r="CE163" s="8">
        <v>23.65</v>
      </c>
      <c r="CF163" s="8">
        <v>24.04</v>
      </c>
      <c r="CJ163" s="8">
        <v>39.94</v>
      </c>
      <c r="CL163" s="8">
        <v>10.14</v>
      </c>
      <c r="CM163" s="8">
        <v>9.01</v>
      </c>
      <c r="CN163" s="8">
        <v>19.05</v>
      </c>
      <c r="CO163" s="8">
        <v>34.57</v>
      </c>
      <c r="CP163" s="8">
        <v>35.549999999999997</v>
      </c>
      <c r="CQ163" s="8">
        <v>71.62</v>
      </c>
      <c r="CR163" s="8">
        <v>40.590000000000003</v>
      </c>
      <c r="CS163" s="8">
        <v>26.41</v>
      </c>
      <c r="CT163" s="8">
        <v>32.15</v>
      </c>
      <c r="CU163" s="8">
        <v>20.399999999999999</v>
      </c>
      <c r="CV163" s="8">
        <v>23.53</v>
      </c>
      <c r="CW163" s="8">
        <v>23.53</v>
      </c>
      <c r="CX163" s="8">
        <v>98.71</v>
      </c>
      <c r="CY163" s="8">
        <v>98.71</v>
      </c>
      <c r="CZ163" s="8">
        <v>27.42</v>
      </c>
      <c r="DA163" s="8">
        <v>107.09</v>
      </c>
      <c r="DD163" s="8">
        <v>1999.84</v>
      </c>
      <c r="DI163" s="8">
        <v>34.39</v>
      </c>
      <c r="DJ163" s="8">
        <v>28.8</v>
      </c>
      <c r="DK163" s="8">
        <v>36.54</v>
      </c>
      <c r="DO163" s="8">
        <v>29.87</v>
      </c>
      <c r="DS163" s="8">
        <v>11.48</v>
      </c>
      <c r="DT163" s="8">
        <v>11.48</v>
      </c>
      <c r="ED163" s="9">
        <v>2.6</v>
      </c>
      <c r="EE163" s="9">
        <v>2.8</v>
      </c>
      <c r="EF163" s="9">
        <v>1.7</v>
      </c>
      <c r="EG163" s="9">
        <v>1.8</v>
      </c>
      <c r="EH163" s="9">
        <v>0.7</v>
      </c>
      <c r="EI163" s="9">
        <v>2</v>
      </c>
      <c r="EJ163" s="9">
        <v>4.2</v>
      </c>
      <c r="EK163" s="9">
        <v>2.6</v>
      </c>
      <c r="EL163" s="9">
        <v>1.5</v>
      </c>
      <c r="EM163" s="9">
        <v>-1.5</v>
      </c>
      <c r="EN163" s="9">
        <v>11.8</v>
      </c>
      <c r="EO163" s="9">
        <v>-1</v>
      </c>
      <c r="EP163" s="9">
        <v>1</v>
      </c>
      <c r="EQ163" s="9">
        <v>3.3</v>
      </c>
      <c r="ER163" s="9">
        <v>2.2000000000000002</v>
      </c>
      <c r="ES163" s="9">
        <v>1.4</v>
      </c>
      <c r="ET163" s="9">
        <v>5.2</v>
      </c>
      <c r="EU163" s="9">
        <v>0.9</v>
      </c>
      <c r="EZ163" s="9">
        <v>-0.8</v>
      </c>
      <c r="FA163" s="9">
        <v>0.1</v>
      </c>
      <c r="FE163" s="9">
        <v>1.2</v>
      </c>
      <c r="FG163" s="9">
        <v>-5</v>
      </c>
      <c r="FI163" s="9">
        <v>1.8</v>
      </c>
      <c r="FJ163" s="9">
        <v>2</v>
      </c>
      <c r="FK163" s="9">
        <v>1.6</v>
      </c>
      <c r="FL163" s="9">
        <v>2.2999999999999998</v>
      </c>
      <c r="FM163" s="9">
        <v>2.2999999999999998</v>
      </c>
      <c r="FN163" s="9">
        <v>2.2000000000000002</v>
      </c>
      <c r="FO163" s="9">
        <v>1.9</v>
      </c>
      <c r="FP163" s="9">
        <v>2.4</v>
      </c>
      <c r="FQ163" s="9">
        <v>2.6</v>
      </c>
      <c r="FR163" s="9">
        <v>2.6</v>
      </c>
      <c r="FS163" s="9">
        <v>0.5</v>
      </c>
      <c r="FX163" s="9">
        <v>1</v>
      </c>
      <c r="FY163" s="9">
        <v>1.6</v>
      </c>
      <c r="FZ163" s="9">
        <v>0.7</v>
      </c>
      <c r="GA163" s="9">
        <v>0.8</v>
      </c>
      <c r="GD163" s="9">
        <v>1</v>
      </c>
      <c r="GE163" s="9">
        <v>1.8</v>
      </c>
      <c r="GF163" s="9">
        <v>2.7</v>
      </c>
      <c r="GG163" s="9">
        <v>2.7</v>
      </c>
      <c r="GK163" s="9">
        <v>0.3</v>
      </c>
      <c r="GM163" s="9">
        <v>2</v>
      </c>
      <c r="GO163" s="9">
        <v>1.7</v>
      </c>
      <c r="GQ163" s="9">
        <v>1.6</v>
      </c>
      <c r="GR163" s="9">
        <v>1.8</v>
      </c>
      <c r="GS163" s="9">
        <v>2.2999999999999998</v>
      </c>
      <c r="GT163" s="9">
        <v>0.7</v>
      </c>
      <c r="GU163" s="9">
        <v>1.7</v>
      </c>
      <c r="GV163" s="9">
        <v>1.7</v>
      </c>
      <c r="GX163" s="9">
        <v>2</v>
      </c>
      <c r="GY163" s="9">
        <v>2</v>
      </c>
      <c r="HA163" s="9">
        <v>3</v>
      </c>
      <c r="HC163" s="9">
        <v>-0.2</v>
      </c>
      <c r="HD163" s="9">
        <v>1.5</v>
      </c>
      <c r="HG163" s="9">
        <v>1.9</v>
      </c>
      <c r="HH163" s="9">
        <v>2.2000000000000002</v>
      </c>
      <c r="HL163" s="9">
        <v>1.6</v>
      </c>
      <c r="HN163" s="9">
        <v>3.4</v>
      </c>
      <c r="HO163" s="9">
        <v>3.4</v>
      </c>
      <c r="HP163" s="9">
        <v>3.4</v>
      </c>
      <c r="HQ163" s="9">
        <v>5.0999999999999996</v>
      </c>
      <c r="HR163" s="9">
        <v>4.9000000000000004</v>
      </c>
      <c r="HS163" s="9">
        <v>5.0999999999999996</v>
      </c>
      <c r="HT163" s="9">
        <v>1.9</v>
      </c>
      <c r="HU163" s="9">
        <v>6.3</v>
      </c>
      <c r="HV163" s="9">
        <v>2.8</v>
      </c>
      <c r="HW163" s="9">
        <v>4.4000000000000004</v>
      </c>
      <c r="HX163" s="9">
        <v>6.3</v>
      </c>
      <c r="HY163" s="9">
        <v>6.3</v>
      </c>
      <c r="HZ163" s="9">
        <v>0.8</v>
      </c>
      <c r="IA163" s="9">
        <v>0.8</v>
      </c>
      <c r="IB163" s="9">
        <v>3.9</v>
      </c>
      <c r="IC163" s="9">
        <v>0</v>
      </c>
      <c r="IF163" s="9">
        <v>1.8</v>
      </c>
      <c r="IK163" s="9">
        <v>5.2</v>
      </c>
      <c r="IL163" s="9">
        <v>5.0999999999999996</v>
      </c>
      <c r="IM163" s="9">
        <v>5</v>
      </c>
      <c r="IQ163" s="9">
        <v>2.2000000000000002</v>
      </c>
    </row>
    <row r="164" spans="1:251" x14ac:dyDescent="0.2">
      <c r="A164" s="10">
        <v>31747</v>
      </c>
      <c r="B164" s="8">
        <v>30.85</v>
      </c>
      <c r="C164" s="8">
        <v>29.45</v>
      </c>
      <c r="D164" s="8">
        <v>29.65</v>
      </c>
      <c r="E164" s="8">
        <v>24.94</v>
      </c>
      <c r="F164" s="8">
        <v>31.22</v>
      </c>
      <c r="G164" s="8">
        <v>40.86</v>
      </c>
      <c r="H164" s="8">
        <v>38.229999999999997</v>
      </c>
      <c r="I164" s="8">
        <v>33.270000000000003</v>
      </c>
      <c r="J164" s="8">
        <v>26.13</v>
      </c>
      <c r="K164" s="8">
        <v>37.61</v>
      </c>
      <c r="L164" s="8">
        <v>19.309999999999999</v>
      </c>
      <c r="M164" s="8">
        <v>65.430000000000007</v>
      </c>
      <c r="N164" s="8">
        <v>28.15</v>
      </c>
      <c r="O164" s="8">
        <v>37</v>
      </c>
      <c r="P164" s="8">
        <v>31.31</v>
      </c>
      <c r="Q164" s="8">
        <v>32.92</v>
      </c>
      <c r="R164" s="8">
        <v>27.36</v>
      </c>
      <c r="S164" s="8">
        <v>31.29</v>
      </c>
      <c r="X164" s="8">
        <v>27.37</v>
      </c>
      <c r="Y164" s="8">
        <v>30.67</v>
      </c>
      <c r="AC164" s="8">
        <v>39.79</v>
      </c>
      <c r="AE164" s="8">
        <v>46.18</v>
      </c>
      <c r="AG164" s="8">
        <v>26.24</v>
      </c>
      <c r="AH164" s="8">
        <v>27.74</v>
      </c>
      <c r="AI164" s="8">
        <v>24.44</v>
      </c>
      <c r="AJ164" s="8">
        <v>11.68</v>
      </c>
      <c r="AK164" s="8">
        <v>29.18</v>
      </c>
      <c r="AL164" s="8">
        <v>22.71</v>
      </c>
      <c r="AM164" s="8">
        <v>48.76</v>
      </c>
      <c r="AN164" s="8">
        <v>22.73</v>
      </c>
      <c r="AO164" s="8">
        <v>2.4700000000000002</v>
      </c>
      <c r="AP164" s="8">
        <v>2.4700000000000002</v>
      </c>
      <c r="AQ164" s="8">
        <v>74.180000000000007</v>
      </c>
      <c r="AV164" s="8">
        <v>95.34</v>
      </c>
      <c r="AW164" s="8">
        <v>102.62</v>
      </c>
      <c r="AX164" s="8">
        <v>92.02</v>
      </c>
      <c r="AY164" s="8">
        <v>89.62</v>
      </c>
      <c r="BB164" s="8">
        <v>22.04</v>
      </c>
      <c r="BC164" s="8">
        <v>26.43</v>
      </c>
      <c r="BD164" s="8">
        <v>27.21</v>
      </c>
      <c r="BE164" s="8">
        <v>27.21</v>
      </c>
      <c r="BI164" s="8">
        <v>29.75</v>
      </c>
      <c r="BK164" s="8">
        <v>19.489999999999998</v>
      </c>
      <c r="BM164" s="8">
        <v>20.75</v>
      </c>
      <c r="BO164" s="8">
        <v>52.15</v>
      </c>
      <c r="BP164" s="8">
        <v>47.86</v>
      </c>
      <c r="BQ164" s="8">
        <v>51.8</v>
      </c>
      <c r="BR164" s="8">
        <v>34.85</v>
      </c>
      <c r="BS164" s="8">
        <v>87.71</v>
      </c>
      <c r="BT164" s="8">
        <v>87.71</v>
      </c>
      <c r="BV164" s="8">
        <v>86.21</v>
      </c>
      <c r="BW164" s="8">
        <v>98.34</v>
      </c>
      <c r="BY164" s="8">
        <v>57.39</v>
      </c>
      <c r="CA164" s="8">
        <v>53.81</v>
      </c>
      <c r="CB164" s="8">
        <v>61.55</v>
      </c>
      <c r="CE164" s="8">
        <v>23.78</v>
      </c>
      <c r="CF164" s="8">
        <v>24.46</v>
      </c>
      <c r="CI164" s="8">
        <v>45.28</v>
      </c>
      <c r="CJ164" s="8">
        <v>44.16</v>
      </c>
      <c r="CK164" s="8">
        <v>51.94</v>
      </c>
      <c r="CL164" s="8">
        <v>11.13</v>
      </c>
      <c r="CM164" s="8">
        <v>10.08</v>
      </c>
      <c r="CN164" s="8">
        <v>19.46</v>
      </c>
      <c r="CO164" s="8">
        <v>36.15</v>
      </c>
      <c r="CP164" s="8">
        <v>37.270000000000003</v>
      </c>
      <c r="CQ164" s="8">
        <v>76.44</v>
      </c>
      <c r="CR164" s="8">
        <v>41.43</v>
      </c>
      <c r="CS164" s="8">
        <v>28.18</v>
      </c>
      <c r="CT164" s="8">
        <v>32.83</v>
      </c>
      <c r="CU164" s="8">
        <v>20.61</v>
      </c>
      <c r="CV164" s="8">
        <v>24</v>
      </c>
      <c r="CW164" s="8">
        <v>24</v>
      </c>
      <c r="CX164" s="8">
        <v>100.91</v>
      </c>
      <c r="CY164" s="8">
        <v>100.91</v>
      </c>
      <c r="CZ164" s="8">
        <v>28.96</v>
      </c>
      <c r="DA164" s="8">
        <v>108.49</v>
      </c>
      <c r="DD164" s="8">
        <v>2052.17</v>
      </c>
      <c r="DI164" s="8">
        <v>34.130000000000003</v>
      </c>
      <c r="DJ164" s="8">
        <v>29.99</v>
      </c>
      <c r="DK164" s="8">
        <v>34.93</v>
      </c>
      <c r="DO164" s="8">
        <v>30.6</v>
      </c>
      <c r="DP164" s="8">
        <v>16.05</v>
      </c>
      <c r="DS164" s="8">
        <v>11.48</v>
      </c>
      <c r="DT164" s="8">
        <v>11.48</v>
      </c>
      <c r="ED164" s="9">
        <v>2.8</v>
      </c>
      <c r="EE164" s="9">
        <v>1.5</v>
      </c>
      <c r="EF164" s="9">
        <v>0.4</v>
      </c>
      <c r="EG164" s="9">
        <v>0.5</v>
      </c>
      <c r="EH164" s="9">
        <v>0</v>
      </c>
      <c r="EI164" s="9">
        <v>2.1</v>
      </c>
      <c r="EJ164" s="9">
        <v>0.6</v>
      </c>
      <c r="EK164" s="9">
        <v>2.2000000000000002</v>
      </c>
      <c r="EL164" s="9">
        <v>2</v>
      </c>
      <c r="EM164" s="9">
        <v>4.5999999999999996</v>
      </c>
      <c r="EN164" s="9">
        <v>-5.6</v>
      </c>
      <c r="EO164" s="9">
        <v>1.2</v>
      </c>
      <c r="EP164" s="9">
        <v>2.4</v>
      </c>
      <c r="EQ164" s="9">
        <v>14.1</v>
      </c>
      <c r="ER164" s="9">
        <v>-0.5</v>
      </c>
      <c r="ES164" s="9">
        <v>0.5</v>
      </c>
      <c r="ET164" s="9">
        <v>-4.0999999999999996</v>
      </c>
      <c r="EU164" s="9">
        <v>0.6</v>
      </c>
      <c r="EZ164" s="9">
        <v>-0.5</v>
      </c>
      <c r="FA164" s="9">
        <v>5.3</v>
      </c>
      <c r="FE164" s="9">
        <v>3.1</v>
      </c>
      <c r="FG164" s="9">
        <v>-2</v>
      </c>
      <c r="FI164" s="9">
        <v>2.2999999999999998</v>
      </c>
      <c r="FJ164" s="9">
        <v>3</v>
      </c>
      <c r="FK164" s="9">
        <v>1.7</v>
      </c>
      <c r="FL164" s="9">
        <v>3</v>
      </c>
      <c r="FM164" s="9">
        <v>3</v>
      </c>
      <c r="FN164" s="9">
        <v>2.9</v>
      </c>
      <c r="FO164" s="9">
        <v>5.5</v>
      </c>
      <c r="FP164" s="9">
        <v>2.6</v>
      </c>
      <c r="FQ164" s="9">
        <v>2.9</v>
      </c>
      <c r="FR164" s="9">
        <v>2.9</v>
      </c>
      <c r="FS164" s="9">
        <v>4.2</v>
      </c>
      <c r="FX164" s="9">
        <v>2.2000000000000002</v>
      </c>
      <c r="FY164" s="9">
        <v>2.4</v>
      </c>
      <c r="FZ164" s="9">
        <v>2.2000000000000002</v>
      </c>
      <c r="GA164" s="9">
        <v>1.2</v>
      </c>
      <c r="GD164" s="9">
        <v>0.8</v>
      </c>
      <c r="GE164" s="9">
        <v>1.7</v>
      </c>
      <c r="GF164" s="9">
        <v>2.2000000000000002</v>
      </c>
      <c r="GG164" s="9">
        <v>2.2000000000000002</v>
      </c>
      <c r="GK164" s="9">
        <v>1.2</v>
      </c>
      <c r="GM164" s="9">
        <v>1.9</v>
      </c>
      <c r="GO164" s="9">
        <v>1.4</v>
      </c>
      <c r="GQ164" s="9">
        <v>2.2000000000000002</v>
      </c>
      <c r="GR164" s="9">
        <v>2.1</v>
      </c>
      <c r="GS164" s="9">
        <v>2.2000000000000002</v>
      </c>
      <c r="GT164" s="9">
        <v>1.8</v>
      </c>
      <c r="GU164" s="9">
        <v>1.4</v>
      </c>
      <c r="GV164" s="9">
        <v>1.4</v>
      </c>
      <c r="GX164" s="9">
        <v>1.5</v>
      </c>
      <c r="GY164" s="9">
        <v>1.5</v>
      </c>
      <c r="HA164" s="9">
        <v>8.8000000000000007</v>
      </c>
      <c r="HC164" s="9">
        <v>-0.2</v>
      </c>
      <c r="HD164" s="9">
        <v>0.8</v>
      </c>
      <c r="HG164" s="9">
        <v>0.5</v>
      </c>
      <c r="HH164" s="9">
        <v>1.7</v>
      </c>
      <c r="HL164" s="9">
        <v>10.6</v>
      </c>
      <c r="HN164" s="9">
        <v>9.8000000000000007</v>
      </c>
      <c r="HO164" s="9">
        <v>11.9</v>
      </c>
      <c r="HP164" s="9">
        <v>2.2000000000000002</v>
      </c>
      <c r="HQ164" s="9">
        <v>4.5999999999999996</v>
      </c>
      <c r="HR164" s="9">
        <v>4.8</v>
      </c>
      <c r="HS164" s="9">
        <v>6.7</v>
      </c>
      <c r="HT164" s="9">
        <v>2.1</v>
      </c>
      <c r="HU164" s="9">
        <v>6.7</v>
      </c>
      <c r="HV164" s="9">
        <v>2.1</v>
      </c>
      <c r="HW164" s="9">
        <v>1</v>
      </c>
      <c r="HX164" s="9">
        <v>2</v>
      </c>
      <c r="HY164" s="9">
        <v>2</v>
      </c>
      <c r="HZ164" s="9">
        <v>2.2000000000000002</v>
      </c>
      <c r="IA164" s="9">
        <v>2.2000000000000002</v>
      </c>
      <c r="IB164" s="9">
        <v>5.6</v>
      </c>
      <c r="IC164" s="9">
        <v>1.3</v>
      </c>
      <c r="IF164" s="9">
        <v>2.6</v>
      </c>
      <c r="IK164" s="9">
        <v>-0.8</v>
      </c>
      <c r="IL164" s="9">
        <v>4.0999999999999996</v>
      </c>
      <c r="IM164" s="9">
        <v>-4.4000000000000004</v>
      </c>
      <c r="IQ164" s="9">
        <v>2.4</v>
      </c>
    </row>
    <row r="165" spans="1:251" x14ac:dyDescent="0.2">
      <c r="A165" s="10">
        <v>31837</v>
      </c>
      <c r="B165" s="8">
        <v>31.47</v>
      </c>
      <c r="C165" s="8">
        <v>29.78</v>
      </c>
      <c r="D165" s="8">
        <v>30.05</v>
      </c>
      <c r="E165" s="8">
        <v>25.54</v>
      </c>
      <c r="F165" s="8">
        <v>31.38</v>
      </c>
      <c r="G165" s="8">
        <v>41.33</v>
      </c>
      <c r="H165" s="8">
        <v>38.659999999999997</v>
      </c>
      <c r="I165" s="8">
        <v>33.76</v>
      </c>
      <c r="J165" s="8">
        <v>26.4</v>
      </c>
      <c r="K165" s="8">
        <v>37.06</v>
      </c>
      <c r="L165" s="8">
        <v>20.52</v>
      </c>
      <c r="M165" s="8">
        <v>67.69</v>
      </c>
      <c r="N165" s="8">
        <v>28.18</v>
      </c>
      <c r="O165" s="8">
        <v>37.57</v>
      </c>
      <c r="P165" s="8">
        <v>31.88</v>
      </c>
      <c r="Q165" s="8">
        <v>33.14</v>
      </c>
      <c r="R165" s="8">
        <v>28.78</v>
      </c>
      <c r="S165" s="8">
        <v>31.66</v>
      </c>
      <c r="X165" s="8">
        <v>27.76</v>
      </c>
      <c r="Y165" s="8">
        <v>31.42</v>
      </c>
      <c r="AC165" s="8">
        <v>40.71</v>
      </c>
      <c r="AE165" s="8">
        <v>46.54</v>
      </c>
      <c r="AG165" s="8">
        <v>26.73</v>
      </c>
      <c r="AH165" s="8">
        <v>28.17</v>
      </c>
      <c r="AI165" s="8">
        <v>24.97</v>
      </c>
      <c r="AJ165" s="8">
        <v>12</v>
      </c>
      <c r="AK165" s="8">
        <v>29.96</v>
      </c>
      <c r="AL165" s="8">
        <v>23.22</v>
      </c>
      <c r="AM165" s="8">
        <v>49.57</v>
      </c>
      <c r="AN165" s="8">
        <v>23.41</v>
      </c>
      <c r="AO165" s="8">
        <v>2.5499999999999998</v>
      </c>
      <c r="AP165" s="8">
        <v>2.5499999999999998</v>
      </c>
      <c r="AQ165" s="8">
        <v>74.63</v>
      </c>
      <c r="AV165" s="8">
        <v>95.57</v>
      </c>
      <c r="AW165" s="8">
        <v>103.21</v>
      </c>
      <c r="AX165" s="8">
        <v>92.13</v>
      </c>
      <c r="AY165" s="8">
        <v>89.92</v>
      </c>
      <c r="BB165" s="8">
        <v>22.45</v>
      </c>
      <c r="BC165" s="8">
        <v>26.91</v>
      </c>
      <c r="BD165" s="8">
        <v>27.83</v>
      </c>
      <c r="BE165" s="8">
        <v>27.83</v>
      </c>
      <c r="BI165" s="8">
        <v>30.11</v>
      </c>
      <c r="BK165" s="8">
        <v>19.63</v>
      </c>
      <c r="BM165" s="8">
        <v>20.87</v>
      </c>
      <c r="BO165" s="8">
        <v>52.71</v>
      </c>
      <c r="BP165" s="8">
        <v>47.45</v>
      </c>
      <c r="BQ165" s="8">
        <v>50.99</v>
      </c>
      <c r="BR165" s="8">
        <v>35.29</v>
      </c>
      <c r="BS165" s="8">
        <v>87.92</v>
      </c>
      <c r="BT165" s="8">
        <v>87.92</v>
      </c>
      <c r="BV165" s="8">
        <v>87.19</v>
      </c>
      <c r="BW165" s="8">
        <v>99.46</v>
      </c>
      <c r="BY165" s="8">
        <v>59.06</v>
      </c>
      <c r="CA165" s="8">
        <v>55.54</v>
      </c>
      <c r="CB165" s="8">
        <v>63.26</v>
      </c>
      <c r="CE165" s="8">
        <v>24.89</v>
      </c>
      <c r="CF165" s="8">
        <v>24.67</v>
      </c>
      <c r="CI165" s="8">
        <v>47.28</v>
      </c>
      <c r="CJ165" s="8">
        <v>46.37</v>
      </c>
      <c r="CK165" s="8">
        <v>53.08</v>
      </c>
      <c r="CL165" s="8">
        <v>11.54</v>
      </c>
      <c r="CM165" s="8">
        <v>10.48</v>
      </c>
      <c r="CN165" s="8">
        <v>20.07</v>
      </c>
      <c r="CO165" s="8">
        <v>37.159999999999997</v>
      </c>
      <c r="CP165" s="8">
        <v>38.4</v>
      </c>
      <c r="CQ165" s="8">
        <v>78.849999999999994</v>
      </c>
      <c r="CR165" s="8">
        <v>41.72</v>
      </c>
      <c r="CS165" s="8">
        <v>28.77</v>
      </c>
      <c r="CT165" s="8">
        <v>33.79</v>
      </c>
      <c r="CU165" s="8">
        <v>20.71</v>
      </c>
      <c r="CV165" s="8">
        <v>24.24</v>
      </c>
      <c r="CW165" s="8">
        <v>24.24</v>
      </c>
      <c r="CX165" s="8">
        <v>101.57</v>
      </c>
      <c r="CY165" s="8">
        <v>101.57</v>
      </c>
      <c r="CZ165" s="8">
        <v>28.96</v>
      </c>
      <c r="DA165" s="8">
        <v>109.31</v>
      </c>
      <c r="DD165" s="8">
        <v>2115.71</v>
      </c>
      <c r="DI165" s="8">
        <v>34.909999999999997</v>
      </c>
      <c r="DJ165" s="8">
        <v>30.37</v>
      </c>
      <c r="DK165" s="8">
        <v>36.1</v>
      </c>
      <c r="DO165" s="8">
        <v>30.7</v>
      </c>
      <c r="DP165" s="8">
        <v>16.97</v>
      </c>
      <c r="DS165" s="8">
        <v>12.65</v>
      </c>
      <c r="DT165" s="8">
        <v>12.65</v>
      </c>
      <c r="ED165" s="9">
        <v>2</v>
      </c>
      <c r="EE165" s="9">
        <v>1.1000000000000001</v>
      </c>
      <c r="EF165" s="9">
        <v>1.3</v>
      </c>
      <c r="EG165" s="9">
        <v>2.4</v>
      </c>
      <c r="EH165" s="9">
        <v>0.5</v>
      </c>
      <c r="EI165" s="9">
        <v>1.2</v>
      </c>
      <c r="EJ165" s="9">
        <v>1.1000000000000001</v>
      </c>
      <c r="EK165" s="9">
        <v>1.5</v>
      </c>
      <c r="EL165" s="9">
        <v>1</v>
      </c>
      <c r="EM165" s="9">
        <v>-1.5</v>
      </c>
      <c r="EN165" s="9">
        <v>6.3</v>
      </c>
      <c r="EO165" s="9">
        <v>3.5</v>
      </c>
      <c r="EP165" s="9">
        <v>0.1</v>
      </c>
      <c r="EQ165" s="9">
        <v>1.5</v>
      </c>
      <c r="ER165" s="9">
        <v>1.8</v>
      </c>
      <c r="ES165" s="9">
        <v>0.7</v>
      </c>
      <c r="ET165" s="9">
        <v>5.2</v>
      </c>
      <c r="EU165" s="9">
        <v>1.2</v>
      </c>
      <c r="EZ165" s="9">
        <v>1.4</v>
      </c>
      <c r="FA165" s="9">
        <v>2.4</v>
      </c>
      <c r="FE165" s="9">
        <v>2.2999999999999998</v>
      </c>
      <c r="FG165" s="9">
        <v>0.8</v>
      </c>
      <c r="FI165" s="9">
        <v>1.9</v>
      </c>
      <c r="FJ165" s="9">
        <v>1.6</v>
      </c>
      <c r="FK165" s="9">
        <v>2.2000000000000002</v>
      </c>
      <c r="FL165" s="9">
        <v>2.7</v>
      </c>
      <c r="FM165" s="9">
        <v>2.7</v>
      </c>
      <c r="FN165" s="9">
        <v>2.2000000000000002</v>
      </c>
      <c r="FO165" s="9">
        <v>1.7</v>
      </c>
      <c r="FP165" s="9">
        <v>3</v>
      </c>
      <c r="FQ165" s="9">
        <v>3.2</v>
      </c>
      <c r="FR165" s="9">
        <v>3.2</v>
      </c>
      <c r="FS165" s="9">
        <v>0.6</v>
      </c>
      <c r="FX165" s="9">
        <v>0.2</v>
      </c>
      <c r="FY165" s="9">
        <v>0.6</v>
      </c>
      <c r="FZ165" s="9">
        <v>0.1</v>
      </c>
      <c r="GA165" s="9">
        <v>0.3</v>
      </c>
      <c r="GD165" s="9">
        <v>1.9</v>
      </c>
      <c r="GE165" s="9">
        <v>1.8</v>
      </c>
      <c r="GF165" s="9">
        <v>2.2999999999999998</v>
      </c>
      <c r="GG165" s="9">
        <v>2.2999999999999998</v>
      </c>
      <c r="GK165" s="9">
        <v>1.2</v>
      </c>
      <c r="GM165" s="9">
        <v>0.7</v>
      </c>
      <c r="GO165" s="9">
        <v>0.6</v>
      </c>
      <c r="GQ165" s="9">
        <v>1.1000000000000001</v>
      </c>
      <c r="GR165" s="9">
        <v>-0.9</v>
      </c>
      <c r="GS165" s="9">
        <v>-1.6</v>
      </c>
      <c r="GT165" s="9">
        <v>1.3</v>
      </c>
      <c r="GU165" s="9">
        <v>0.2</v>
      </c>
      <c r="GV165" s="9">
        <v>0.2</v>
      </c>
      <c r="GX165" s="9">
        <v>1.1000000000000001</v>
      </c>
      <c r="GY165" s="9">
        <v>1.1000000000000001</v>
      </c>
      <c r="HA165" s="9">
        <v>2.9</v>
      </c>
      <c r="HC165" s="9">
        <v>3.2</v>
      </c>
      <c r="HD165" s="9">
        <v>2.8</v>
      </c>
      <c r="HG165" s="9">
        <v>4.7</v>
      </c>
      <c r="HH165" s="9">
        <v>0.9</v>
      </c>
      <c r="HK165" s="9">
        <v>4.4000000000000004</v>
      </c>
      <c r="HL165" s="9">
        <v>5</v>
      </c>
      <c r="HM165" s="9">
        <v>2.2000000000000002</v>
      </c>
      <c r="HN165" s="9">
        <v>3.7</v>
      </c>
      <c r="HO165" s="9">
        <v>4</v>
      </c>
      <c r="HP165" s="9">
        <v>3.1</v>
      </c>
      <c r="HQ165" s="9">
        <v>2.8</v>
      </c>
      <c r="HR165" s="9">
        <v>3</v>
      </c>
      <c r="HS165" s="9">
        <v>3.2</v>
      </c>
      <c r="HT165" s="9">
        <v>0.7</v>
      </c>
      <c r="HU165" s="9">
        <v>2.1</v>
      </c>
      <c r="HV165" s="9">
        <v>2.9</v>
      </c>
      <c r="HW165" s="9">
        <v>0.5</v>
      </c>
      <c r="HX165" s="9">
        <v>1</v>
      </c>
      <c r="HY165" s="9">
        <v>1</v>
      </c>
      <c r="HZ165" s="9">
        <v>0.7</v>
      </c>
      <c r="IA165" s="9">
        <v>0.7</v>
      </c>
      <c r="IB165" s="9">
        <v>0</v>
      </c>
      <c r="IC165" s="9">
        <v>0.8</v>
      </c>
      <c r="IF165" s="9">
        <v>3.1</v>
      </c>
      <c r="IK165" s="9">
        <v>2.2999999999999998</v>
      </c>
      <c r="IL165" s="9">
        <v>1.3</v>
      </c>
      <c r="IM165" s="9">
        <v>3.3</v>
      </c>
      <c r="IQ165" s="9">
        <v>0.3</v>
      </c>
    </row>
    <row r="166" spans="1:251" x14ac:dyDescent="0.2">
      <c r="A166" s="10">
        <v>31929</v>
      </c>
      <c r="B166" s="8">
        <v>31.93</v>
      </c>
      <c r="C166" s="8">
        <v>29.82</v>
      </c>
      <c r="D166" s="8">
        <v>30.53</v>
      </c>
      <c r="E166" s="8">
        <v>25.97</v>
      </c>
      <c r="F166" s="8">
        <v>31.68</v>
      </c>
      <c r="G166" s="8">
        <v>42.54</v>
      </c>
      <c r="H166" s="8">
        <v>39.76</v>
      </c>
      <c r="I166" s="8">
        <v>34.21</v>
      </c>
      <c r="J166" s="8">
        <v>26.67</v>
      </c>
      <c r="K166" s="8">
        <v>36.89</v>
      </c>
      <c r="L166" s="8">
        <v>20.99</v>
      </c>
      <c r="M166" s="8">
        <v>70.27</v>
      </c>
      <c r="N166" s="8">
        <v>28.7</v>
      </c>
      <c r="O166" s="8">
        <v>37.72</v>
      </c>
      <c r="P166" s="8">
        <v>32.11</v>
      </c>
      <c r="Q166" s="8">
        <v>33.56</v>
      </c>
      <c r="R166" s="8">
        <v>28.48</v>
      </c>
      <c r="S166" s="8">
        <v>32.200000000000003</v>
      </c>
      <c r="X166" s="8">
        <v>27.83</v>
      </c>
      <c r="Y166" s="8">
        <v>32.090000000000003</v>
      </c>
      <c r="AC166" s="8">
        <v>40.619999999999997</v>
      </c>
      <c r="AE166" s="8">
        <v>44.73</v>
      </c>
      <c r="AG166" s="8">
        <v>27.16</v>
      </c>
      <c r="AH166" s="8">
        <v>28.54</v>
      </c>
      <c r="AI166" s="8">
        <v>25.43</v>
      </c>
      <c r="AJ166" s="8">
        <v>12.29</v>
      </c>
      <c r="AK166" s="8">
        <v>30.67</v>
      </c>
      <c r="AL166" s="8">
        <v>23.93</v>
      </c>
      <c r="AM166" s="8">
        <v>50.15</v>
      </c>
      <c r="AN166" s="8">
        <v>24.04</v>
      </c>
      <c r="AO166" s="8">
        <v>2.62</v>
      </c>
      <c r="AP166" s="8">
        <v>2.62</v>
      </c>
      <c r="AQ166" s="8">
        <v>76.88</v>
      </c>
      <c r="AV166" s="8">
        <v>97.24</v>
      </c>
      <c r="AW166" s="8">
        <v>105.59</v>
      </c>
      <c r="AX166" s="8">
        <v>93.67</v>
      </c>
      <c r="AY166" s="8">
        <v>90.94</v>
      </c>
      <c r="BB166" s="8">
        <v>23.05</v>
      </c>
      <c r="BC166" s="8">
        <v>27.43</v>
      </c>
      <c r="BD166" s="8">
        <v>28.48</v>
      </c>
      <c r="BE166" s="8">
        <v>28.48</v>
      </c>
      <c r="BI166" s="8">
        <v>30.5</v>
      </c>
      <c r="BK166" s="8">
        <v>19.670000000000002</v>
      </c>
      <c r="BM166" s="8">
        <v>20.92</v>
      </c>
      <c r="BO166" s="8">
        <v>53.9</v>
      </c>
      <c r="BP166" s="8">
        <v>49.45</v>
      </c>
      <c r="BQ166" s="8">
        <v>53.31</v>
      </c>
      <c r="BR166" s="8">
        <v>36.31</v>
      </c>
      <c r="BS166" s="8">
        <v>90.89</v>
      </c>
      <c r="BT166" s="8">
        <v>90.89</v>
      </c>
      <c r="BV166" s="8">
        <v>88.86</v>
      </c>
      <c r="BW166" s="8">
        <v>101.36</v>
      </c>
      <c r="BY166" s="8">
        <v>61.77</v>
      </c>
      <c r="CA166" s="8">
        <v>55.92</v>
      </c>
      <c r="CB166" s="8">
        <v>64.47</v>
      </c>
      <c r="CE166" s="8">
        <v>25.21</v>
      </c>
      <c r="CF166" s="8">
        <v>25.3</v>
      </c>
      <c r="CI166" s="8">
        <v>46.23</v>
      </c>
      <c r="CJ166" s="8">
        <v>44.98</v>
      </c>
      <c r="CK166" s="8">
        <v>53.74</v>
      </c>
      <c r="CL166" s="8">
        <v>11.97</v>
      </c>
      <c r="CM166" s="8">
        <v>10.89</v>
      </c>
      <c r="CN166" s="8">
        <v>20.62</v>
      </c>
      <c r="CO166" s="8">
        <v>37.520000000000003</v>
      </c>
      <c r="CP166" s="8">
        <v>38.71</v>
      </c>
      <c r="CQ166" s="8">
        <v>80.400000000000006</v>
      </c>
      <c r="CR166" s="8">
        <v>42.46</v>
      </c>
      <c r="CS166" s="8">
        <v>27.93</v>
      </c>
      <c r="CT166" s="8">
        <v>34.630000000000003</v>
      </c>
      <c r="CU166" s="8">
        <v>21.55</v>
      </c>
      <c r="CV166" s="8">
        <v>24.3</v>
      </c>
      <c r="CW166" s="8">
        <v>24.31</v>
      </c>
      <c r="CX166" s="8">
        <v>101.9</v>
      </c>
      <c r="CY166" s="8">
        <v>101.9</v>
      </c>
      <c r="CZ166" s="8">
        <v>28.96</v>
      </c>
      <c r="DA166" s="8">
        <v>109.67</v>
      </c>
      <c r="DD166" s="8">
        <v>2153.09</v>
      </c>
      <c r="DI166" s="8">
        <v>34.61</v>
      </c>
      <c r="DJ166" s="8">
        <v>29.57</v>
      </c>
      <c r="DK166" s="8">
        <v>36.409999999999997</v>
      </c>
      <c r="DO166" s="8">
        <v>31.14</v>
      </c>
      <c r="DP166" s="8">
        <v>17.190000000000001</v>
      </c>
      <c r="DS166" s="8">
        <v>12.65</v>
      </c>
      <c r="DT166" s="8">
        <v>12.65</v>
      </c>
      <c r="ED166" s="9">
        <v>1.5</v>
      </c>
      <c r="EE166" s="9">
        <v>0.1</v>
      </c>
      <c r="EF166" s="9">
        <v>1.6</v>
      </c>
      <c r="EG166" s="9">
        <v>1.7</v>
      </c>
      <c r="EH166" s="9">
        <v>1</v>
      </c>
      <c r="EI166" s="9">
        <v>2.9</v>
      </c>
      <c r="EJ166" s="9">
        <v>2.8</v>
      </c>
      <c r="EK166" s="9">
        <v>1.3</v>
      </c>
      <c r="EL166" s="9">
        <v>1</v>
      </c>
      <c r="EM166" s="9">
        <v>-0.5</v>
      </c>
      <c r="EN166" s="9">
        <v>2.2999999999999998</v>
      </c>
      <c r="EO166" s="9">
        <v>3.8</v>
      </c>
      <c r="EP166" s="9">
        <v>1.8</v>
      </c>
      <c r="EQ166" s="9">
        <v>0.4</v>
      </c>
      <c r="ER166" s="9">
        <v>0.7</v>
      </c>
      <c r="ES166" s="9">
        <v>1.3</v>
      </c>
      <c r="ET166" s="9">
        <v>-1</v>
      </c>
      <c r="EU166" s="9">
        <v>1.7</v>
      </c>
      <c r="EZ166" s="9">
        <v>0.3</v>
      </c>
      <c r="FA166" s="9">
        <v>2.1</v>
      </c>
      <c r="FE166" s="9">
        <v>-0.2</v>
      </c>
      <c r="FG166" s="9">
        <v>-3.9</v>
      </c>
      <c r="FI166" s="9">
        <v>1.6</v>
      </c>
      <c r="FJ166" s="9">
        <v>1.3</v>
      </c>
      <c r="FK166" s="9">
        <v>1.8</v>
      </c>
      <c r="FL166" s="9">
        <v>2.4</v>
      </c>
      <c r="FM166" s="9">
        <v>2.4</v>
      </c>
      <c r="FN166" s="9">
        <v>3.1</v>
      </c>
      <c r="FO166" s="9">
        <v>1.2</v>
      </c>
      <c r="FP166" s="9">
        <v>2.7</v>
      </c>
      <c r="FQ166" s="9">
        <v>2.7</v>
      </c>
      <c r="FR166" s="9">
        <v>2.7</v>
      </c>
      <c r="FS166" s="9">
        <v>3</v>
      </c>
      <c r="FX166" s="9">
        <v>1.7</v>
      </c>
      <c r="FY166" s="9">
        <v>2.2999999999999998</v>
      </c>
      <c r="FZ166" s="9">
        <v>1.7</v>
      </c>
      <c r="GA166" s="9">
        <v>1.1000000000000001</v>
      </c>
      <c r="GD166" s="9">
        <v>2.7</v>
      </c>
      <c r="GE166" s="9">
        <v>1.9</v>
      </c>
      <c r="GF166" s="9">
        <v>2.2999999999999998</v>
      </c>
      <c r="GG166" s="9">
        <v>2.2999999999999998</v>
      </c>
      <c r="GK166" s="9">
        <v>1.3</v>
      </c>
      <c r="GM166" s="9">
        <v>0.2</v>
      </c>
      <c r="GO166" s="9">
        <v>0.2</v>
      </c>
      <c r="GQ166" s="9">
        <v>2.2999999999999998</v>
      </c>
      <c r="GR166" s="9">
        <v>4.2</v>
      </c>
      <c r="GS166" s="9">
        <v>4.5</v>
      </c>
      <c r="GT166" s="9">
        <v>2.9</v>
      </c>
      <c r="GU166" s="9">
        <v>3.4</v>
      </c>
      <c r="GV166" s="9">
        <v>3.4</v>
      </c>
      <c r="GX166" s="9">
        <v>1.9</v>
      </c>
      <c r="GY166" s="9">
        <v>1.9</v>
      </c>
      <c r="HA166" s="9">
        <v>4.5999999999999996</v>
      </c>
      <c r="HC166" s="9">
        <v>0.7</v>
      </c>
      <c r="HD166" s="9">
        <v>1.9</v>
      </c>
      <c r="HG166" s="9">
        <v>1.3</v>
      </c>
      <c r="HH166" s="9">
        <v>2.6</v>
      </c>
      <c r="HK166" s="9">
        <v>-2.2000000000000002</v>
      </c>
      <c r="HL166" s="9">
        <v>-3</v>
      </c>
      <c r="HM166" s="9">
        <v>1.2</v>
      </c>
      <c r="HN166" s="9">
        <v>3.7</v>
      </c>
      <c r="HO166" s="9">
        <v>3.9</v>
      </c>
      <c r="HP166" s="9">
        <v>2.7</v>
      </c>
      <c r="HQ166" s="9">
        <v>1</v>
      </c>
      <c r="HR166" s="9">
        <v>0.8</v>
      </c>
      <c r="HS166" s="9">
        <v>2</v>
      </c>
      <c r="HT166" s="9">
        <v>1.8</v>
      </c>
      <c r="HU166" s="9">
        <v>-2.9</v>
      </c>
      <c r="HV166" s="9">
        <v>2.5</v>
      </c>
      <c r="HW166" s="9">
        <v>4.0999999999999996</v>
      </c>
      <c r="HX166" s="9">
        <v>0.2</v>
      </c>
      <c r="HY166" s="9">
        <v>0.3</v>
      </c>
      <c r="HZ166" s="9">
        <v>0.3</v>
      </c>
      <c r="IA166" s="9">
        <v>0.3</v>
      </c>
      <c r="IB166" s="9">
        <v>0</v>
      </c>
      <c r="IC166" s="9">
        <v>0.3</v>
      </c>
      <c r="IF166" s="9">
        <v>1.8</v>
      </c>
      <c r="IK166" s="9">
        <v>-0.9</v>
      </c>
      <c r="IL166" s="9">
        <v>-2.6</v>
      </c>
      <c r="IM166" s="9">
        <v>0.9</v>
      </c>
      <c r="IQ166" s="9">
        <v>1.4</v>
      </c>
    </row>
    <row r="167" spans="1:251" x14ac:dyDescent="0.2">
      <c r="A167" s="10">
        <v>32021</v>
      </c>
      <c r="B167" s="8">
        <v>32.47</v>
      </c>
      <c r="C167" s="8">
        <v>30.25</v>
      </c>
      <c r="D167" s="8">
        <v>30.9</v>
      </c>
      <c r="E167" s="8">
        <v>25.85</v>
      </c>
      <c r="F167" s="8">
        <v>32.44</v>
      </c>
      <c r="G167" s="8">
        <v>43.48</v>
      </c>
      <c r="H167" s="8">
        <v>40.520000000000003</v>
      </c>
      <c r="I167" s="8">
        <v>34.67</v>
      </c>
      <c r="J167" s="8">
        <v>27.25</v>
      </c>
      <c r="K167" s="8">
        <v>37.1</v>
      </c>
      <c r="L167" s="8">
        <v>21.41</v>
      </c>
      <c r="M167" s="8">
        <v>68.16</v>
      </c>
      <c r="N167" s="8">
        <v>29.39</v>
      </c>
      <c r="O167" s="8">
        <v>38.619999999999997</v>
      </c>
      <c r="P167" s="8">
        <v>32.76</v>
      </c>
      <c r="Q167" s="8">
        <v>34.130000000000003</v>
      </c>
      <c r="R167" s="8">
        <v>29.19</v>
      </c>
      <c r="S167" s="8">
        <v>33.35</v>
      </c>
      <c r="X167" s="8">
        <v>27.92</v>
      </c>
      <c r="Y167" s="8">
        <v>32.69</v>
      </c>
      <c r="AC167" s="8">
        <v>41.88</v>
      </c>
      <c r="AE167" s="8">
        <v>44</v>
      </c>
      <c r="AG167" s="8">
        <v>27.55</v>
      </c>
      <c r="AH167" s="8">
        <v>29.04</v>
      </c>
      <c r="AI167" s="8">
        <v>25.75</v>
      </c>
      <c r="AJ167" s="8">
        <v>12.48</v>
      </c>
      <c r="AK167" s="8">
        <v>31.2</v>
      </c>
      <c r="AL167" s="8">
        <v>24.29</v>
      </c>
      <c r="AM167" s="8">
        <v>50.85</v>
      </c>
      <c r="AN167" s="8">
        <v>24.47</v>
      </c>
      <c r="AO167" s="8">
        <v>2.64</v>
      </c>
      <c r="AP167" s="8">
        <v>2.64</v>
      </c>
      <c r="AQ167" s="8">
        <v>77.510000000000005</v>
      </c>
      <c r="AV167" s="8">
        <v>97.91</v>
      </c>
      <c r="AW167" s="8">
        <v>105.11</v>
      </c>
      <c r="AX167" s="8">
        <v>94.01</v>
      </c>
      <c r="AY167" s="8">
        <v>93.37</v>
      </c>
      <c r="BB167" s="8">
        <v>23.43</v>
      </c>
      <c r="BC167" s="8">
        <v>27.91</v>
      </c>
      <c r="BD167" s="8">
        <v>29.43</v>
      </c>
      <c r="BE167" s="8">
        <v>29.43</v>
      </c>
      <c r="BI167" s="8">
        <v>30.97</v>
      </c>
      <c r="BK167" s="8">
        <v>20.49</v>
      </c>
      <c r="BM167" s="8">
        <v>21.9</v>
      </c>
      <c r="BO167" s="8">
        <v>54.9</v>
      </c>
      <c r="BP167" s="8">
        <v>49.8</v>
      </c>
      <c r="BQ167" s="8">
        <v>53.43</v>
      </c>
      <c r="BR167" s="8">
        <v>37.15</v>
      </c>
      <c r="BS167" s="8">
        <v>92.37</v>
      </c>
      <c r="BT167" s="8">
        <v>92.37</v>
      </c>
      <c r="BV167" s="8">
        <v>89.25</v>
      </c>
      <c r="BW167" s="8">
        <v>101.8</v>
      </c>
      <c r="BY167" s="8">
        <v>61.63</v>
      </c>
      <c r="CA167" s="8">
        <v>56.05</v>
      </c>
      <c r="CB167" s="8">
        <v>65.260000000000005</v>
      </c>
      <c r="CE167" s="8">
        <v>25.93</v>
      </c>
      <c r="CF167" s="8">
        <v>25.82</v>
      </c>
      <c r="CI167" s="8">
        <v>44.33</v>
      </c>
      <c r="CJ167" s="8">
        <v>42.67</v>
      </c>
      <c r="CK167" s="8">
        <v>53.86</v>
      </c>
      <c r="CL167" s="8">
        <v>12.26</v>
      </c>
      <c r="CM167" s="8">
        <v>11.13</v>
      </c>
      <c r="CN167" s="8">
        <v>21.24</v>
      </c>
      <c r="CO167" s="8">
        <v>38.22</v>
      </c>
      <c r="CP167" s="8">
        <v>39.44</v>
      </c>
      <c r="CQ167" s="8">
        <v>82.32</v>
      </c>
      <c r="CR167" s="8">
        <v>43.24</v>
      </c>
      <c r="CS167" s="8">
        <v>27.78</v>
      </c>
      <c r="CT167" s="8">
        <v>35.11</v>
      </c>
      <c r="CU167" s="8">
        <v>22.74</v>
      </c>
      <c r="CV167" s="8">
        <v>25.36</v>
      </c>
      <c r="CW167" s="8">
        <v>25.36</v>
      </c>
      <c r="CX167" s="8">
        <v>107.61</v>
      </c>
      <c r="CY167" s="8">
        <v>107.61</v>
      </c>
      <c r="CZ167" s="8">
        <v>29.74</v>
      </c>
      <c r="DA167" s="8">
        <v>116.11</v>
      </c>
      <c r="DD167" s="8">
        <v>2134.4</v>
      </c>
      <c r="DI167" s="8">
        <v>36.04</v>
      </c>
      <c r="DJ167" s="8">
        <v>30.86</v>
      </c>
      <c r="DK167" s="8">
        <v>37.79</v>
      </c>
      <c r="DO167" s="8">
        <v>31.32</v>
      </c>
      <c r="DP167" s="8">
        <v>17.61</v>
      </c>
      <c r="DS167" s="8">
        <v>12.65</v>
      </c>
      <c r="DT167" s="8">
        <v>12.65</v>
      </c>
      <c r="ED167" s="9">
        <v>1.7</v>
      </c>
      <c r="EE167" s="9">
        <v>1.4</v>
      </c>
      <c r="EF167" s="9">
        <v>1.2</v>
      </c>
      <c r="EG167" s="9">
        <v>-0.5</v>
      </c>
      <c r="EH167" s="9">
        <v>2.4</v>
      </c>
      <c r="EI167" s="9">
        <v>2.2000000000000002</v>
      </c>
      <c r="EJ167" s="9">
        <v>1.9</v>
      </c>
      <c r="EK167" s="9">
        <v>1.3</v>
      </c>
      <c r="EL167" s="9">
        <v>2.2000000000000002</v>
      </c>
      <c r="EM167" s="9">
        <v>0.6</v>
      </c>
      <c r="EN167" s="9">
        <v>2</v>
      </c>
      <c r="EO167" s="9">
        <v>-3</v>
      </c>
      <c r="EP167" s="9">
        <v>2.4</v>
      </c>
      <c r="EQ167" s="9">
        <v>2.4</v>
      </c>
      <c r="ER167" s="9">
        <v>2</v>
      </c>
      <c r="ES167" s="9">
        <v>1.7</v>
      </c>
      <c r="ET167" s="9">
        <v>2.5</v>
      </c>
      <c r="EU167" s="9">
        <v>3.6</v>
      </c>
      <c r="EZ167" s="9">
        <v>0.3</v>
      </c>
      <c r="FA167" s="9">
        <v>1.9</v>
      </c>
      <c r="FE167" s="9">
        <v>3.1</v>
      </c>
      <c r="FG167" s="9">
        <v>-1.6</v>
      </c>
      <c r="FI167" s="9">
        <v>1.4</v>
      </c>
      <c r="FJ167" s="9">
        <v>1.8</v>
      </c>
      <c r="FK167" s="9">
        <v>1.3</v>
      </c>
      <c r="FL167" s="9">
        <v>1.5</v>
      </c>
      <c r="FM167" s="9">
        <v>1.7</v>
      </c>
      <c r="FN167" s="9">
        <v>1.5</v>
      </c>
      <c r="FO167" s="9">
        <v>1.4</v>
      </c>
      <c r="FP167" s="9">
        <v>1.8</v>
      </c>
      <c r="FQ167" s="9">
        <v>0.8</v>
      </c>
      <c r="FR167" s="9">
        <v>0.8</v>
      </c>
      <c r="FS167" s="9">
        <v>0.8</v>
      </c>
      <c r="FX167" s="9">
        <v>0.7</v>
      </c>
      <c r="FY167" s="9">
        <v>-0.5</v>
      </c>
      <c r="FZ167" s="9">
        <v>0.4</v>
      </c>
      <c r="GA167" s="9">
        <v>2.7</v>
      </c>
      <c r="GD167" s="9">
        <v>1.6</v>
      </c>
      <c r="GE167" s="9">
        <v>1.7</v>
      </c>
      <c r="GF167" s="9">
        <v>3.3</v>
      </c>
      <c r="GG167" s="9">
        <v>3.3</v>
      </c>
      <c r="GK167" s="9">
        <v>1.5</v>
      </c>
      <c r="GM167" s="9">
        <v>4.2</v>
      </c>
      <c r="GO167" s="9">
        <v>4.7</v>
      </c>
      <c r="GQ167" s="9">
        <v>1.9</v>
      </c>
      <c r="GR167" s="9">
        <v>0.7</v>
      </c>
      <c r="GS167" s="9">
        <v>0.2</v>
      </c>
      <c r="GT167" s="9">
        <v>2.2999999999999998</v>
      </c>
      <c r="GU167" s="9">
        <v>1.6</v>
      </c>
      <c r="GV167" s="9">
        <v>1.6</v>
      </c>
      <c r="GX167" s="9">
        <v>0.4</v>
      </c>
      <c r="GY167" s="9">
        <v>0.4</v>
      </c>
      <c r="HA167" s="9">
        <v>-0.2</v>
      </c>
      <c r="HC167" s="9">
        <v>0.2</v>
      </c>
      <c r="HD167" s="9">
        <v>1.2</v>
      </c>
      <c r="HG167" s="9">
        <v>2.9</v>
      </c>
      <c r="HH167" s="9">
        <v>2.1</v>
      </c>
      <c r="HK167" s="9">
        <v>-4.0999999999999996</v>
      </c>
      <c r="HL167" s="9">
        <v>-5.0999999999999996</v>
      </c>
      <c r="HM167" s="9">
        <v>0.2</v>
      </c>
      <c r="HN167" s="9">
        <v>2.4</v>
      </c>
      <c r="HO167" s="9">
        <v>2.2000000000000002</v>
      </c>
      <c r="HP167" s="9">
        <v>3</v>
      </c>
      <c r="HQ167" s="9">
        <v>1.9</v>
      </c>
      <c r="HR167" s="9">
        <v>1.9</v>
      </c>
      <c r="HS167" s="9">
        <v>2.4</v>
      </c>
      <c r="HT167" s="9">
        <v>1.8</v>
      </c>
      <c r="HU167" s="9">
        <v>-0.5</v>
      </c>
      <c r="HV167" s="9">
        <v>1.4</v>
      </c>
      <c r="HW167" s="9">
        <v>5.5</v>
      </c>
      <c r="HX167" s="9">
        <v>4.4000000000000004</v>
      </c>
      <c r="HY167" s="9">
        <v>4.3</v>
      </c>
      <c r="HZ167" s="9">
        <v>5.6</v>
      </c>
      <c r="IA167" s="9">
        <v>5.6</v>
      </c>
      <c r="IB167" s="9">
        <v>2.7</v>
      </c>
      <c r="IC167" s="9">
        <v>5.9</v>
      </c>
      <c r="IF167" s="9">
        <v>-0.9</v>
      </c>
      <c r="IK167" s="9">
        <v>4.0999999999999996</v>
      </c>
      <c r="IL167" s="9">
        <v>4.4000000000000004</v>
      </c>
      <c r="IM167" s="9">
        <v>3.8</v>
      </c>
      <c r="IQ167" s="9">
        <v>0.6</v>
      </c>
    </row>
    <row r="168" spans="1:251" x14ac:dyDescent="0.2">
      <c r="A168" s="10">
        <v>32112</v>
      </c>
      <c r="B168" s="8">
        <v>33.049999999999997</v>
      </c>
      <c r="C168" s="8">
        <v>30.65</v>
      </c>
      <c r="D168" s="8">
        <v>31.05</v>
      </c>
      <c r="E168" s="8">
        <v>26.04</v>
      </c>
      <c r="F168" s="8">
        <v>32.78</v>
      </c>
      <c r="G168" s="8">
        <v>42.17</v>
      </c>
      <c r="H168" s="8">
        <v>41</v>
      </c>
      <c r="I168" s="8">
        <v>34.869999999999997</v>
      </c>
      <c r="J168" s="8">
        <v>27.22</v>
      </c>
      <c r="K168" s="8">
        <v>37.74</v>
      </c>
      <c r="L168" s="8">
        <v>20.32</v>
      </c>
      <c r="M168" s="8">
        <v>68.47</v>
      </c>
      <c r="N168" s="8">
        <v>29.7</v>
      </c>
      <c r="O168" s="8">
        <v>41</v>
      </c>
      <c r="P168" s="8">
        <v>33.369999999999997</v>
      </c>
      <c r="Q168" s="8">
        <v>34.47</v>
      </c>
      <c r="R168" s="8">
        <v>30.28</v>
      </c>
      <c r="S168" s="8">
        <v>34.130000000000003</v>
      </c>
      <c r="X168" s="8">
        <v>27.92</v>
      </c>
      <c r="Y168" s="8">
        <v>33.299999999999997</v>
      </c>
      <c r="AC168" s="8">
        <v>42.07</v>
      </c>
      <c r="AE168" s="8">
        <v>44.18</v>
      </c>
      <c r="AG168" s="8">
        <v>28.01</v>
      </c>
      <c r="AH168" s="8">
        <v>29.45</v>
      </c>
      <c r="AI168" s="8">
        <v>26.18</v>
      </c>
      <c r="AJ168" s="8">
        <v>12.69</v>
      </c>
      <c r="AK168" s="8">
        <v>31.66</v>
      </c>
      <c r="AL168" s="8">
        <v>24.77</v>
      </c>
      <c r="AM168" s="8">
        <v>50.79</v>
      </c>
      <c r="AN168" s="8">
        <v>24.99</v>
      </c>
      <c r="AO168" s="8">
        <v>2.7</v>
      </c>
      <c r="AP168" s="8">
        <v>2.7</v>
      </c>
      <c r="AQ168" s="8">
        <v>79.760000000000005</v>
      </c>
      <c r="AV168" s="8">
        <v>99.58</v>
      </c>
      <c r="AW168" s="8">
        <v>106.54</v>
      </c>
      <c r="AX168" s="8">
        <v>96.21</v>
      </c>
      <c r="AY168" s="8">
        <v>94.48</v>
      </c>
      <c r="BB168" s="8">
        <v>23.85</v>
      </c>
      <c r="BC168" s="8">
        <v>28.24</v>
      </c>
      <c r="BD168" s="8">
        <v>30.12</v>
      </c>
      <c r="BE168" s="8">
        <v>30.12</v>
      </c>
      <c r="BI168" s="8">
        <v>31.19</v>
      </c>
      <c r="BK168" s="8">
        <v>20.71</v>
      </c>
      <c r="BM168" s="8">
        <v>22.07</v>
      </c>
      <c r="BO168" s="8">
        <v>55.78</v>
      </c>
      <c r="BP168" s="8">
        <v>50.68</v>
      </c>
      <c r="BQ168" s="8">
        <v>54.18</v>
      </c>
      <c r="BR168" s="8">
        <v>38.26</v>
      </c>
      <c r="BS168" s="8">
        <v>93.32</v>
      </c>
      <c r="BT168" s="8">
        <v>93.32</v>
      </c>
      <c r="BV168" s="8">
        <v>90.13</v>
      </c>
      <c r="BW168" s="8">
        <v>102.81</v>
      </c>
      <c r="BY168" s="8">
        <v>63.79</v>
      </c>
      <c r="CA168" s="8">
        <v>58.1</v>
      </c>
      <c r="CB168" s="8">
        <v>65.55</v>
      </c>
      <c r="CE168" s="8">
        <v>26.09</v>
      </c>
      <c r="CF168" s="8">
        <v>26.09</v>
      </c>
      <c r="CI168" s="8">
        <v>42.17</v>
      </c>
      <c r="CJ168" s="8">
        <v>39.99</v>
      </c>
      <c r="CK168" s="8">
        <v>54.1</v>
      </c>
      <c r="CL168" s="8">
        <v>13.14</v>
      </c>
      <c r="CM168" s="8">
        <v>12.08</v>
      </c>
      <c r="CN168" s="8">
        <v>21.53</v>
      </c>
      <c r="CO168" s="8">
        <v>39.229999999999997</v>
      </c>
      <c r="CP168" s="8">
        <v>40.520000000000003</v>
      </c>
      <c r="CQ168" s="8">
        <v>84.54</v>
      </c>
      <c r="CR168" s="8">
        <v>43.88</v>
      </c>
      <c r="CS168" s="8">
        <v>28.93</v>
      </c>
      <c r="CT168" s="8">
        <v>35.549999999999997</v>
      </c>
      <c r="CU168" s="8">
        <v>23.09</v>
      </c>
      <c r="CV168" s="8">
        <v>25.7</v>
      </c>
      <c r="CW168" s="8">
        <v>25.7</v>
      </c>
      <c r="CX168" s="8">
        <v>109.59</v>
      </c>
      <c r="CY168" s="8">
        <v>109.59</v>
      </c>
      <c r="CZ168" s="8">
        <v>29.74</v>
      </c>
      <c r="DA168" s="8">
        <v>118.69</v>
      </c>
      <c r="DD168" s="8">
        <v>2119.4499999999998</v>
      </c>
      <c r="DI168" s="8">
        <v>36.39</v>
      </c>
      <c r="DJ168" s="8">
        <v>32.43</v>
      </c>
      <c r="DK168" s="8">
        <v>36.72</v>
      </c>
      <c r="DO168" s="8">
        <v>32.08</v>
      </c>
      <c r="DP168" s="8">
        <v>17.739999999999998</v>
      </c>
      <c r="DS168" s="8">
        <v>12.65</v>
      </c>
      <c r="DT168" s="8">
        <v>12.65</v>
      </c>
      <c r="ED168" s="9">
        <v>1.8</v>
      </c>
      <c r="EE168" s="9">
        <v>1.3</v>
      </c>
      <c r="EF168" s="9">
        <v>0.5</v>
      </c>
      <c r="EG168" s="9">
        <v>0.7</v>
      </c>
      <c r="EH168" s="9">
        <v>1</v>
      </c>
      <c r="EI168" s="9">
        <v>-3</v>
      </c>
      <c r="EJ168" s="9">
        <v>1.2</v>
      </c>
      <c r="EK168" s="9">
        <v>0.6</v>
      </c>
      <c r="EL168" s="9">
        <v>-0.1</v>
      </c>
      <c r="EM168" s="9">
        <v>1.7</v>
      </c>
      <c r="EN168" s="9">
        <v>-5.0999999999999996</v>
      </c>
      <c r="EO168" s="9">
        <v>0.5</v>
      </c>
      <c r="EP168" s="9">
        <v>1.1000000000000001</v>
      </c>
      <c r="EQ168" s="9">
        <v>6.2</v>
      </c>
      <c r="ER168" s="9">
        <v>1.9</v>
      </c>
      <c r="ES168" s="9">
        <v>1</v>
      </c>
      <c r="ET168" s="9">
        <v>3.7</v>
      </c>
      <c r="EU168" s="9">
        <v>2.2999999999999998</v>
      </c>
      <c r="EZ168" s="9">
        <v>0</v>
      </c>
      <c r="FA168" s="9">
        <v>1.9</v>
      </c>
      <c r="FE168" s="9">
        <v>0.5</v>
      </c>
      <c r="FG168" s="9">
        <v>0.4</v>
      </c>
      <c r="FI168" s="9">
        <v>1.7</v>
      </c>
      <c r="FJ168" s="9">
        <v>1.4</v>
      </c>
      <c r="FK168" s="9">
        <v>1.7</v>
      </c>
      <c r="FL168" s="9">
        <v>1.7</v>
      </c>
      <c r="FM168" s="9">
        <v>1.5</v>
      </c>
      <c r="FN168" s="9">
        <v>2</v>
      </c>
      <c r="FO168" s="9">
        <v>-0.1</v>
      </c>
      <c r="FP168" s="9">
        <v>2.1</v>
      </c>
      <c r="FQ168" s="9">
        <v>2.2999999999999998</v>
      </c>
      <c r="FR168" s="9">
        <v>2.2999999999999998</v>
      </c>
      <c r="FS168" s="9">
        <v>2.9</v>
      </c>
      <c r="FX168" s="9">
        <v>1.7</v>
      </c>
      <c r="FY168" s="9">
        <v>1.4</v>
      </c>
      <c r="FZ168" s="9">
        <v>2.2999999999999998</v>
      </c>
      <c r="GA168" s="9">
        <v>1.2</v>
      </c>
      <c r="GD168" s="9">
        <v>1.8</v>
      </c>
      <c r="GE168" s="9">
        <v>1.2</v>
      </c>
      <c r="GF168" s="9">
        <v>2.2999999999999998</v>
      </c>
      <c r="GG168" s="9">
        <v>2.2999999999999998</v>
      </c>
      <c r="GK168" s="9">
        <v>0.7</v>
      </c>
      <c r="GM168" s="9">
        <v>1.1000000000000001</v>
      </c>
      <c r="GO168" s="9">
        <v>0.8</v>
      </c>
      <c r="GQ168" s="9">
        <v>1.6</v>
      </c>
      <c r="GR168" s="9">
        <v>1.8</v>
      </c>
      <c r="GS168" s="9">
        <v>1.4</v>
      </c>
      <c r="GT168" s="9">
        <v>3</v>
      </c>
      <c r="GU168" s="9">
        <v>1</v>
      </c>
      <c r="GV168" s="9">
        <v>1</v>
      </c>
      <c r="GX168" s="9">
        <v>1</v>
      </c>
      <c r="GY168" s="9">
        <v>1</v>
      </c>
      <c r="HA168" s="9">
        <v>3.5</v>
      </c>
      <c r="HC168" s="9">
        <v>3.7</v>
      </c>
      <c r="HD168" s="9">
        <v>0.4</v>
      </c>
      <c r="HG168" s="9">
        <v>0.6</v>
      </c>
      <c r="HH168" s="9">
        <v>1</v>
      </c>
      <c r="HK168" s="9">
        <v>-4.9000000000000004</v>
      </c>
      <c r="HL168" s="9">
        <v>-6.3</v>
      </c>
      <c r="HM168" s="9">
        <v>0.4</v>
      </c>
      <c r="HN168" s="9">
        <v>7.2</v>
      </c>
      <c r="HO168" s="9">
        <v>8.5</v>
      </c>
      <c r="HP168" s="9">
        <v>1.4</v>
      </c>
      <c r="HQ168" s="9">
        <v>2.6</v>
      </c>
      <c r="HR168" s="9">
        <v>2.7</v>
      </c>
      <c r="HS168" s="9">
        <v>2.7</v>
      </c>
      <c r="HT168" s="9">
        <v>1.5</v>
      </c>
      <c r="HU168" s="9">
        <v>4.0999999999999996</v>
      </c>
      <c r="HV168" s="9">
        <v>1.3</v>
      </c>
      <c r="HW168" s="9">
        <v>1.5</v>
      </c>
      <c r="HX168" s="9">
        <v>1.3</v>
      </c>
      <c r="HY168" s="9">
        <v>1.3</v>
      </c>
      <c r="HZ168" s="9">
        <v>1.8</v>
      </c>
      <c r="IA168" s="9">
        <v>1.8</v>
      </c>
      <c r="IB168" s="9">
        <v>0</v>
      </c>
      <c r="IC168" s="9">
        <v>2.2000000000000002</v>
      </c>
      <c r="IF168" s="9">
        <v>-0.7</v>
      </c>
      <c r="IK168" s="9">
        <v>1</v>
      </c>
      <c r="IL168" s="9">
        <v>5.0999999999999996</v>
      </c>
      <c r="IM168" s="9">
        <v>-2.8</v>
      </c>
      <c r="IQ168" s="9">
        <v>2.4</v>
      </c>
    </row>
    <row r="169" spans="1:251" x14ac:dyDescent="0.2">
      <c r="A169" s="10">
        <v>32203</v>
      </c>
      <c r="B169" s="8">
        <v>33.630000000000003</v>
      </c>
      <c r="C169" s="8">
        <v>31.16</v>
      </c>
      <c r="D169" s="8">
        <v>31.71</v>
      </c>
      <c r="E169" s="8">
        <v>26.51</v>
      </c>
      <c r="F169" s="8">
        <v>33.58</v>
      </c>
      <c r="G169" s="8">
        <v>42.9</v>
      </c>
      <c r="H169" s="8">
        <v>42</v>
      </c>
      <c r="I169" s="8">
        <v>35.409999999999997</v>
      </c>
      <c r="J169" s="8">
        <v>27.69</v>
      </c>
      <c r="K169" s="8">
        <v>37.869999999999997</v>
      </c>
      <c r="L169" s="8">
        <v>21.09</v>
      </c>
      <c r="M169" s="8">
        <v>68.08</v>
      </c>
      <c r="N169" s="8">
        <v>29.87</v>
      </c>
      <c r="O169" s="8">
        <v>42.38</v>
      </c>
      <c r="P169" s="8">
        <v>33.83</v>
      </c>
      <c r="Q169" s="8">
        <v>34.85</v>
      </c>
      <c r="R169" s="8">
        <v>30.91</v>
      </c>
      <c r="S169" s="8">
        <v>34.5</v>
      </c>
      <c r="X169" s="8">
        <v>28.47</v>
      </c>
      <c r="Y169" s="8">
        <v>33.6</v>
      </c>
      <c r="AC169" s="8">
        <v>41.68</v>
      </c>
      <c r="AE169" s="8">
        <v>44.82</v>
      </c>
      <c r="AG169" s="8">
        <v>28.5</v>
      </c>
      <c r="AH169" s="8">
        <v>29.72</v>
      </c>
      <c r="AI169" s="8">
        <v>26.87</v>
      </c>
      <c r="AJ169" s="8">
        <v>12.95</v>
      </c>
      <c r="AK169" s="8">
        <v>32.299999999999997</v>
      </c>
      <c r="AL169" s="8">
        <v>25.27</v>
      </c>
      <c r="AM169" s="8">
        <v>51.66</v>
      </c>
      <c r="AN169" s="8">
        <v>25.45</v>
      </c>
      <c r="AO169" s="8">
        <v>2.76</v>
      </c>
      <c r="AP169" s="8">
        <v>2.76</v>
      </c>
      <c r="AQ169" s="8">
        <v>79.849999999999994</v>
      </c>
      <c r="AV169" s="8">
        <v>99.92</v>
      </c>
      <c r="AW169" s="8">
        <v>107.25</v>
      </c>
      <c r="AX169" s="8">
        <v>96.54</v>
      </c>
      <c r="AY169" s="8">
        <v>94.59</v>
      </c>
      <c r="BB169" s="8">
        <v>24.38</v>
      </c>
      <c r="BC169" s="8">
        <v>28.69</v>
      </c>
      <c r="BD169" s="8">
        <v>31</v>
      </c>
      <c r="BE169" s="8">
        <v>31</v>
      </c>
      <c r="BI169" s="8">
        <v>31.65</v>
      </c>
      <c r="BK169" s="8">
        <v>20.78</v>
      </c>
      <c r="BM169" s="8">
        <v>22.14</v>
      </c>
      <c r="BO169" s="8">
        <v>56.4</v>
      </c>
      <c r="BP169" s="8">
        <v>51.61</v>
      </c>
      <c r="BQ169" s="8">
        <v>55.12</v>
      </c>
      <c r="BR169" s="8">
        <v>39.15</v>
      </c>
      <c r="BS169" s="8">
        <v>94.38</v>
      </c>
      <c r="BT169" s="8">
        <v>94.38</v>
      </c>
      <c r="BV169" s="8">
        <v>91.2</v>
      </c>
      <c r="BW169" s="8">
        <v>104.03</v>
      </c>
      <c r="BY169" s="8">
        <v>63.93</v>
      </c>
      <c r="CA169" s="8">
        <v>58.23</v>
      </c>
      <c r="CB169" s="8">
        <v>66.900000000000006</v>
      </c>
      <c r="CE169" s="8">
        <v>27.52</v>
      </c>
      <c r="CF169" s="8">
        <v>26.54</v>
      </c>
      <c r="CI169" s="8">
        <v>50.28</v>
      </c>
      <c r="CJ169" s="8">
        <v>49.62</v>
      </c>
      <c r="CK169" s="8">
        <v>55.06</v>
      </c>
      <c r="CL169" s="8">
        <v>13.43</v>
      </c>
      <c r="CM169" s="8">
        <v>12.38</v>
      </c>
      <c r="CN169" s="8">
        <v>21.87</v>
      </c>
      <c r="CO169" s="8">
        <v>39.67</v>
      </c>
      <c r="CP169" s="8">
        <v>40.93</v>
      </c>
      <c r="CQ169" s="8">
        <v>86.28</v>
      </c>
      <c r="CR169" s="8">
        <v>44.91</v>
      </c>
      <c r="CS169" s="8">
        <v>29.09</v>
      </c>
      <c r="CT169" s="8">
        <v>35.83</v>
      </c>
      <c r="CU169" s="8">
        <v>22.11</v>
      </c>
      <c r="CV169" s="8">
        <v>26.13</v>
      </c>
      <c r="CW169" s="8">
        <v>26.13</v>
      </c>
      <c r="CX169" s="8">
        <v>108.93</v>
      </c>
      <c r="CY169" s="8">
        <v>108.93</v>
      </c>
      <c r="CZ169" s="8">
        <v>29.74</v>
      </c>
      <c r="DA169" s="8">
        <v>117.75</v>
      </c>
      <c r="DD169" s="8">
        <v>2076.46</v>
      </c>
      <c r="DI169" s="8">
        <v>38.479999999999997</v>
      </c>
      <c r="DJ169" s="8">
        <v>32.729999999999997</v>
      </c>
      <c r="DK169" s="8">
        <v>40.700000000000003</v>
      </c>
      <c r="DO169" s="8">
        <v>32.33</v>
      </c>
      <c r="DP169" s="8">
        <v>18.72</v>
      </c>
      <c r="DS169" s="8">
        <v>14.15</v>
      </c>
      <c r="DT169" s="8">
        <v>14.15</v>
      </c>
      <c r="ED169" s="9">
        <v>1.8</v>
      </c>
      <c r="EE169" s="9">
        <v>1.7</v>
      </c>
      <c r="EF169" s="9">
        <v>2.1</v>
      </c>
      <c r="EG169" s="9">
        <v>1.8</v>
      </c>
      <c r="EH169" s="9">
        <v>2.4</v>
      </c>
      <c r="EI169" s="9">
        <v>1.7</v>
      </c>
      <c r="EJ169" s="9">
        <v>2.4</v>
      </c>
      <c r="EK169" s="9">
        <v>1.5</v>
      </c>
      <c r="EL169" s="9">
        <v>1.7</v>
      </c>
      <c r="EM169" s="9">
        <v>0.3</v>
      </c>
      <c r="EN169" s="9">
        <v>3.8</v>
      </c>
      <c r="EO169" s="9">
        <v>-0.6</v>
      </c>
      <c r="EP169" s="9">
        <v>0.6</v>
      </c>
      <c r="EQ169" s="9">
        <v>3.4</v>
      </c>
      <c r="ER169" s="9">
        <v>1.4</v>
      </c>
      <c r="ES169" s="9">
        <v>1.1000000000000001</v>
      </c>
      <c r="ET169" s="9">
        <v>2.1</v>
      </c>
      <c r="EU169" s="9">
        <v>1.1000000000000001</v>
      </c>
      <c r="EZ169" s="9">
        <v>2</v>
      </c>
      <c r="FA169" s="9">
        <v>0.9</v>
      </c>
      <c r="FE169" s="9">
        <v>-0.9</v>
      </c>
      <c r="FG169" s="9">
        <v>1.4</v>
      </c>
      <c r="FI169" s="9">
        <v>1.7</v>
      </c>
      <c r="FJ169" s="9">
        <v>0.9</v>
      </c>
      <c r="FK169" s="9">
        <v>2.6</v>
      </c>
      <c r="FL169" s="9">
        <v>2</v>
      </c>
      <c r="FM169" s="9">
        <v>2</v>
      </c>
      <c r="FN169" s="9">
        <v>2</v>
      </c>
      <c r="FO169" s="9">
        <v>1.7</v>
      </c>
      <c r="FP169" s="9">
        <v>1.8</v>
      </c>
      <c r="FQ169" s="9">
        <v>2.2000000000000002</v>
      </c>
      <c r="FR169" s="9">
        <v>2.2000000000000002</v>
      </c>
      <c r="FS169" s="9">
        <v>0.1</v>
      </c>
      <c r="FX169" s="9">
        <v>0.3</v>
      </c>
      <c r="FY169" s="9">
        <v>0.7</v>
      </c>
      <c r="FZ169" s="9">
        <v>0.3</v>
      </c>
      <c r="GA169" s="9">
        <v>0.1</v>
      </c>
      <c r="GD169" s="9">
        <v>2.2000000000000002</v>
      </c>
      <c r="GE169" s="9">
        <v>1.6</v>
      </c>
      <c r="GF169" s="9">
        <v>2.9</v>
      </c>
      <c r="GG169" s="9">
        <v>2.9</v>
      </c>
      <c r="GK169" s="9">
        <v>1.5</v>
      </c>
      <c r="GM169" s="9">
        <v>0.3</v>
      </c>
      <c r="GO169" s="9">
        <v>0.3</v>
      </c>
      <c r="GQ169" s="9">
        <v>1.1000000000000001</v>
      </c>
      <c r="GR169" s="9">
        <v>1.8</v>
      </c>
      <c r="GS169" s="9">
        <v>1.7</v>
      </c>
      <c r="GT169" s="9">
        <v>2.2999999999999998</v>
      </c>
      <c r="GU169" s="9">
        <v>1.1000000000000001</v>
      </c>
      <c r="GV169" s="9">
        <v>1.1000000000000001</v>
      </c>
      <c r="GX169" s="9">
        <v>1.2</v>
      </c>
      <c r="GY169" s="9">
        <v>1.2</v>
      </c>
      <c r="HA169" s="9">
        <v>0.2</v>
      </c>
      <c r="HC169" s="9">
        <v>0.2</v>
      </c>
      <c r="HD169" s="9">
        <v>2.1</v>
      </c>
      <c r="HG169" s="9">
        <v>5.5</v>
      </c>
      <c r="HH169" s="9">
        <v>1.7</v>
      </c>
      <c r="HK169" s="9">
        <v>19.2</v>
      </c>
      <c r="HL169" s="9">
        <v>24.1</v>
      </c>
      <c r="HM169" s="9">
        <v>1.8</v>
      </c>
      <c r="HN169" s="9">
        <v>2.2000000000000002</v>
      </c>
      <c r="HO169" s="9">
        <v>2.5</v>
      </c>
      <c r="HP169" s="9">
        <v>1.6</v>
      </c>
      <c r="HQ169" s="9">
        <v>1.1000000000000001</v>
      </c>
      <c r="HR169" s="9">
        <v>1</v>
      </c>
      <c r="HS169" s="9">
        <v>2.1</v>
      </c>
      <c r="HT169" s="9">
        <v>2.2999999999999998</v>
      </c>
      <c r="HU169" s="9">
        <v>0.6</v>
      </c>
      <c r="HV169" s="9">
        <v>0.8</v>
      </c>
      <c r="HW169" s="9">
        <v>-4.2</v>
      </c>
      <c r="HX169" s="9">
        <v>1.7</v>
      </c>
      <c r="HY169" s="9">
        <v>1.7</v>
      </c>
      <c r="HZ169" s="9">
        <v>-0.6</v>
      </c>
      <c r="IA169" s="9">
        <v>-0.6</v>
      </c>
      <c r="IB169" s="9">
        <v>0</v>
      </c>
      <c r="IC169" s="9">
        <v>-0.8</v>
      </c>
      <c r="IF169" s="9">
        <v>-2</v>
      </c>
      <c r="IK169" s="9">
        <v>5.7</v>
      </c>
      <c r="IL169" s="9">
        <v>0.9</v>
      </c>
      <c r="IM169" s="9">
        <v>10.8</v>
      </c>
      <c r="IQ169" s="9">
        <v>0.8</v>
      </c>
    </row>
    <row r="170" spans="1:251" x14ac:dyDescent="0.2">
      <c r="A170" s="10">
        <v>32295</v>
      </c>
      <c r="B170" s="8">
        <v>34.21</v>
      </c>
      <c r="C170" s="8">
        <v>32.18</v>
      </c>
      <c r="D170" s="8">
        <v>32.630000000000003</v>
      </c>
      <c r="E170" s="8">
        <v>27.2</v>
      </c>
      <c r="F170" s="8">
        <v>34.04</v>
      </c>
      <c r="G170" s="8">
        <v>47.3</v>
      </c>
      <c r="H170" s="8">
        <v>43.14</v>
      </c>
      <c r="I170" s="8">
        <v>36.65</v>
      </c>
      <c r="J170" s="8">
        <v>29.05</v>
      </c>
      <c r="K170" s="8">
        <v>37.99</v>
      </c>
      <c r="L170" s="8">
        <v>22.82</v>
      </c>
      <c r="M170" s="8">
        <v>71.52</v>
      </c>
      <c r="N170" s="8">
        <v>30.38</v>
      </c>
      <c r="O170" s="8">
        <v>42.62</v>
      </c>
      <c r="P170" s="8">
        <v>34.29</v>
      </c>
      <c r="Q170" s="8">
        <v>35.26</v>
      </c>
      <c r="R170" s="8">
        <v>31.47</v>
      </c>
      <c r="S170" s="8">
        <v>35.659999999999997</v>
      </c>
      <c r="X170" s="8">
        <v>29.58</v>
      </c>
      <c r="Y170" s="8">
        <v>34.42</v>
      </c>
      <c r="AC170" s="8">
        <v>42.12</v>
      </c>
      <c r="AE170" s="8">
        <v>44.86</v>
      </c>
      <c r="AG170" s="8">
        <v>28.95</v>
      </c>
      <c r="AH170" s="8">
        <v>30.29</v>
      </c>
      <c r="AI170" s="8">
        <v>27.21</v>
      </c>
      <c r="AJ170" s="8">
        <v>13.16</v>
      </c>
      <c r="AK170" s="8">
        <v>32.909999999999997</v>
      </c>
      <c r="AL170" s="8">
        <v>25.9</v>
      </c>
      <c r="AM170" s="8">
        <v>53.23</v>
      </c>
      <c r="AN170" s="8">
        <v>25.84</v>
      </c>
      <c r="AO170" s="8">
        <v>2.77</v>
      </c>
      <c r="AP170" s="8">
        <v>2.77</v>
      </c>
      <c r="AQ170" s="8">
        <v>82.83</v>
      </c>
      <c r="AV170" s="8">
        <v>103.49</v>
      </c>
      <c r="AW170" s="8">
        <v>112.82</v>
      </c>
      <c r="AX170" s="8">
        <v>99.52</v>
      </c>
      <c r="AY170" s="8">
        <v>96.41</v>
      </c>
      <c r="BB170" s="8">
        <v>25.03</v>
      </c>
      <c r="BC170" s="8">
        <v>29.28</v>
      </c>
      <c r="BD170" s="8">
        <v>31.76</v>
      </c>
      <c r="BE170" s="8">
        <v>31.76</v>
      </c>
      <c r="BI170" s="8">
        <v>32.19</v>
      </c>
      <c r="BK170" s="8">
        <v>20.8</v>
      </c>
      <c r="BM170" s="8">
        <v>22.17</v>
      </c>
      <c r="BO170" s="8">
        <v>57.28</v>
      </c>
      <c r="BP170" s="8">
        <v>53.08</v>
      </c>
      <c r="BQ170" s="8">
        <v>56.56</v>
      </c>
      <c r="BR170" s="8">
        <v>40.479999999999997</v>
      </c>
      <c r="BS170" s="8">
        <v>94.28</v>
      </c>
      <c r="BT170" s="8">
        <v>94.28</v>
      </c>
      <c r="BV170" s="8">
        <v>92.48</v>
      </c>
      <c r="BW170" s="8">
        <v>105.49</v>
      </c>
      <c r="BY170" s="8">
        <v>64.900000000000006</v>
      </c>
      <c r="CA170" s="8">
        <v>58.74</v>
      </c>
      <c r="CB170" s="8">
        <v>68.540000000000006</v>
      </c>
      <c r="CE170" s="8">
        <v>28.08</v>
      </c>
      <c r="CF170" s="8">
        <v>26.96</v>
      </c>
      <c r="CI170" s="8">
        <v>50.28</v>
      </c>
      <c r="CJ170" s="8">
        <v>49.21</v>
      </c>
      <c r="CK170" s="8">
        <v>56.97</v>
      </c>
      <c r="CL170" s="8">
        <v>13.68</v>
      </c>
      <c r="CM170" s="8">
        <v>12.57</v>
      </c>
      <c r="CN170" s="8">
        <v>22.6</v>
      </c>
      <c r="CO170" s="8">
        <v>39.58</v>
      </c>
      <c r="CP170" s="8">
        <v>40.79</v>
      </c>
      <c r="CQ170" s="8">
        <v>88.4</v>
      </c>
      <c r="CR170" s="8">
        <v>46.34</v>
      </c>
      <c r="CS170" s="8">
        <v>27.31</v>
      </c>
      <c r="CT170" s="8">
        <v>36.71</v>
      </c>
      <c r="CU170" s="8">
        <v>22.22</v>
      </c>
      <c r="CV170" s="8">
        <v>26.28</v>
      </c>
      <c r="CW170" s="8">
        <v>26.29</v>
      </c>
      <c r="CX170" s="8">
        <v>108.93</v>
      </c>
      <c r="CY170" s="8">
        <v>108.93</v>
      </c>
      <c r="CZ170" s="8">
        <v>29.74</v>
      </c>
      <c r="DA170" s="8">
        <v>117.75</v>
      </c>
      <c r="DD170" s="8">
        <v>2063.38</v>
      </c>
      <c r="DI170" s="8">
        <v>38.79</v>
      </c>
      <c r="DJ170" s="8">
        <v>32.85</v>
      </c>
      <c r="DK170" s="8">
        <v>41.1</v>
      </c>
      <c r="DO170" s="8">
        <v>33.630000000000003</v>
      </c>
      <c r="DP170" s="8">
        <v>18.98</v>
      </c>
      <c r="DS170" s="8">
        <v>14.15</v>
      </c>
      <c r="DT170" s="8">
        <v>14.15</v>
      </c>
      <c r="ED170" s="9">
        <v>1.7</v>
      </c>
      <c r="EE170" s="9">
        <v>3.3</v>
      </c>
      <c r="EF170" s="9">
        <v>2.9</v>
      </c>
      <c r="EG170" s="9">
        <v>2.6</v>
      </c>
      <c r="EH170" s="9">
        <v>1.4</v>
      </c>
      <c r="EI170" s="9">
        <v>10.3</v>
      </c>
      <c r="EJ170" s="9">
        <v>2.7</v>
      </c>
      <c r="EK170" s="9">
        <v>3.5</v>
      </c>
      <c r="EL170" s="9">
        <v>4.9000000000000004</v>
      </c>
      <c r="EM170" s="9">
        <v>0.3</v>
      </c>
      <c r="EN170" s="9">
        <v>8.1999999999999993</v>
      </c>
      <c r="EO170" s="9">
        <v>5.0999999999999996</v>
      </c>
      <c r="EP170" s="9">
        <v>1.7</v>
      </c>
      <c r="EQ170" s="9">
        <v>0.6</v>
      </c>
      <c r="ER170" s="9">
        <v>1.4</v>
      </c>
      <c r="ES170" s="9">
        <v>1.2</v>
      </c>
      <c r="ET170" s="9">
        <v>1.8</v>
      </c>
      <c r="EU170" s="9">
        <v>3.4</v>
      </c>
      <c r="EZ170" s="9">
        <v>3.9</v>
      </c>
      <c r="FA170" s="9">
        <v>2.4</v>
      </c>
      <c r="FE170" s="9">
        <v>1.1000000000000001</v>
      </c>
      <c r="FG170" s="9">
        <v>0.1</v>
      </c>
      <c r="FI170" s="9">
        <v>1.6</v>
      </c>
      <c r="FJ170" s="9">
        <v>1.9</v>
      </c>
      <c r="FK170" s="9">
        <v>1.3</v>
      </c>
      <c r="FL170" s="9">
        <v>1.6</v>
      </c>
      <c r="FM170" s="9">
        <v>1.9</v>
      </c>
      <c r="FN170" s="9">
        <v>2.5</v>
      </c>
      <c r="FO170" s="9">
        <v>3</v>
      </c>
      <c r="FP170" s="9">
        <v>1.5</v>
      </c>
      <c r="FQ170" s="9">
        <v>0.4</v>
      </c>
      <c r="FR170" s="9">
        <v>0.4</v>
      </c>
      <c r="FS170" s="9">
        <v>3.7</v>
      </c>
      <c r="FX170" s="9">
        <v>3.6</v>
      </c>
      <c r="FY170" s="9">
        <v>5.2</v>
      </c>
      <c r="FZ170" s="9">
        <v>3.1</v>
      </c>
      <c r="GA170" s="9">
        <v>1.9</v>
      </c>
      <c r="GD170" s="9">
        <v>2.7</v>
      </c>
      <c r="GE170" s="9">
        <v>2.1</v>
      </c>
      <c r="GF170" s="9">
        <v>2.5</v>
      </c>
      <c r="GG170" s="9">
        <v>2.5</v>
      </c>
      <c r="GK170" s="9">
        <v>1.7</v>
      </c>
      <c r="GM170" s="9">
        <v>0.1</v>
      </c>
      <c r="GO170" s="9">
        <v>0.1</v>
      </c>
      <c r="GQ170" s="9">
        <v>1.6</v>
      </c>
      <c r="GR170" s="9">
        <v>2.8</v>
      </c>
      <c r="GS170" s="9">
        <v>2.6</v>
      </c>
      <c r="GT170" s="9">
        <v>3.4</v>
      </c>
      <c r="GU170" s="9">
        <v>-0.1</v>
      </c>
      <c r="GV170" s="9">
        <v>-0.1</v>
      </c>
      <c r="GX170" s="9">
        <v>1.4</v>
      </c>
      <c r="GY170" s="9">
        <v>1.4</v>
      </c>
      <c r="HA170" s="9">
        <v>1.5</v>
      </c>
      <c r="HC170" s="9">
        <v>0.9</v>
      </c>
      <c r="HD170" s="9">
        <v>2.5</v>
      </c>
      <c r="HG170" s="9">
        <v>2</v>
      </c>
      <c r="HH170" s="9">
        <v>1.6</v>
      </c>
      <c r="HK170" s="9">
        <v>0</v>
      </c>
      <c r="HL170" s="9">
        <v>-0.8</v>
      </c>
      <c r="HM170" s="9">
        <v>3.5</v>
      </c>
      <c r="HN170" s="9">
        <v>1.9</v>
      </c>
      <c r="HO170" s="9">
        <v>1.5</v>
      </c>
      <c r="HP170" s="9">
        <v>3.3</v>
      </c>
      <c r="HQ170" s="9">
        <v>-0.2</v>
      </c>
      <c r="HR170" s="9">
        <v>-0.3</v>
      </c>
      <c r="HS170" s="9">
        <v>2.5</v>
      </c>
      <c r="HT170" s="9">
        <v>3.2</v>
      </c>
      <c r="HU170" s="9">
        <v>-6.1</v>
      </c>
      <c r="HV170" s="9">
        <v>2.5</v>
      </c>
      <c r="HW170" s="9">
        <v>0.5</v>
      </c>
      <c r="HX170" s="9">
        <v>0.6</v>
      </c>
      <c r="HY170" s="9">
        <v>0.6</v>
      </c>
      <c r="HZ170" s="9">
        <v>0</v>
      </c>
      <c r="IA170" s="9">
        <v>0</v>
      </c>
      <c r="IB170" s="9">
        <v>0</v>
      </c>
      <c r="IC170" s="9">
        <v>0</v>
      </c>
      <c r="IF170" s="9">
        <v>-0.6</v>
      </c>
      <c r="IK170" s="9">
        <v>0.8</v>
      </c>
      <c r="IL170" s="9">
        <v>0.4</v>
      </c>
      <c r="IM170" s="9">
        <v>1</v>
      </c>
      <c r="IQ170" s="9">
        <v>4</v>
      </c>
    </row>
    <row r="171" spans="1:251" x14ac:dyDescent="0.2">
      <c r="A171" s="10">
        <v>32387</v>
      </c>
      <c r="B171" s="8">
        <v>34.869999999999997</v>
      </c>
      <c r="C171" s="8">
        <v>33.090000000000003</v>
      </c>
      <c r="D171" s="8">
        <v>33.18</v>
      </c>
      <c r="E171" s="8">
        <v>27.64</v>
      </c>
      <c r="F171" s="8">
        <v>34.53</v>
      </c>
      <c r="G171" s="8">
        <v>49.08</v>
      </c>
      <c r="H171" s="8">
        <v>43.29</v>
      </c>
      <c r="I171" s="8">
        <v>37.43</v>
      </c>
      <c r="J171" s="8">
        <v>30.2</v>
      </c>
      <c r="K171" s="8">
        <v>37.950000000000003</v>
      </c>
      <c r="L171" s="8">
        <v>23.71</v>
      </c>
      <c r="M171" s="8">
        <v>70.349999999999994</v>
      </c>
      <c r="N171" s="8">
        <v>31.25</v>
      </c>
      <c r="O171" s="8">
        <v>42.9</v>
      </c>
      <c r="P171" s="8">
        <v>34.630000000000003</v>
      </c>
      <c r="Q171" s="8">
        <v>35.6</v>
      </c>
      <c r="R171" s="8">
        <v>31.7</v>
      </c>
      <c r="S171" s="8">
        <v>35.82</v>
      </c>
      <c r="X171" s="8">
        <v>31.39</v>
      </c>
      <c r="Y171" s="8">
        <v>34.840000000000003</v>
      </c>
      <c r="AC171" s="8">
        <v>43.48</v>
      </c>
      <c r="AE171" s="8">
        <v>45</v>
      </c>
      <c r="AG171" s="8">
        <v>29.44</v>
      </c>
      <c r="AH171" s="8">
        <v>30.72</v>
      </c>
      <c r="AI171" s="8">
        <v>27.74</v>
      </c>
      <c r="AJ171" s="8">
        <v>13.32</v>
      </c>
      <c r="AK171" s="8">
        <v>33.19</v>
      </c>
      <c r="AL171" s="8">
        <v>26.34</v>
      </c>
      <c r="AM171" s="8">
        <v>54.68</v>
      </c>
      <c r="AN171" s="8">
        <v>25.84</v>
      </c>
      <c r="AO171" s="8">
        <v>2.84</v>
      </c>
      <c r="AP171" s="8">
        <v>2.84</v>
      </c>
      <c r="AQ171" s="8">
        <v>83.19</v>
      </c>
      <c r="AV171" s="8">
        <v>104.5</v>
      </c>
      <c r="AW171" s="8">
        <v>113.06</v>
      </c>
      <c r="AX171" s="8">
        <v>100.96</v>
      </c>
      <c r="AY171" s="8">
        <v>97.83</v>
      </c>
      <c r="BB171" s="8">
        <v>25.77</v>
      </c>
      <c r="BC171" s="8">
        <v>30.46</v>
      </c>
      <c r="BD171" s="8">
        <v>32.75</v>
      </c>
      <c r="BE171" s="8">
        <v>32.75</v>
      </c>
      <c r="BI171" s="8">
        <v>33.01</v>
      </c>
      <c r="BK171" s="8">
        <v>21.59</v>
      </c>
      <c r="BM171" s="8">
        <v>23.16</v>
      </c>
      <c r="BO171" s="8">
        <v>58.21</v>
      </c>
      <c r="BP171" s="8">
        <v>53.2</v>
      </c>
      <c r="BQ171" s="8">
        <v>56.56</v>
      </c>
      <c r="BR171" s="8">
        <v>40.79</v>
      </c>
      <c r="BS171" s="8">
        <v>96.71</v>
      </c>
      <c r="BT171" s="8">
        <v>96.71</v>
      </c>
      <c r="BV171" s="8">
        <v>93.65</v>
      </c>
      <c r="BW171" s="8">
        <v>106.83</v>
      </c>
      <c r="BY171" s="8">
        <v>66.010000000000005</v>
      </c>
      <c r="CA171" s="8">
        <v>59.26</v>
      </c>
      <c r="CB171" s="8">
        <v>69.69</v>
      </c>
      <c r="CE171" s="8">
        <v>28.44</v>
      </c>
      <c r="CF171" s="8">
        <v>27.29</v>
      </c>
      <c r="CI171" s="8">
        <v>48.49</v>
      </c>
      <c r="CJ171" s="8">
        <v>46.99</v>
      </c>
      <c r="CK171" s="8">
        <v>57.33</v>
      </c>
      <c r="CL171" s="8">
        <v>13.9</v>
      </c>
      <c r="CM171" s="8">
        <v>12.76</v>
      </c>
      <c r="CN171" s="8">
        <v>23.07</v>
      </c>
      <c r="CO171" s="8">
        <v>40.15</v>
      </c>
      <c r="CP171" s="8">
        <v>41.29</v>
      </c>
      <c r="CQ171" s="8">
        <v>90.61</v>
      </c>
      <c r="CR171" s="8">
        <v>46.44</v>
      </c>
      <c r="CS171" s="8">
        <v>27.15</v>
      </c>
      <c r="CT171" s="8">
        <v>37.39</v>
      </c>
      <c r="CU171" s="8">
        <v>22.13</v>
      </c>
      <c r="CV171" s="8">
        <v>28.17</v>
      </c>
      <c r="CW171" s="8">
        <v>28.17</v>
      </c>
      <c r="CX171" s="8">
        <v>110.03</v>
      </c>
      <c r="CY171" s="8">
        <v>110.03</v>
      </c>
      <c r="CZ171" s="8">
        <v>29.74</v>
      </c>
      <c r="DA171" s="8">
        <v>119.16</v>
      </c>
      <c r="DD171" s="8">
        <v>2059.64</v>
      </c>
      <c r="DI171" s="8">
        <v>38.74</v>
      </c>
      <c r="DJ171" s="8">
        <v>34.03</v>
      </c>
      <c r="DK171" s="8">
        <v>39.72</v>
      </c>
      <c r="DO171" s="8">
        <v>33.950000000000003</v>
      </c>
      <c r="DP171" s="8">
        <v>19.2</v>
      </c>
      <c r="DS171" s="8">
        <v>14.15</v>
      </c>
      <c r="DT171" s="8">
        <v>14.15</v>
      </c>
      <c r="ED171" s="9">
        <v>1.9</v>
      </c>
      <c r="EE171" s="9">
        <v>2.8</v>
      </c>
      <c r="EF171" s="9">
        <v>1.7</v>
      </c>
      <c r="EG171" s="9">
        <v>1.6</v>
      </c>
      <c r="EH171" s="9">
        <v>1.4</v>
      </c>
      <c r="EI171" s="9">
        <v>3.8</v>
      </c>
      <c r="EJ171" s="9">
        <v>0.3</v>
      </c>
      <c r="EK171" s="9">
        <v>2.1</v>
      </c>
      <c r="EL171" s="9">
        <v>4</v>
      </c>
      <c r="EM171" s="9">
        <v>-0.1</v>
      </c>
      <c r="EN171" s="9">
        <v>3.9</v>
      </c>
      <c r="EO171" s="9">
        <v>-1.6</v>
      </c>
      <c r="EP171" s="9">
        <v>2.9</v>
      </c>
      <c r="EQ171" s="9">
        <v>0.7</v>
      </c>
      <c r="ER171" s="9">
        <v>1</v>
      </c>
      <c r="ES171" s="9">
        <v>1</v>
      </c>
      <c r="ET171" s="9">
        <v>0.7</v>
      </c>
      <c r="EU171" s="9">
        <v>0.4</v>
      </c>
      <c r="EZ171" s="9">
        <v>6.1</v>
      </c>
      <c r="FA171" s="9">
        <v>1.2</v>
      </c>
      <c r="FE171" s="9">
        <v>3.2</v>
      </c>
      <c r="FG171" s="9">
        <v>0.3</v>
      </c>
      <c r="FI171" s="9">
        <v>1.7</v>
      </c>
      <c r="FJ171" s="9">
        <v>1.4</v>
      </c>
      <c r="FK171" s="9">
        <v>1.9</v>
      </c>
      <c r="FL171" s="9">
        <v>1.2</v>
      </c>
      <c r="FM171" s="9">
        <v>0.9</v>
      </c>
      <c r="FN171" s="9">
        <v>1.7</v>
      </c>
      <c r="FO171" s="9">
        <v>2.7</v>
      </c>
      <c r="FP171" s="9">
        <v>0</v>
      </c>
      <c r="FQ171" s="9">
        <v>2.5</v>
      </c>
      <c r="FR171" s="9">
        <v>2.5</v>
      </c>
      <c r="FS171" s="9">
        <v>0.4</v>
      </c>
      <c r="FX171" s="9">
        <v>1</v>
      </c>
      <c r="FY171" s="9">
        <v>0.2</v>
      </c>
      <c r="FZ171" s="9">
        <v>1.4</v>
      </c>
      <c r="GA171" s="9">
        <v>1.5</v>
      </c>
      <c r="GD171" s="9">
        <v>3</v>
      </c>
      <c r="GE171" s="9">
        <v>4</v>
      </c>
      <c r="GF171" s="9">
        <v>3.1</v>
      </c>
      <c r="GG171" s="9">
        <v>3.1</v>
      </c>
      <c r="GK171" s="9">
        <v>2.5</v>
      </c>
      <c r="GM171" s="9">
        <v>3.8</v>
      </c>
      <c r="GO171" s="9">
        <v>4.5</v>
      </c>
      <c r="GQ171" s="9">
        <v>1.6</v>
      </c>
      <c r="GR171" s="9">
        <v>0.2</v>
      </c>
      <c r="GS171" s="9">
        <v>0</v>
      </c>
      <c r="GT171" s="9">
        <v>0.8</v>
      </c>
      <c r="GU171" s="9">
        <v>2.6</v>
      </c>
      <c r="GV171" s="9">
        <v>2.6</v>
      </c>
      <c r="GX171" s="9">
        <v>1.3</v>
      </c>
      <c r="GY171" s="9">
        <v>1.3</v>
      </c>
      <c r="HA171" s="9">
        <v>1.7</v>
      </c>
      <c r="HC171" s="9">
        <v>0.9</v>
      </c>
      <c r="HD171" s="9">
        <v>1.7</v>
      </c>
      <c r="HG171" s="9">
        <v>1.3</v>
      </c>
      <c r="HH171" s="9">
        <v>1.2</v>
      </c>
      <c r="HK171" s="9">
        <v>-3.6</v>
      </c>
      <c r="HL171" s="9">
        <v>-4.5</v>
      </c>
      <c r="HM171" s="9">
        <v>0.6</v>
      </c>
      <c r="HN171" s="9">
        <v>1.6</v>
      </c>
      <c r="HO171" s="9">
        <v>1.5</v>
      </c>
      <c r="HP171" s="9">
        <v>2.1</v>
      </c>
      <c r="HQ171" s="9">
        <v>1.4</v>
      </c>
      <c r="HR171" s="9">
        <v>1.2</v>
      </c>
      <c r="HS171" s="9">
        <v>2.5</v>
      </c>
      <c r="HT171" s="9">
        <v>0.2</v>
      </c>
      <c r="HU171" s="9">
        <v>-0.6</v>
      </c>
      <c r="HV171" s="9">
        <v>1.9</v>
      </c>
      <c r="HW171" s="9">
        <v>-0.4</v>
      </c>
      <c r="HX171" s="9">
        <v>7.2</v>
      </c>
      <c r="HY171" s="9">
        <v>7.2</v>
      </c>
      <c r="HZ171" s="9">
        <v>1</v>
      </c>
      <c r="IA171" s="9">
        <v>1</v>
      </c>
      <c r="IB171" s="9">
        <v>0</v>
      </c>
      <c r="IC171" s="9">
        <v>1.2</v>
      </c>
      <c r="IF171" s="9">
        <v>-0.2</v>
      </c>
      <c r="IK171" s="9">
        <v>-0.1</v>
      </c>
      <c r="IL171" s="9">
        <v>3.6</v>
      </c>
      <c r="IM171" s="9">
        <v>-3.4</v>
      </c>
      <c r="IQ171" s="9">
        <v>1</v>
      </c>
    </row>
    <row r="172" spans="1:251" x14ac:dyDescent="0.2">
      <c r="A172" s="10">
        <v>32478</v>
      </c>
      <c r="B172" s="8">
        <v>35.57</v>
      </c>
      <c r="C172" s="8">
        <v>33.6</v>
      </c>
      <c r="D172" s="8">
        <v>34.32</v>
      </c>
      <c r="E172" s="8">
        <v>28.67</v>
      </c>
      <c r="F172" s="8">
        <v>35.64</v>
      </c>
      <c r="G172" s="8">
        <v>50.8</v>
      </c>
      <c r="H172" s="8">
        <v>44.81</v>
      </c>
      <c r="I172" s="8">
        <v>38.14</v>
      </c>
      <c r="J172" s="8">
        <v>30.31</v>
      </c>
      <c r="K172" s="8">
        <v>39.479999999999997</v>
      </c>
      <c r="L172" s="8">
        <v>22.18</v>
      </c>
      <c r="M172" s="8">
        <v>73.39</v>
      </c>
      <c r="N172" s="8">
        <v>31.73</v>
      </c>
      <c r="O172" s="8">
        <v>47.37</v>
      </c>
      <c r="P172" s="8">
        <v>35.58</v>
      </c>
      <c r="Q172" s="8">
        <v>36.1</v>
      </c>
      <c r="R172" s="8">
        <v>33.75</v>
      </c>
      <c r="S172" s="8">
        <v>36.85</v>
      </c>
      <c r="X172" s="8">
        <v>31.66</v>
      </c>
      <c r="Y172" s="8">
        <v>35.33</v>
      </c>
      <c r="AC172" s="8">
        <v>44.79</v>
      </c>
      <c r="AE172" s="8">
        <v>45.04</v>
      </c>
      <c r="AG172" s="8">
        <v>30.03</v>
      </c>
      <c r="AH172" s="8">
        <v>31.26</v>
      </c>
      <c r="AI172" s="8">
        <v>28.36</v>
      </c>
      <c r="AJ172" s="8">
        <v>13.35</v>
      </c>
      <c r="AK172" s="8">
        <v>32.909999999999997</v>
      </c>
      <c r="AL172" s="8">
        <v>26.88</v>
      </c>
      <c r="AM172" s="8">
        <v>55.26</v>
      </c>
      <c r="AN172" s="8">
        <v>25.18</v>
      </c>
      <c r="AO172" s="8">
        <v>2.93</v>
      </c>
      <c r="AP172" s="8">
        <v>2.93</v>
      </c>
      <c r="AQ172" s="8">
        <v>85.71</v>
      </c>
      <c r="AV172" s="8">
        <v>107.85</v>
      </c>
      <c r="AW172" s="8">
        <v>116.26</v>
      </c>
      <c r="AX172" s="8">
        <v>105.15</v>
      </c>
      <c r="AY172" s="8">
        <v>99.45</v>
      </c>
      <c r="BB172" s="8">
        <v>26.57</v>
      </c>
      <c r="BC172" s="8">
        <v>32.35</v>
      </c>
      <c r="BD172" s="8">
        <v>33.51</v>
      </c>
      <c r="BE172" s="8">
        <v>33.51</v>
      </c>
      <c r="BI172" s="8">
        <v>33.799999999999997</v>
      </c>
      <c r="BK172" s="8">
        <v>21.68</v>
      </c>
      <c r="BM172" s="8">
        <v>23.23</v>
      </c>
      <c r="BO172" s="8">
        <v>59.15</v>
      </c>
      <c r="BP172" s="8">
        <v>54.02</v>
      </c>
      <c r="BQ172" s="8">
        <v>57.25</v>
      </c>
      <c r="BR172" s="8">
        <v>41.72</v>
      </c>
      <c r="BS172" s="8">
        <v>97.45</v>
      </c>
      <c r="BT172" s="8">
        <v>97.45</v>
      </c>
      <c r="BV172" s="8">
        <v>95.31</v>
      </c>
      <c r="BW172" s="8">
        <v>108.72</v>
      </c>
      <c r="BY172" s="8">
        <v>67.819999999999993</v>
      </c>
      <c r="CA172" s="8">
        <v>59.58</v>
      </c>
      <c r="CB172" s="8">
        <v>67.62</v>
      </c>
      <c r="CE172" s="8">
        <v>28.83</v>
      </c>
      <c r="CF172" s="8">
        <v>27.8</v>
      </c>
      <c r="CI172" s="8">
        <v>45.01</v>
      </c>
      <c r="CJ172" s="8">
        <v>42.77</v>
      </c>
      <c r="CK172" s="8">
        <v>57.39</v>
      </c>
      <c r="CL172" s="8">
        <v>14.45</v>
      </c>
      <c r="CM172" s="8">
        <v>13.3</v>
      </c>
      <c r="CN172" s="8">
        <v>23.65</v>
      </c>
      <c r="CO172" s="8">
        <v>40.29</v>
      </c>
      <c r="CP172" s="8">
        <v>41.38</v>
      </c>
      <c r="CQ172" s="8">
        <v>91.77</v>
      </c>
      <c r="CR172" s="8">
        <v>47.42</v>
      </c>
      <c r="CS172" s="8">
        <v>26.5</v>
      </c>
      <c r="CT172" s="8">
        <v>37.950000000000003</v>
      </c>
      <c r="CU172" s="8">
        <v>22.53</v>
      </c>
      <c r="CV172" s="8">
        <v>28.57</v>
      </c>
      <c r="CW172" s="8">
        <v>28.57</v>
      </c>
      <c r="CX172" s="8">
        <v>112.78</v>
      </c>
      <c r="CY172" s="8">
        <v>112.78</v>
      </c>
      <c r="CZ172" s="8">
        <v>31.05</v>
      </c>
      <c r="DA172" s="8">
        <v>121.85</v>
      </c>
      <c r="DD172" s="8">
        <v>2042.82</v>
      </c>
      <c r="DI172" s="8">
        <v>41.27</v>
      </c>
      <c r="DJ172" s="8">
        <v>36.01</v>
      </c>
      <c r="DK172" s="8">
        <v>42.58</v>
      </c>
      <c r="DO172" s="8">
        <v>35</v>
      </c>
      <c r="DP172" s="8">
        <v>19.579999999999998</v>
      </c>
      <c r="DS172" s="8">
        <v>14.15</v>
      </c>
      <c r="DT172" s="8">
        <v>14.15</v>
      </c>
      <c r="ED172" s="9">
        <v>2</v>
      </c>
      <c r="EE172" s="9">
        <v>1.5</v>
      </c>
      <c r="EF172" s="9">
        <v>3.4</v>
      </c>
      <c r="EG172" s="9">
        <v>3.7</v>
      </c>
      <c r="EH172" s="9">
        <v>3.2</v>
      </c>
      <c r="EI172" s="9">
        <v>3.5</v>
      </c>
      <c r="EJ172" s="9">
        <v>3.5</v>
      </c>
      <c r="EK172" s="9">
        <v>1.9</v>
      </c>
      <c r="EL172" s="9">
        <v>0.4</v>
      </c>
      <c r="EM172" s="9">
        <v>4</v>
      </c>
      <c r="EN172" s="9">
        <v>-6.5</v>
      </c>
      <c r="EO172" s="9">
        <v>4.3</v>
      </c>
      <c r="EP172" s="9">
        <v>1.5</v>
      </c>
      <c r="EQ172" s="9">
        <v>10.4</v>
      </c>
      <c r="ER172" s="9">
        <v>2.7</v>
      </c>
      <c r="ES172" s="9">
        <v>1.4</v>
      </c>
      <c r="ET172" s="9">
        <v>6.5</v>
      </c>
      <c r="EU172" s="9">
        <v>2.9</v>
      </c>
      <c r="EZ172" s="9">
        <v>0.9</v>
      </c>
      <c r="FA172" s="9">
        <v>1.4</v>
      </c>
      <c r="FE172" s="9">
        <v>3</v>
      </c>
      <c r="FG172" s="9">
        <v>0.1</v>
      </c>
      <c r="FI172" s="9">
        <v>2</v>
      </c>
      <c r="FJ172" s="9">
        <v>1.8</v>
      </c>
      <c r="FK172" s="9">
        <v>2.2000000000000002</v>
      </c>
      <c r="FL172" s="9">
        <v>0.2</v>
      </c>
      <c r="FM172" s="9">
        <v>-0.8</v>
      </c>
      <c r="FN172" s="9">
        <v>2.1</v>
      </c>
      <c r="FO172" s="9">
        <v>1.1000000000000001</v>
      </c>
      <c r="FP172" s="9">
        <v>-2.6</v>
      </c>
      <c r="FQ172" s="9">
        <v>3.2</v>
      </c>
      <c r="FR172" s="9">
        <v>3.2</v>
      </c>
      <c r="FS172" s="9">
        <v>3</v>
      </c>
      <c r="FX172" s="9">
        <v>3.2</v>
      </c>
      <c r="FY172" s="9">
        <v>2.8</v>
      </c>
      <c r="FZ172" s="9">
        <v>4.2</v>
      </c>
      <c r="GA172" s="9">
        <v>1.7</v>
      </c>
      <c r="GD172" s="9">
        <v>3.1</v>
      </c>
      <c r="GE172" s="9">
        <v>6.2</v>
      </c>
      <c r="GF172" s="9">
        <v>2.2999999999999998</v>
      </c>
      <c r="GG172" s="9">
        <v>2.2999999999999998</v>
      </c>
      <c r="GK172" s="9">
        <v>2.4</v>
      </c>
      <c r="GM172" s="9">
        <v>0.4</v>
      </c>
      <c r="GO172" s="9">
        <v>0.3</v>
      </c>
      <c r="GQ172" s="9">
        <v>1.6</v>
      </c>
      <c r="GR172" s="9">
        <v>1.5</v>
      </c>
      <c r="GS172" s="9">
        <v>1.2</v>
      </c>
      <c r="GT172" s="9">
        <v>2.2999999999999998</v>
      </c>
      <c r="GU172" s="9">
        <v>0.8</v>
      </c>
      <c r="GV172" s="9">
        <v>0.8</v>
      </c>
      <c r="GX172" s="9">
        <v>1.8</v>
      </c>
      <c r="GY172" s="9">
        <v>1.8</v>
      </c>
      <c r="HA172" s="9">
        <v>2.7</v>
      </c>
      <c r="HC172" s="9">
        <v>0.5</v>
      </c>
      <c r="HD172" s="9">
        <v>-3</v>
      </c>
      <c r="HG172" s="9">
        <v>1.4</v>
      </c>
      <c r="HH172" s="9">
        <v>1.9</v>
      </c>
      <c r="HK172" s="9">
        <v>-7.2</v>
      </c>
      <c r="HL172" s="9">
        <v>-9</v>
      </c>
      <c r="HM172" s="9">
        <v>0.1</v>
      </c>
      <c r="HN172" s="9">
        <v>4</v>
      </c>
      <c r="HO172" s="9">
        <v>4.2</v>
      </c>
      <c r="HP172" s="9">
        <v>2.5</v>
      </c>
      <c r="HQ172" s="9">
        <v>0.3</v>
      </c>
      <c r="HR172" s="9">
        <v>0.2</v>
      </c>
      <c r="HS172" s="9">
        <v>1.3</v>
      </c>
      <c r="HT172" s="9">
        <v>2.1</v>
      </c>
      <c r="HU172" s="9">
        <v>-2.4</v>
      </c>
      <c r="HV172" s="9">
        <v>1.5</v>
      </c>
      <c r="HW172" s="9">
        <v>1.8</v>
      </c>
      <c r="HX172" s="9">
        <v>1.4</v>
      </c>
      <c r="HY172" s="9">
        <v>1.4</v>
      </c>
      <c r="HZ172" s="9">
        <v>2.5</v>
      </c>
      <c r="IA172" s="9">
        <v>2.5</v>
      </c>
      <c r="IB172" s="9">
        <v>4.4000000000000004</v>
      </c>
      <c r="IC172" s="9">
        <v>2.2999999999999998</v>
      </c>
      <c r="IF172" s="9">
        <v>-0.8</v>
      </c>
      <c r="IK172" s="9">
        <v>6.5</v>
      </c>
      <c r="IL172" s="9">
        <v>5.8</v>
      </c>
      <c r="IM172" s="9">
        <v>7.2</v>
      </c>
      <c r="IQ172" s="9">
        <v>3.1</v>
      </c>
    </row>
    <row r="173" spans="1:251" x14ac:dyDescent="0.2">
      <c r="A173" s="10">
        <v>32568</v>
      </c>
      <c r="B173" s="8">
        <v>35.909999999999997</v>
      </c>
      <c r="C173" s="8">
        <v>34.11</v>
      </c>
      <c r="D173" s="8">
        <v>34.729999999999997</v>
      </c>
      <c r="E173" s="8">
        <v>29.33</v>
      </c>
      <c r="F173" s="8">
        <v>35.979999999999997</v>
      </c>
      <c r="G173" s="8">
        <v>49.44</v>
      </c>
      <c r="H173" s="8">
        <v>45.86</v>
      </c>
      <c r="I173" s="8">
        <v>39.21</v>
      </c>
      <c r="J173" s="8">
        <v>31.05</v>
      </c>
      <c r="K173" s="8">
        <v>40.659999999999997</v>
      </c>
      <c r="L173" s="8">
        <v>23.12</v>
      </c>
      <c r="M173" s="8">
        <v>75.02</v>
      </c>
      <c r="N173" s="8">
        <v>32.11</v>
      </c>
      <c r="O173" s="8">
        <v>49.42</v>
      </c>
      <c r="P173" s="8">
        <v>36.19</v>
      </c>
      <c r="Q173" s="8">
        <v>37.119999999999997</v>
      </c>
      <c r="R173" s="8">
        <v>33.72</v>
      </c>
      <c r="S173" s="8">
        <v>37.01</v>
      </c>
      <c r="X173" s="8">
        <v>31.97</v>
      </c>
      <c r="Y173" s="8">
        <v>35.51</v>
      </c>
      <c r="AC173" s="8">
        <v>46</v>
      </c>
      <c r="AE173" s="8">
        <v>45.77</v>
      </c>
      <c r="AG173" s="8">
        <v>30.59</v>
      </c>
      <c r="AH173" s="8">
        <v>31.46</v>
      </c>
      <c r="AI173" s="8">
        <v>29.21</v>
      </c>
      <c r="AJ173" s="8">
        <v>13.61</v>
      </c>
      <c r="AK173" s="8">
        <v>33.340000000000003</v>
      </c>
      <c r="AL173" s="8">
        <v>27.39</v>
      </c>
      <c r="AM173" s="8">
        <v>55.61</v>
      </c>
      <c r="AN173" s="8">
        <v>25.51</v>
      </c>
      <c r="AO173" s="8">
        <v>3.04</v>
      </c>
      <c r="AP173" s="8">
        <v>3.04</v>
      </c>
      <c r="AQ173" s="8">
        <v>85.71</v>
      </c>
      <c r="AV173" s="8">
        <v>107.06</v>
      </c>
      <c r="AW173" s="8">
        <v>114.72</v>
      </c>
      <c r="AX173" s="8">
        <v>105.26</v>
      </c>
      <c r="AY173" s="8">
        <v>97.42</v>
      </c>
      <c r="BB173" s="8">
        <v>27.28</v>
      </c>
      <c r="BC173" s="8">
        <v>32.01</v>
      </c>
      <c r="BD173" s="8">
        <v>34.32</v>
      </c>
      <c r="BE173" s="8">
        <v>34.32</v>
      </c>
      <c r="BI173" s="8">
        <v>33.69</v>
      </c>
      <c r="BK173" s="8">
        <v>21.7</v>
      </c>
      <c r="BM173" s="8">
        <v>23.28</v>
      </c>
      <c r="BO173" s="8">
        <v>59.59</v>
      </c>
      <c r="BP173" s="8">
        <v>54.78</v>
      </c>
      <c r="BQ173" s="8">
        <v>58.06</v>
      </c>
      <c r="BR173" s="8">
        <v>42.21</v>
      </c>
      <c r="BS173" s="8">
        <v>99.36</v>
      </c>
      <c r="BT173" s="8">
        <v>99.36</v>
      </c>
      <c r="BV173" s="8">
        <v>95.8</v>
      </c>
      <c r="BW173" s="8">
        <v>109.28</v>
      </c>
      <c r="BY173" s="8">
        <v>67.2</v>
      </c>
      <c r="CA173" s="8">
        <v>60.54</v>
      </c>
      <c r="CB173" s="8">
        <v>68.12</v>
      </c>
      <c r="CE173" s="8">
        <v>29.96</v>
      </c>
      <c r="CF173" s="8">
        <v>28.23</v>
      </c>
      <c r="CI173" s="8">
        <v>53.33</v>
      </c>
      <c r="CJ173" s="8">
        <v>52.6</v>
      </c>
      <c r="CK173" s="8">
        <v>58.41</v>
      </c>
      <c r="CL173" s="8">
        <v>15.07</v>
      </c>
      <c r="CM173" s="8">
        <v>13.91</v>
      </c>
      <c r="CN173" s="8">
        <v>24.3</v>
      </c>
      <c r="CO173" s="8">
        <v>40.68</v>
      </c>
      <c r="CP173" s="8">
        <v>41.83</v>
      </c>
      <c r="CQ173" s="8">
        <v>93.12</v>
      </c>
      <c r="CR173" s="8">
        <v>47.57</v>
      </c>
      <c r="CS173" s="8">
        <v>26.5</v>
      </c>
      <c r="CT173" s="8">
        <v>38.549999999999997</v>
      </c>
      <c r="CU173" s="8">
        <v>22.76</v>
      </c>
      <c r="CV173" s="8">
        <v>28.63</v>
      </c>
      <c r="CW173" s="8">
        <v>28.64</v>
      </c>
      <c r="CX173" s="8">
        <v>111.46</v>
      </c>
      <c r="CY173" s="8">
        <v>111.46</v>
      </c>
      <c r="CZ173" s="8">
        <v>31.65</v>
      </c>
      <c r="DA173" s="8">
        <v>119.98</v>
      </c>
      <c r="DD173" s="8">
        <v>2014.79</v>
      </c>
      <c r="DI173" s="8">
        <v>39.83</v>
      </c>
      <c r="DJ173" s="8">
        <v>35.369999999999997</v>
      </c>
      <c r="DK173" s="8">
        <v>40.299999999999997</v>
      </c>
      <c r="DO173" s="8">
        <v>34.93</v>
      </c>
      <c r="DP173" s="8">
        <v>20.25</v>
      </c>
      <c r="DS173" s="8">
        <v>15.91</v>
      </c>
      <c r="DT173" s="8">
        <v>15.91</v>
      </c>
      <c r="ED173" s="9">
        <v>1</v>
      </c>
      <c r="EE173" s="9">
        <v>1.5</v>
      </c>
      <c r="EF173" s="9">
        <v>1.2</v>
      </c>
      <c r="EG173" s="9">
        <v>2.2999999999999998</v>
      </c>
      <c r="EH173" s="9">
        <v>1</v>
      </c>
      <c r="EI173" s="9">
        <v>-2.7</v>
      </c>
      <c r="EJ173" s="9">
        <v>2.2999999999999998</v>
      </c>
      <c r="EK173" s="9">
        <v>2.8</v>
      </c>
      <c r="EL173" s="9">
        <v>2.4</v>
      </c>
      <c r="EM173" s="9">
        <v>3</v>
      </c>
      <c r="EN173" s="9">
        <v>4.2</v>
      </c>
      <c r="EO173" s="9">
        <v>2.2000000000000002</v>
      </c>
      <c r="EP173" s="9">
        <v>1.2</v>
      </c>
      <c r="EQ173" s="9">
        <v>4.3</v>
      </c>
      <c r="ER173" s="9">
        <v>1.7</v>
      </c>
      <c r="ES173" s="9">
        <v>2.8</v>
      </c>
      <c r="ET173" s="9">
        <v>-0.1</v>
      </c>
      <c r="EU173" s="9">
        <v>0.4</v>
      </c>
      <c r="EZ173" s="9">
        <v>1</v>
      </c>
      <c r="FA173" s="9">
        <v>0.5</v>
      </c>
      <c r="FE173" s="9">
        <v>2.7</v>
      </c>
      <c r="FG173" s="9">
        <v>1.6</v>
      </c>
      <c r="FI173" s="9">
        <v>1.9</v>
      </c>
      <c r="FJ173" s="9">
        <v>0.6</v>
      </c>
      <c r="FK173" s="9">
        <v>3</v>
      </c>
      <c r="FL173" s="9">
        <v>1.9</v>
      </c>
      <c r="FM173" s="9">
        <v>1.3</v>
      </c>
      <c r="FN173" s="9">
        <v>1.9</v>
      </c>
      <c r="FO173" s="9">
        <v>0.6</v>
      </c>
      <c r="FP173" s="9">
        <v>1.3</v>
      </c>
      <c r="FQ173" s="9">
        <v>3.8</v>
      </c>
      <c r="FR173" s="9">
        <v>3.8</v>
      </c>
      <c r="FS173" s="9">
        <v>0</v>
      </c>
      <c r="FX173" s="9">
        <v>-0.7</v>
      </c>
      <c r="FY173" s="9">
        <v>-1.3</v>
      </c>
      <c r="FZ173" s="9">
        <v>0.1</v>
      </c>
      <c r="GA173" s="9">
        <v>-2</v>
      </c>
      <c r="GD173" s="9">
        <v>2.7</v>
      </c>
      <c r="GE173" s="9">
        <v>-1.1000000000000001</v>
      </c>
      <c r="GF173" s="9">
        <v>2.4</v>
      </c>
      <c r="GG173" s="9">
        <v>2.4</v>
      </c>
      <c r="GK173" s="9">
        <v>-0.3</v>
      </c>
      <c r="GM173" s="9">
        <v>0.1</v>
      </c>
      <c r="GO173" s="9">
        <v>0.2</v>
      </c>
      <c r="GQ173" s="9">
        <v>0.7</v>
      </c>
      <c r="GR173" s="9">
        <v>1.4</v>
      </c>
      <c r="GS173" s="9">
        <v>1.4</v>
      </c>
      <c r="GT173" s="9">
        <v>1.2</v>
      </c>
      <c r="GU173" s="9">
        <v>2</v>
      </c>
      <c r="GV173" s="9">
        <v>2</v>
      </c>
      <c r="GX173" s="9">
        <v>0.5</v>
      </c>
      <c r="GY173" s="9">
        <v>0.5</v>
      </c>
      <c r="HA173" s="9">
        <v>-0.9</v>
      </c>
      <c r="HC173" s="9">
        <v>1.6</v>
      </c>
      <c r="HD173" s="9">
        <v>0.7</v>
      </c>
      <c r="HG173" s="9">
        <v>3.9</v>
      </c>
      <c r="HH173" s="9">
        <v>1.5</v>
      </c>
      <c r="HK173" s="9">
        <v>18.5</v>
      </c>
      <c r="HL173" s="9">
        <v>23</v>
      </c>
      <c r="HM173" s="9">
        <v>1.8</v>
      </c>
      <c r="HN173" s="9">
        <v>4.3</v>
      </c>
      <c r="HO173" s="9">
        <v>4.5999999999999996</v>
      </c>
      <c r="HP173" s="9">
        <v>2.7</v>
      </c>
      <c r="HQ173" s="9">
        <v>1</v>
      </c>
      <c r="HR173" s="9">
        <v>1.1000000000000001</v>
      </c>
      <c r="HS173" s="9">
        <v>1.5</v>
      </c>
      <c r="HT173" s="9">
        <v>0.3</v>
      </c>
      <c r="HU173" s="9">
        <v>0</v>
      </c>
      <c r="HV173" s="9">
        <v>1.6</v>
      </c>
      <c r="HW173" s="9">
        <v>1</v>
      </c>
      <c r="HX173" s="9">
        <v>0.2</v>
      </c>
      <c r="HY173" s="9">
        <v>0.2</v>
      </c>
      <c r="HZ173" s="9">
        <v>-1.2</v>
      </c>
      <c r="IA173" s="9">
        <v>-1.2</v>
      </c>
      <c r="IB173" s="9">
        <v>1.9</v>
      </c>
      <c r="IC173" s="9">
        <v>-1.5</v>
      </c>
      <c r="IF173" s="9">
        <v>-1.4</v>
      </c>
      <c r="IK173" s="9">
        <v>-3.5</v>
      </c>
      <c r="IL173" s="9">
        <v>-1.8</v>
      </c>
      <c r="IM173" s="9">
        <v>-5.4</v>
      </c>
      <c r="IQ173" s="9">
        <v>-0.2</v>
      </c>
    </row>
    <row r="174" spans="1:251" x14ac:dyDescent="0.2">
      <c r="A174" s="10">
        <v>32660</v>
      </c>
      <c r="B174" s="8">
        <v>36.799999999999997</v>
      </c>
      <c r="C174" s="8">
        <v>35.17</v>
      </c>
      <c r="D174" s="8">
        <v>34.950000000000003</v>
      </c>
      <c r="E174" s="8">
        <v>29.58</v>
      </c>
      <c r="F174" s="8">
        <v>36.21</v>
      </c>
      <c r="G174" s="8">
        <v>49.86</v>
      </c>
      <c r="H174" s="8">
        <v>45.39</v>
      </c>
      <c r="I174" s="8">
        <v>40.32</v>
      </c>
      <c r="J174" s="8">
        <v>32.85</v>
      </c>
      <c r="K174" s="8">
        <v>40.880000000000003</v>
      </c>
      <c r="L174" s="8">
        <v>24.43</v>
      </c>
      <c r="M174" s="8">
        <v>77.91</v>
      </c>
      <c r="N174" s="8">
        <v>32.619999999999997</v>
      </c>
      <c r="O174" s="8">
        <v>48.61</v>
      </c>
      <c r="P174" s="8">
        <v>36.57</v>
      </c>
      <c r="Q174" s="8">
        <v>36.97</v>
      </c>
      <c r="R174" s="8">
        <v>34.54</v>
      </c>
      <c r="S174" s="8">
        <v>38.83</v>
      </c>
      <c r="X174" s="8">
        <v>32.520000000000003</v>
      </c>
      <c r="Y174" s="8">
        <v>36.11</v>
      </c>
      <c r="AC174" s="8">
        <v>45.66</v>
      </c>
      <c r="AE174" s="8">
        <v>44.95</v>
      </c>
      <c r="AG174" s="8">
        <v>31.3</v>
      </c>
      <c r="AH174" s="8">
        <v>32.03</v>
      </c>
      <c r="AI174" s="8">
        <v>30.05</v>
      </c>
      <c r="AJ174" s="8">
        <v>13.91</v>
      </c>
      <c r="AK174" s="8">
        <v>34.08</v>
      </c>
      <c r="AL174" s="8">
        <v>28.34</v>
      </c>
      <c r="AM174" s="8">
        <v>57.29</v>
      </c>
      <c r="AN174" s="8">
        <v>25.92</v>
      </c>
      <c r="AO174" s="8">
        <v>3.1</v>
      </c>
      <c r="AP174" s="8">
        <v>3.1</v>
      </c>
      <c r="AQ174" s="8">
        <v>88.06</v>
      </c>
      <c r="AV174" s="8">
        <v>111.19</v>
      </c>
      <c r="AW174" s="8">
        <v>117.45</v>
      </c>
      <c r="AX174" s="8">
        <v>110.45</v>
      </c>
      <c r="AY174" s="8">
        <v>100.26</v>
      </c>
      <c r="BB174" s="8">
        <v>27.96</v>
      </c>
      <c r="BC174" s="8">
        <v>33.71</v>
      </c>
      <c r="BD174" s="8">
        <v>34.97</v>
      </c>
      <c r="BE174" s="8">
        <v>34.97</v>
      </c>
      <c r="BI174" s="8">
        <v>34.700000000000003</v>
      </c>
      <c r="BK174" s="8">
        <v>21.73</v>
      </c>
      <c r="BM174" s="8">
        <v>23.28</v>
      </c>
      <c r="BO174" s="8">
        <v>60.22</v>
      </c>
      <c r="BP174" s="8">
        <v>55.95</v>
      </c>
      <c r="BQ174" s="8">
        <v>59.5</v>
      </c>
      <c r="BR174" s="8">
        <v>42.69</v>
      </c>
      <c r="BS174" s="8">
        <v>101.69</v>
      </c>
      <c r="BT174" s="8">
        <v>101.69</v>
      </c>
      <c r="BV174" s="8">
        <v>95.41</v>
      </c>
      <c r="BW174" s="8">
        <v>108.83</v>
      </c>
      <c r="BY174" s="8">
        <v>68.52</v>
      </c>
      <c r="CA174" s="8">
        <v>61.44</v>
      </c>
      <c r="CB174" s="8">
        <v>68.19</v>
      </c>
      <c r="CE174" s="8">
        <v>30.29</v>
      </c>
      <c r="CF174" s="8">
        <v>28.53</v>
      </c>
      <c r="CI174" s="8">
        <v>52.75</v>
      </c>
      <c r="CJ174" s="8">
        <v>51.88</v>
      </c>
      <c r="CK174" s="8">
        <v>58.65</v>
      </c>
      <c r="CL174" s="8">
        <v>15.21</v>
      </c>
      <c r="CM174" s="8">
        <v>14.03</v>
      </c>
      <c r="CN174" s="8">
        <v>24.75</v>
      </c>
      <c r="CO174" s="8">
        <v>41.65</v>
      </c>
      <c r="CP174" s="8">
        <v>42.87</v>
      </c>
      <c r="CQ174" s="8">
        <v>93.7</v>
      </c>
      <c r="CR174" s="8">
        <v>48.31</v>
      </c>
      <c r="CS174" s="8">
        <v>28.71</v>
      </c>
      <c r="CT174" s="8">
        <v>38.43</v>
      </c>
      <c r="CU174" s="8">
        <v>22.99</v>
      </c>
      <c r="CV174" s="8">
        <v>28.73</v>
      </c>
      <c r="CW174" s="8">
        <v>28.73</v>
      </c>
      <c r="CX174" s="8">
        <v>109.04</v>
      </c>
      <c r="CY174" s="8">
        <v>109.04</v>
      </c>
      <c r="CZ174" s="8">
        <v>32.119999999999997</v>
      </c>
      <c r="DA174" s="8">
        <v>116.81</v>
      </c>
      <c r="DD174" s="8">
        <v>1975.54</v>
      </c>
      <c r="DI174" s="8">
        <v>40.83</v>
      </c>
      <c r="DJ174" s="8">
        <v>35.479999999999997</v>
      </c>
      <c r="DK174" s="8">
        <v>42.31</v>
      </c>
      <c r="DO174" s="8">
        <v>34.6</v>
      </c>
      <c r="DP174" s="8">
        <v>20.73</v>
      </c>
      <c r="DS174" s="8">
        <v>15.91</v>
      </c>
      <c r="DT174" s="8">
        <v>15.91</v>
      </c>
      <c r="ED174" s="9">
        <v>2.5</v>
      </c>
      <c r="EE174" s="9">
        <v>3.1</v>
      </c>
      <c r="EF174" s="9">
        <v>0.6</v>
      </c>
      <c r="EG174" s="9">
        <v>0.9</v>
      </c>
      <c r="EH174" s="9">
        <v>0.6</v>
      </c>
      <c r="EI174" s="9">
        <v>0.8</v>
      </c>
      <c r="EJ174" s="9">
        <v>-1</v>
      </c>
      <c r="EK174" s="9">
        <v>2.8</v>
      </c>
      <c r="EL174" s="9">
        <v>5.8</v>
      </c>
      <c r="EM174" s="9">
        <v>0.5</v>
      </c>
      <c r="EN174" s="9">
        <v>5.7</v>
      </c>
      <c r="EO174" s="9">
        <v>3.9</v>
      </c>
      <c r="EP174" s="9">
        <v>1.6</v>
      </c>
      <c r="EQ174" s="9">
        <v>-1.6</v>
      </c>
      <c r="ER174" s="9">
        <v>1.1000000000000001</v>
      </c>
      <c r="ES174" s="9">
        <v>-0.4</v>
      </c>
      <c r="ET174" s="9">
        <v>2.4</v>
      </c>
      <c r="EU174" s="9">
        <v>4.9000000000000004</v>
      </c>
      <c r="EZ174" s="9">
        <v>1.7</v>
      </c>
      <c r="FA174" s="9">
        <v>1.7</v>
      </c>
      <c r="FE174" s="9">
        <v>-0.7</v>
      </c>
      <c r="FG174" s="9">
        <v>-1.8</v>
      </c>
      <c r="FI174" s="9">
        <v>2.2999999999999998</v>
      </c>
      <c r="FJ174" s="9">
        <v>1.8</v>
      </c>
      <c r="FK174" s="9">
        <v>2.9</v>
      </c>
      <c r="FL174" s="9">
        <v>2.2000000000000002</v>
      </c>
      <c r="FM174" s="9">
        <v>2.2000000000000002</v>
      </c>
      <c r="FN174" s="9">
        <v>3.5</v>
      </c>
      <c r="FO174" s="9">
        <v>3</v>
      </c>
      <c r="FP174" s="9">
        <v>1.6</v>
      </c>
      <c r="FQ174" s="9">
        <v>2</v>
      </c>
      <c r="FR174" s="9">
        <v>2</v>
      </c>
      <c r="FS174" s="9">
        <v>2.7</v>
      </c>
      <c r="FX174" s="9">
        <v>3.9</v>
      </c>
      <c r="FY174" s="9">
        <v>2.4</v>
      </c>
      <c r="FZ174" s="9">
        <v>4.9000000000000004</v>
      </c>
      <c r="GA174" s="9">
        <v>2.9</v>
      </c>
      <c r="GD174" s="9">
        <v>2.5</v>
      </c>
      <c r="GE174" s="9">
        <v>5.3</v>
      </c>
      <c r="GF174" s="9">
        <v>1.9</v>
      </c>
      <c r="GG174" s="9">
        <v>1.9</v>
      </c>
      <c r="GK174" s="9">
        <v>3</v>
      </c>
      <c r="GM174" s="9">
        <v>0.1</v>
      </c>
      <c r="GO174" s="9">
        <v>0</v>
      </c>
      <c r="GQ174" s="9">
        <v>1.1000000000000001</v>
      </c>
      <c r="GR174" s="9">
        <v>2.1</v>
      </c>
      <c r="GS174" s="9">
        <v>2.5</v>
      </c>
      <c r="GT174" s="9">
        <v>1.1000000000000001</v>
      </c>
      <c r="GU174" s="9">
        <v>2.2999999999999998</v>
      </c>
      <c r="GV174" s="9">
        <v>2.2999999999999998</v>
      </c>
      <c r="GX174" s="9">
        <v>-0.4</v>
      </c>
      <c r="GY174" s="9">
        <v>-0.4</v>
      </c>
      <c r="HA174" s="9">
        <v>2</v>
      </c>
      <c r="HC174" s="9">
        <v>1.5</v>
      </c>
      <c r="HD174" s="9">
        <v>0.1</v>
      </c>
      <c r="HG174" s="9">
        <v>1.1000000000000001</v>
      </c>
      <c r="HH174" s="9">
        <v>1.1000000000000001</v>
      </c>
      <c r="HK174" s="9">
        <v>-1.1000000000000001</v>
      </c>
      <c r="HL174" s="9">
        <v>-1.4</v>
      </c>
      <c r="HM174" s="9">
        <v>0.4</v>
      </c>
      <c r="HN174" s="9">
        <v>0.9</v>
      </c>
      <c r="HO174" s="9">
        <v>0.9</v>
      </c>
      <c r="HP174" s="9">
        <v>1.9</v>
      </c>
      <c r="HQ174" s="9">
        <v>2.4</v>
      </c>
      <c r="HR174" s="9">
        <v>2.5</v>
      </c>
      <c r="HS174" s="9">
        <v>0.6</v>
      </c>
      <c r="HT174" s="9">
        <v>1.6</v>
      </c>
      <c r="HU174" s="9">
        <v>8.3000000000000007</v>
      </c>
      <c r="HV174" s="9">
        <v>-0.3</v>
      </c>
      <c r="HW174" s="9">
        <v>1</v>
      </c>
      <c r="HX174" s="9">
        <v>0.3</v>
      </c>
      <c r="HY174" s="9">
        <v>0.3</v>
      </c>
      <c r="HZ174" s="9">
        <v>-2.2000000000000002</v>
      </c>
      <c r="IA174" s="9">
        <v>-2.2000000000000002</v>
      </c>
      <c r="IB174" s="9">
        <v>1.5</v>
      </c>
      <c r="IC174" s="9">
        <v>-2.6</v>
      </c>
      <c r="IF174" s="9">
        <v>-1.9</v>
      </c>
      <c r="IK174" s="9">
        <v>2.5</v>
      </c>
      <c r="IL174" s="9">
        <v>0.3</v>
      </c>
      <c r="IM174" s="9">
        <v>5</v>
      </c>
      <c r="IQ174" s="9">
        <v>-0.9</v>
      </c>
    </row>
    <row r="175" spans="1:251" x14ac:dyDescent="0.2">
      <c r="A175" s="10">
        <v>32752</v>
      </c>
      <c r="B175" s="8">
        <v>37.65</v>
      </c>
      <c r="C175" s="8">
        <v>36.04</v>
      </c>
      <c r="D175" s="8">
        <v>35.69</v>
      </c>
      <c r="E175" s="8">
        <v>30.4</v>
      </c>
      <c r="F175" s="8">
        <v>36.85</v>
      </c>
      <c r="G175" s="8">
        <v>50.49</v>
      </c>
      <c r="H175" s="8">
        <v>47.15</v>
      </c>
      <c r="I175" s="8">
        <v>40.86</v>
      </c>
      <c r="J175" s="8">
        <v>33.6</v>
      </c>
      <c r="K175" s="8">
        <v>41.39</v>
      </c>
      <c r="L175" s="8">
        <v>24.46</v>
      </c>
      <c r="M175" s="8">
        <v>76.66</v>
      </c>
      <c r="N175" s="8">
        <v>33.450000000000003</v>
      </c>
      <c r="O175" s="8">
        <v>49.32</v>
      </c>
      <c r="P175" s="8">
        <v>36.76</v>
      </c>
      <c r="Q175" s="8">
        <v>36.97</v>
      </c>
      <c r="R175" s="8">
        <v>35.14</v>
      </c>
      <c r="S175" s="8">
        <v>39.159999999999997</v>
      </c>
      <c r="T175" s="8">
        <v>41.55</v>
      </c>
      <c r="U175" s="8">
        <v>34.770000000000003</v>
      </c>
      <c r="V175" s="8">
        <v>46.34</v>
      </c>
      <c r="W175" s="8">
        <v>33.44</v>
      </c>
      <c r="X175" s="8">
        <v>31.14</v>
      </c>
      <c r="Y175" s="8">
        <v>36.299999999999997</v>
      </c>
      <c r="Z175" s="8">
        <v>49.83</v>
      </c>
      <c r="AA175" s="8">
        <v>29.27</v>
      </c>
      <c r="AB175" s="8">
        <v>31.37</v>
      </c>
      <c r="AC175" s="8">
        <v>46.88</v>
      </c>
      <c r="AD175" s="8">
        <v>38.81</v>
      </c>
      <c r="AE175" s="8">
        <v>45.18</v>
      </c>
      <c r="AF175" s="8">
        <v>37.58</v>
      </c>
      <c r="AG175" s="8">
        <v>31.76</v>
      </c>
      <c r="AH175" s="8">
        <v>32.869999999999997</v>
      </c>
      <c r="AI175" s="8">
        <v>30.14</v>
      </c>
      <c r="AJ175" s="8">
        <v>14.23</v>
      </c>
      <c r="AK175" s="8">
        <v>34.72</v>
      </c>
      <c r="AL175" s="8">
        <v>28.88</v>
      </c>
      <c r="AM175" s="8">
        <v>58.39</v>
      </c>
      <c r="AN175" s="8">
        <v>26.41</v>
      </c>
      <c r="AO175" s="8">
        <v>3.2</v>
      </c>
      <c r="AP175" s="8">
        <v>3.2</v>
      </c>
      <c r="AQ175" s="8">
        <v>88.24</v>
      </c>
      <c r="AR175" s="8">
        <v>102.29</v>
      </c>
      <c r="AS175" s="8">
        <v>99.25</v>
      </c>
      <c r="AT175" s="8">
        <v>108.64</v>
      </c>
      <c r="AU175" s="8">
        <v>86.9</v>
      </c>
      <c r="AV175" s="8">
        <v>110.41</v>
      </c>
      <c r="AW175" s="8">
        <v>115.08</v>
      </c>
      <c r="AX175" s="8">
        <v>110.34</v>
      </c>
      <c r="AY175" s="8">
        <v>100.36</v>
      </c>
      <c r="BB175" s="8">
        <v>28.38</v>
      </c>
      <c r="BC175" s="8">
        <v>35.53</v>
      </c>
      <c r="BD175" s="8">
        <v>35.700000000000003</v>
      </c>
      <c r="BE175" s="8">
        <v>35.700000000000003</v>
      </c>
      <c r="BI175" s="8">
        <v>34.979999999999997</v>
      </c>
      <c r="BK175" s="8">
        <v>22.36</v>
      </c>
      <c r="BM175" s="8">
        <v>23.98</v>
      </c>
      <c r="BN175" s="8">
        <v>16.89</v>
      </c>
      <c r="BO175" s="8">
        <v>61.09</v>
      </c>
      <c r="BP175" s="8">
        <v>56.53</v>
      </c>
      <c r="BQ175" s="8">
        <v>60.25</v>
      </c>
      <c r="BR175" s="8">
        <v>43.05</v>
      </c>
      <c r="BS175" s="8">
        <v>103.81</v>
      </c>
      <c r="BT175" s="8">
        <v>103.81</v>
      </c>
      <c r="BU175" s="8">
        <v>96.21</v>
      </c>
      <c r="BV175" s="8">
        <v>97.08</v>
      </c>
      <c r="BW175" s="8">
        <v>110.73</v>
      </c>
      <c r="BX175" s="8">
        <v>116.91</v>
      </c>
      <c r="BY175" s="8">
        <v>68.239999999999995</v>
      </c>
      <c r="BZ175" s="8">
        <v>60.68</v>
      </c>
      <c r="CA175" s="8">
        <v>61.76</v>
      </c>
      <c r="CB175" s="8">
        <v>69.83</v>
      </c>
      <c r="CC175" s="8">
        <v>51.48</v>
      </c>
      <c r="CD175" s="8">
        <v>24.19</v>
      </c>
      <c r="CE175" s="8">
        <v>31.4</v>
      </c>
      <c r="CF175" s="8">
        <v>29.16</v>
      </c>
      <c r="CG175" s="8">
        <v>21.49</v>
      </c>
      <c r="CH175" s="8">
        <v>20.079999999999998</v>
      </c>
      <c r="CI175" s="8">
        <v>50.96</v>
      </c>
      <c r="CJ175" s="8">
        <v>49.57</v>
      </c>
      <c r="CK175" s="8">
        <v>59.19</v>
      </c>
      <c r="CL175" s="8">
        <v>15.47</v>
      </c>
      <c r="CM175" s="8">
        <v>14.22</v>
      </c>
      <c r="CN175" s="8">
        <v>25.38</v>
      </c>
      <c r="CO175" s="8">
        <v>42.57</v>
      </c>
      <c r="CP175" s="8">
        <v>43.73</v>
      </c>
      <c r="CQ175" s="8">
        <v>94.76</v>
      </c>
      <c r="CR175" s="8">
        <v>48.45</v>
      </c>
      <c r="CS175" s="8">
        <v>29.15</v>
      </c>
      <c r="CT175" s="8">
        <v>38.83</v>
      </c>
      <c r="CU175" s="8">
        <v>22.83</v>
      </c>
      <c r="CV175" s="8">
        <v>30.33</v>
      </c>
      <c r="CW175" s="8">
        <v>30.34</v>
      </c>
      <c r="CX175" s="8">
        <v>109.04</v>
      </c>
      <c r="CY175" s="8">
        <v>109.04</v>
      </c>
      <c r="CZ175" s="8">
        <v>32.590000000000003</v>
      </c>
      <c r="DA175" s="8">
        <v>116.58</v>
      </c>
      <c r="DB175" s="8">
        <v>56.34</v>
      </c>
      <c r="DC175" s="8">
        <v>305.22000000000003</v>
      </c>
      <c r="DD175" s="8">
        <v>1923.21</v>
      </c>
      <c r="DE175" s="8">
        <v>80.52</v>
      </c>
      <c r="DF175" s="8">
        <v>36.369999999999997</v>
      </c>
      <c r="DI175" s="8">
        <v>41.44</v>
      </c>
      <c r="DJ175" s="8">
        <v>36.4</v>
      </c>
      <c r="DK175" s="8">
        <v>42.49</v>
      </c>
      <c r="DL175" s="8">
        <v>36.56</v>
      </c>
      <c r="DO175" s="8">
        <v>34.82</v>
      </c>
      <c r="DP175" s="8">
        <v>21.02</v>
      </c>
      <c r="DS175" s="8">
        <v>15.91</v>
      </c>
      <c r="DT175" s="8">
        <v>15.91</v>
      </c>
      <c r="DY175" s="8">
        <v>14.14</v>
      </c>
      <c r="DZ175" s="8">
        <v>14.14</v>
      </c>
      <c r="ED175" s="9">
        <v>2.2999999999999998</v>
      </c>
      <c r="EE175" s="9">
        <v>2.5</v>
      </c>
      <c r="EF175" s="9">
        <v>2.1</v>
      </c>
      <c r="EG175" s="9">
        <v>2.8</v>
      </c>
      <c r="EH175" s="9">
        <v>1.8</v>
      </c>
      <c r="EI175" s="9">
        <v>1.3</v>
      </c>
      <c r="EJ175" s="9">
        <v>3.9</v>
      </c>
      <c r="EK175" s="9">
        <v>1.3</v>
      </c>
      <c r="EL175" s="9">
        <v>2.2999999999999998</v>
      </c>
      <c r="EM175" s="9">
        <v>1.2</v>
      </c>
      <c r="EN175" s="9">
        <v>0.1</v>
      </c>
      <c r="EO175" s="9">
        <v>-1.6</v>
      </c>
      <c r="EP175" s="9">
        <v>2.5</v>
      </c>
      <c r="EQ175" s="9">
        <v>1.5</v>
      </c>
      <c r="ER175" s="9">
        <v>0.5</v>
      </c>
      <c r="ES175" s="9">
        <v>0</v>
      </c>
      <c r="ET175" s="9">
        <v>1.7</v>
      </c>
      <c r="EU175" s="9">
        <v>0.8</v>
      </c>
      <c r="EZ175" s="9">
        <v>-4.2</v>
      </c>
      <c r="FA175" s="9">
        <v>0.5</v>
      </c>
      <c r="FE175" s="9">
        <v>2.7</v>
      </c>
      <c r="FG175" s="9">
        <v>0.5</v>
      </c>
      <c r="FI175" s="9">
        <v>1.5</v>
      </c>
      <c r="FJ175" s="9">
        <v>2.6</v>
      </c>
      <c r="FK175" s="9">
        <v>0.3</v>
      </c>
      <c r="FL175" s="9">
        <v>2.2999999999999998</v>
      </c>
      <c r="FM175" s="9">
        <v>1.9</v>
      </c>
      <c r="FN175" s="9">
        <v>1.9</v>
      </c>
      <c r="FO175" s="9">
        <v>1.9</v>
      </c>
      <c r="FP175" s="9">
        <v>1.9</v>
      </c>
      <c r="FQ175" s="9">
        <v>3.2</v>
      </c>
      <c r="FR175" s="9">
        <v>3.2</v>
      </c>
      <c r="FS175" s="9">
        <v>0.2</v>
      </c>
      <c r="FX175" s="9">
        <v>-0.7</v>
      </c>
      <c r="FY175" s="9">
        <v>-2</v>
      </c>
      <c r="FZ175" s="9">
        <v>-0.1</v>
      </c>
      <c r="GA175" s="9">
        <v>0.1</v>
      </c>
      <c r="GD175" s="9">
        <v>1.5</v>
      </c>
      <c r="GE175" s="9">
        <v>5.4</v>
      </c>
      <c r="GF175" s="9">
        <v>2.1</v>
      </c>
      <c r="GG175" s="9">
        <v>2.1</v>
      </c>
      <c r="GK175" s="9">
        <v>0.8</v>
      </c>
      <c r="GM175" s="9">
        <v>2.9</v>
      </c>
      <c r="GO175" s="9">
        <v>3</v>
      </c>
      <c r="GQ175" s="9">
        <v>1.4</v>
      </c>
      <c r="GR175" s="9">
        <v>1</v>
      </c>
      <c r="GS175" s="9">
        <v>1.3</v>
      </c>
      <c r="GT175" s="9">
        <v>0.8</v>
      </c>
      <c r="GU175" s="9">
        <v>2.1</v>
      </c>
      <c r="GV175" s="9">
        <v>2.1</v>
      </c>
      <c r="GX175" s="9">
        <v>1.8</v>
      </c>
      <c r="GY175" s="9">
        <v>1.7</v>
      </c>
      <c r="HA175" s="9">
        <v>-0.4</v>
      </c>
      <c r="HC175" s="9">
        <v>0.5</v>
      </c>
      <c r="HD175" s="9">
        <v>2.4</v>
      </c>
      <c r="HG175" s="9">
        <v>3.7</v>
      </c>
      <c r="HH175" s="9">
        <v>2.2000000000000002</v>
      </c>
      <c r="HK175" s="9">
        <v>-3.4</v>
      </c>
      <c r="HL175" s="9">
        <v>-4.5</v>
      </c>
      <c r="HM175" s="9">
        <v>0.9</v>
      </c>
      <c r="HN175" s="9">
        <v>1.7</v>
      </c>
      <c r="HO175" s="9">
        <v>1.4</v>
      </c>
      <c r="HP175" s="9">
        <v>2.5</v>
      </c>
      <c r="HQ175" s="9">
        <v>2.2000000000000002</v>
      </c>
      <c r="HR175" s="9">
        <v>2</v>
      </c>
      <c r="HS175" s="9">
        <v>1.1000000000000001</v>
      </c>
      <c r="HT175" s="9">
        <v>0.3</v>
      </c>
      <c r="HU175" s="9">
        <v>1.5</v>
      </c>
      <c r="HV175" s="9">
        <v>1</v>
      </c>
      <c r="HW175" s="9">
        <v>-0.7</v>
      </c>
      <c r="HX175" s="9">
        <v>5.6</v>
      </c>
      <c r="HY175" s="9">
        <v>5.6</v>
      </c>
      <c r="HZ175" s="9">
        <v>0</v>
      </c>
      <c r="IA175" s="9">
        <v>0</v>
      </c>
      <c r="IB175" s="9">
        <v>1.5</v>
      </c>
      <c r="IC175" s="9">
        <v>-0.2</v>
      </c>
      <c r="IF175" s="9">
        <v>-2.6</v>
      </c>
      <c r="IK175" s="9">
        <v>1.5</v>
      </c>
      <c r="IL175" s="9">
        <v>2.6</v>
      </c>
      <c r="IM175" s="9">
        <v>0.4</v>
      </c>
      <c r="IQ175" s="9">
        <v>0.6</v>
      </c>
    </row>
    <row r="176" spans="1:251" x14ac:dyDescent="0.2">
      <c r="A176" s="10">
        <v>32843</v>
      </c>
      <c r="B176" s="8">
        <v>38.35</v>
      </c>
      <c r="C176" s="8">
        <v>36.15</v>
      </c>
      <c r="D176" s="8">
        <v>36.35</v>
      </c>
      <c r="E176" s="8">
        <v>31.15</v>
      </c>
      <c r="F176" s="8">
        <v>37.31</v>
      </c>
      <c r="G176" s="8">
        <v>51.96</v>
      </c>
      <c r="H176" s="8">
        <v>47.3</v>
      </c>
      <c r="I176" s="8">
        <v>40.9</v>
      </c>
      <c r="J176" s="8">
        <v>33.36</v>
      </c>
      <c r="K176" s="8">
        <v>42.7</v>
      </c>
      <c r="L176" s="8">
        <v>23.81</v>
      </c>
      <c r="M176" s="8">
        <v>78.92</v>
      </c>
      <c r="N176" s="8">
        <v>34.35</v>
      </c>
      <c r="O176" s="8">
        <v>47.47</v>
      </c>
      <c r="P176" s="8">
        <v>37.79</v>
      </c>
      <c r="Q176" s="8">
        <v>37.61</v>
      </c>
      <c r="R176" s="8">
        <v>36.82</v>
      </c>
      <c r="S176" s="8">
        <v>41.3</v>
      </c>
      <c r="T176" s="8">
        <v>38.44</v>
      </c>
      <c r="U176" s="8">
        <v>33.549999999999997</v>
      </c>
      <c r="V176" s="8">
        <v>41.84</v>
      </c>
      <c r="W176" s="8">
        <v>34.200000000000003</v>
      </c>
      <c r="X176" s="8">
        <v>30.93</v>
      </c>
      <c r="Y176" s="8">
        <v>37.35</v>
      </c>
      <c r="Z176" s="8">
        <v>51.48</v>
      </c>
      <c r="AA176" s="8">
        <v>30.33</v>
      </c>
      <c r="AB176" s="8">
        <v>32.119999999999997</v>
      </c>
      <c r="AC176" s="8">
        <v>48.96</v>
      </c>
      <c r="AD176" s="8">
        <v>39.729999999999997</v>
      </c>
      <c r="AE176" s="8">
        <v>44.59</v>
      </c>
      <c r="AF176" s="8">
        <v>38.47</v>
      </c>
      <c r="AG176" s="8">
        <v>32.22</v>
      </c>
      <c r="AH176" s="8">
        <v>33.04</v>
      </c>
      <c r="AI176" s="8">
        <v>30.83</v>
      </c>
      <c r="AJ176" s="8">
        <v>14.51</v>
      </c>
      <c r="AK176" s="8">
        <v>35.22</v>
      </c>
      <c r="AL176" s="8">
        <v>29.41</v>
      </c>
      <c r="AM176" s="8">
        <v>58.16</v>
      </c>
      <c r="AN176" s="8">
        <v>26.92</v>
      </c>
      <c r="AO176" s="8">
        <v>3.31</v>
      </c>
      <c r="AP176" s="8">
        <v>3.31</v>
      </c>
      <c r="AQ176" s="8">
        <v>90.04</v>
      </c>
      <c r="AR176" s="8">
        <v>104.59</v>
      </c>
      <c r="AS176" s="8">
        <v>100.77</v>
      </c>
      <c r="AT176" s="8">
        <v>111.42</v>
      </c>
      <c r="AU176" s="8">
        <v>88.93</v>
      </c>
      <c r="AV176" s="8">
        <v>111.64</v>
      </c>
      <c r="AW176" s="8">
        <v>118.87</v>
      </c>
      <c r="AX176" s="8">
        <v>109.89</v>
      </c>
      <c r="AY176" s="8">
        <v>101.78</v>
      </c>
      <c r="BB176" s="8">
        <v>29.21</v>
      </c>
      <c r="BC176" s="8">
        <v>36.75</v>
      </c>
      <c r="BD176" s="8">
        <v>36.32</v>
      </c>
      <c r="BE176" s="8">
        <v>36.32</v>
      </c>
      <c r="BI176" s="8">
        <v>35.590000000000003</v>
      </c>
      <c r="BK176" s="8">
        <v>22.58</v>
      </c>
      <c r="BM176" s="8">
        <v>24.12</v>
      </c>
      <c r="BN176" s="8">
        <v>17.239999999999998</v>
      </c>
      <c r="BO176" s="8">
        <v>62.03</v>
      </c>
      <c r="BP176" s="8">
        <v>57.88</v>
      </c>
      <c r="BQ176" s="8">
        <v>61.69</v>
      </c>
      <c r="BR176" s="8">
        <v>43.98</v>
      </c>
      <c r="BS176" s="8">
        <v>105.29</v>
      </c>
      <c r="BT176" s="8">
        <v>105.29</v>
      </c>
      <c r="BU176" s="8">
        <v>97.28</v>
      </c>
      <c r="BV176" s="8">
        <v>98.35</v>
      </c>
      <c r="BW176" s="8">
        <v>112.18</v>
      </c>
      <c r="BX176" s="8">
        <v>116.55</v>
      </c>
      <c r="BY176" s="8">
        <v>69.7</v>
      </c>
      <c r="BZ176" s="8">
        <v>61.23</v>
      </c>
      <c r="CA176" s="8">
        <v>64</v>
      </c>
      <c r="CB176" s="8">
        <v>70.12</v>
      </c>
      <c r="CC176" s="8">
        <v>51.53</v>
      </c>
      <c r="CD176" s="8">
        <v>24.47</v>
      </c>
      <c r="CE176" s="8">
        <v>31.56</v>
      </c>
      <c r="CF176" s="8">
        <v>29.7</v>
      </c>
      <c r="CG176" s="8">
        <v>21.74</v>
      </c>
      <c r="CH176" s="8">
        <v>20.21</v>
      </c>
      <c r="CI176" s="8">
        <v>48.44</v>
      </c>
      <c r="CJ176" s="8">
        <v>46.48</v>
      </c>
      <c r="CK176" s="8">
        <v>59.49</v>
      </c>
      <c r="CL176" s="8">
        <v>15.8</v>
      </c>
      <c r="CM176" s="8">
        <v>14.54</v>
      </c>
      <c r="CN176" s="8">
        <v>25.87</v>
      </c>
      <c r="CO176" s="8">
        <v>43.58</v>
      </c>
      <c r="CP176" s="8">
        <v>44.77</v>
      </c>
      <c r="CQ176" s="8">
        <v>96.4</v>
      </c>
      <c r="CR176" s="8">
        <v>48.55</v>
      </c>
      <c r="CS176" s="8">
        <v>30.52</v>
      </c>
      <c r="CT176" s="8">
        <v>39.590000000000003</v>
      </c>
      <c r="CU176" s="8">
        <v>23.34</v>
      </c>
      <c r="CV176" s="8">
        <v>30.86</v>
      </c>
      <c r="CW176" s="8">
        <v>30.86</v>
      </c>
      <c r="CX176" s="8">
        <v>110.03</v>
      </c>
      <c r="CY176" s="8">
        <v>110.03</v>
      </c>
      <c r="CZ176" s="8">
        <v>33.729999999999997</v>
      </c>
      <c r="DA176" s="8">
        <v>117.16</v>
      </c>
      <c r="DB176" s="8">
        <v>58.02</v>
      </c>
      <c r="DC176" s="8">
        <v>308.01</v>
      </c>
      <c r="DD176" s="8">
        <v>1895.17</v>
      </c>
      <c r="DE176" s="8">
        <v>81.25</v>
      </c>
      <c r="DF176" s="8">
        <v>36.520000000000003</v>
      </c>
      <c r="DI176" s="8">
        <v>44.18</v>
      </c>
      <c r="DJ176" s="8">
        <v>38.76</v>
      </c>
      <c r="DK176" s="8">
        <v>45.35</v>
      </c>
      <c r="DL176" s="8">
        <v>36.6</v>
      </c>
      <c r="DO176" s="8">
        <v>34.71</v>
      </c>
      <c r="DP176" s="8">
        <v>21.37</v>
      </c>
      <c r="DS176" s="8">
        <v>15.91</v>
      </c>
      <c r="DT176" s="8">
        <v>15.91</v>
      </c>
      <c r="DY176" s="8">
        <v>14.28</v>
      </c>
      <c r="DZ176" s="8">
        <v>14.28</v>
      </c>
      <c r="ED176" s="9">
        <v>1.9</v>
      </c>
      <c r="EE176" s="9">
        <v>0.3</v>
      </c>
      <c r="EF176" s="9">
        <v>1.8</v>
      </c>
      <c r="EG176" s="9">
        <v>2.5</v>
      </c>
      <c r="EH176" s="9">
        <v>1.2</v>
      </c>
      <c r="EI176" s="9">
        <v>2.9</v>
      </c>
      <c r="EJ176" s="9">
        <v>0.3</v>
      </c>
      <c r="EK176" s="9">
        <v>0.1</v>
      </c>
      <c r="EL176" s="9">
        <v>-0.7</v>
      </c>
      <c r="EM176" s="9">
        <v>3.2</v>
      </c>
      <c r="EN176" s="9">
        <v>-2.7</v>
      </c>
      <c r="EO176" s="9">
        <v>2.9</v>
      </c>
      <c r="EP176" s="9">
        <v>2.7</v>
      </c>
      <c r="EQ176" s="9">
        <v>-3.8</v>
      </c>
      <c r="ER176" s="9">
        <v>2.8</v>
      </c>
      <c r="ES176" s="9">
        <v>1.7</v>
      </c>
      <c r="ET176" s="9">
        <v>4.8</v>
      </c>
      <c r="EU176" s="9">
        <v>5.5</v>
      </c>
      <c r="EV176" s="9">
        <v>-7.5</v>
      </c>
      <c r="EW176" s="9">
        <v>-3.5</v>
      </c>
      <c r="EX176" s="9">
        <v>-9.6999999999999993</v>
      </c>
      <c r="EY176" s="9">
        <v>2.2999999999999998</v>
      </c>
      <c r="EZ176" s="9">
        <v>-0.7</v>
      </c>
      <c r="FA176" s="9">
        <v>2.9</v>
      </c>
      <c r="FB176" s="9">
        <v>3.3</v>
      </c>
      <c r="FC176" s="9">
        <v>3.6</v>
      </c>
      <c r="FD176" s="9">
        <v>2.4</v>
      </c>
      <c r="FE176" s="9">
        <v>4.4000000000000004</v>
      </c>
      <c r="FF176" s="9">
        <v>2.4</v>
      </c>
      <c r="FG176" s="9">
        <v>-1.3</v>
      </c>
      <c r="FH176" s="9">
        <v>2.4</v>
      </c>
      <c r="FI176" s="9">
        <v>1.4</v>
      </c>
      <c r="FJ176" s="9">
        <v>0.5</v>
      </c>
      <c r="FK176" s="9">
        <v>2.2999999999999998</v>
      </c>
      <c r="FL176" s="9">
        <v>2</v>
      </c>
      <c r="FM176" s="9">
        <v>1.4</v>
      </c>
      <c r="FN176" s="9">
        <v>1.8</v>
      </c>
      <c r="FO176" s="9">
        <v>-0.4</v>
      </c>
      <c r="FP176" s="9">
        <v>1.9</v>
      </c>
      <c r="FQ176" s="9">
        <v>3.4</v>
      </c>
      <c r="FR176" s="9">
        <v>3.4</v>
      </c>
      <c r="FS176" s="9">
        <v>2</v>
      </c>
      <c r="FT176" s="9">
        <v>2.2000000000000002</v>
      </c>
      <c r="FU176" s="9">
        <v>1.5</v>
      </c>
      <c r="FV176" s="9">
        <v>2.6</v>
      </c>
      <c r="FW176" s="9">
        <v>2.2999999999999998</v>
      </c>
      <c r="FX176" s="9">
        <v>1.1000000000000001</v>
      </c>
      <c r="FY176" s="9">
        <v>3.3</v>
      </c>
      <c r="FZ176" s="9">
        <v>-0.4</v>
      </c>
      <c r="GA176" s="9">
        <v>1.4</v>
      </c>
      <c r="GD176" s="9">
        <v>2.9</v>
      </c>
      <c r="GE176" s="9">
        <v>3.4</v>
      </c>
      <c r="GF176" s="9">
        <v>1.7</v>
      </c>
      <c r="GG176" s="9">
        <v>1.7</v>
      </c>
      <c r="GK176" s="9">
        <v>1.7</v>
      </c>
      <c r="GM176" s="9">
        <v>1</v>
      </c>
      <c r="GO176" s="9">
        <v>0.6</v>
      </c>
      <c r="GP176" s="9">
        <v>2.1</v>
      </c>
      <c r="GQ176" s="9">
        <v>1.5</v>
      </c>
      <c r="GR176" s="9">
        <v>2.4</v>
      </c>
      <c r="GS176" s="9">
        <v>2.4</v>
      </c>
      <c r="GT176" s="9">
        <v>2.2000000000000002</v>
      </c>
      <c r="GU176" s="9">
        <v>1.4</v>
      </c>
      <c r="GV176" s="9">
        <v>1.4</v>
      </c>
      <c r="GW176" s="9">
        <v>1.1000000000000001</v>
      </c>
      <c r="GX176" s="9">
        <v>1.3</v>
      </c>
      <c r="GY176" s="9">
        <v>1.3</v>
      </c>
      <c r="GZ176" s="9">
        <v>-0.3</v>
      </c>
      <c r="HA176" s="9">
        <v>2.1</v>
      </c>
      <c r="HB176" s="9">
        <v>0.9</v>
      </c>
      <c r="HC176" s="9">
        <v>3.6</v>
      </c>
      <c r="HD176" s="9">
        <v>0.4</v>
      </c>
      <c r="HE176" s="9">
        <v>0.1</v>
      </c>
      <c r="HF176" s="9">
        <v>1.2</v>
      </c>
      <c r="HG176" s="9">
        <v>0.5</v>
      </c>
      <c r="HH176" s="9">
        <v>1.9</v>
      </c>
      <c r="HI176" s="9">
        <v>1.2</v>
      </c>
      <c r="HJ176" s="9">
        <v>0.6</v>
      </c>
      <c r="HK176" s="9">
        <v>-4.9000000000000004</v>
      </c>
      <c r="HL176" s="9">
        <v>-6.2</v>
      </c>
      <c r="HM176" s="9">
        <v>0.5</v>
      </c>
      <c r="HN176" s="9">
        <v>2.1</v>
      </c>
      <c r="HO176" s="9">
        <v>2.2999999999999998</v>
      </c>
      <c r="HP176" s="9">
        <v>1.9</v>
      </c>
      <c r="HQ176" s="9">
        <v>2.4</v>
      </c>
      <c r="HR176" s="9">
        <v>2.4</v>
      </c>
      <c r="HS176" s="9">
        <v>1.7</v>
      </c>
      <c r="HT176" s="9">
        <v>0.2</v>
      </c>
      <c r="HU176" s="9">
        <v>4.7</v>
      </c>
      <c r="HV176" s="9">
        <v>2</v>
      </c>
      <c r="HW176" s="9">
        <v>2.2000000000000002</v>
      </c>
      <c r="HX176" s="9">
        <v>1.7</v>
      </c>
      <c r="HY176" s="9">
        <v>1.7</v>
      </c>
      <c r="HZ176" s="9">
        <v>0.9</v>
      </c>
      <c r="IA176" s="9">
        <v>0.9</v>
      </c>
      <c r="IB176" s="9">
        <v>3.5</v>
      </c>
      <c r="IC176" s="9">
        <v>0.5</v>
      </c>
      <c r="ID176" s="9">
        <v>3</v>
      </c>
      <c r="IE176" s="9">
        <v>0.9</v>
      </c>
      <c r="IF176" s="9">
        <v>-1.5</v>
      </c>
      <c r="IG176" s="9">
        <v>0.9</v>
      </c>
      <c r="IH176" s="9">
        <v>0.4</v>
      </c>
      <c r="IK176" s="9">
        <v>6.6</v>
      </c>
      <c r="IL176" s="9">
        <v>6.5</v>
      </c>
      <c r="IM176" s="9">
        <v>6.7</v>
      </c>
      <c r="IN176" s="9">
        <v>0.1</v>
      </c>
      <c r="IQ176" s="9">
        <v>-0.3</v>
      </c>
    </row>
    <row r="177" spans="1:251" x14ac:dyDescent="0.2">
      <c r="A177" s="10">
        <v>32933</v>
      </c>
      <c r="B177" s="8">
        <v>39.01</v>
      </c>
      <c r="C177" s="8">
        <v>36.22</v>
      </c>
      <c r="D177" s="8">
        <v>37.200000000000003</v>
      </c>
      <c r="E177" s="8">
        <v>31.75</v>
      </c>
      <c r="F177" s="8">
        <v>38.26</v>
      </c>
      <c r="G177" s="8">
        <v>53.37</v>
      </c>
      <c r="H177" s="8">
        <v>48.16</v>
      </c>
      <c r="I177" s="8">
        <v>41.44</v>
      </c>
      <c r="J177" s="8">
        <v>33.97</v>
      </c>
      <c r="K177" s="8">
        <v>42.66</v>
      </c>
      <c r="L177" s="8">
        <v>24.83</v>
      </c>
      <c r="M177" s="8">
        <v>78.22</v>
      </c>
      <c r="N177" s="8">
        <v>34.9</v>
      </c>
      <c r="O177" s="8">
        <v>47.13</v>
      </c>
      <c r="P177" s="8">
        <v>38.630000000000003</v>
      </c>
      <c r="Q177" s="8">
        <v>38.26</v>
      </c>
      <c r="R177" s="8">
        <v>38.17</v>
      </c>
      <c r="S177" s="8">
        <v>41.34</v>
      </c>
      <c r="T177" s="8">
        <v>34.26</v>
      </c>
      <c r="U177" s="8">
        <v>34.869999999999997</v>
      </c>
      <c r="V177" s="8">
        <v>33.729999999999997</v>
      </c>
      <c r="W177" s="8">
        <v>35.17</v>
      </c>
      <c r="X177" s="8">
        <v>30.34</v>
      </c>
      <c r="Y177" s="8">
        <v>38.11</v>
      </c>
      <c r="Z177" s="8">
        <v>51.85</v>
      </c>
      <c r="AA177" s="8">
        <v>30.2</v>
      </c>
      <c r="AB177" s="8">
        <v>33.06</v>
      </c>
      <c r="AC177" s="8">
        <v>49.01</v>
      </c>
      <c r="AD177" s="8">
        <v>40.25</v>
      </c>
      <c r="AE177" s="8">
        <v>45.77</v>
      </c>
      <c r="AF177" s="8">
        <v>38.97</v>
      </c>
      <c r="AG177" s="8">
        <v>32.94</v>
      </c>
      <c r="AH177" s="8">
        <v>33.78</v>
      </c>
      <c r="AI177" s="8">
        <v>31.54</v>
      </c>
      <c r="AJ177" s="8">
        <v>14.83</v>
      </c>
      <c r="AK177" s="8">
        <v>35.82</v>
      </c>
      <c r="AL177" s="8">
        <v>29.98</v>
      </c>
      <c r="AM177" s="8">
        <v>57.99</v>
      </c>
      <c r="AN177" s="8">
        <v>27.55</v>
      </c>
      <c r="AO177" s="8">
        <v>3.42</v>
      </c>
      <c r="AP177" s="8">
        <v>3.42</v>
      </c>
      <c r="AQ177" s="8">
        <v>90.13</v>
      </c>
      <c r="AR177" s="8">
        <v>104.49</v>
      </c>
      <c r="AS177" s="8">
        <v>100.56</v>
      </c>
      <c r="AT177" s="8">
        <v>111.75</v>
      </c>
      <c r="AU177" s="8">
        <v>87.52</v>
      </c>
      <c r="AV177" s="8">
        <v>111.75</v>
      </c>
      <c r="AW177" s="8">
        <v>118.64</v>
      </c>
      <c r="AX177" s="8">
        <v>110.11</v>
      </c>
      <c r="AY177" s="8">
        <v>102.09</v>
      </c>
      <c r="BB177" s="8">
        <v>29.92</v>
      </c>
      <c r="BC177" s="8">
        <v>37.49</v>
      </c>
      <c r="BD177" s="8">
        <v>36.72</v>
      </c>
      <c r="BE177" s="8">
        <v>36.72</v>
      </c>
      <c r="BI177" s="8">
        <v>35.99</v>
      </c>
      <c r="BK177" s="8">
        <v>22.65</v>
      </c>
      <c r="BM177" s="8">
        <v>24.14</v>
      </c>
      <c r="BN177" s="8">
        <v>17.41</v>
      </c>
      <c r="BO177" s="8">
        <v>62.97</v>
      </c>
      <c r="BP177" s="8">
        <v>59.11</v>
      </c>
      <c r="BQ177" s="8">
        <v>63</v>
      </c>
      <c r="BR177" s="8">
        <v>44.96</v>
      </c>
      <c r="BS177" s="8">
        <v>106.25</v>
      </c>
      <c r="BT177" s="8">
        <v>106.25</v>
      </c>
      <c r="BU177" s="8">
        <v>97.97</v>
      </c>
      <c r="BV177" s="8">
        <v>97.86</v>
      </c>
      <c r="BW177" s="8">
        <v>111.63</v>
      </c>
      <c r="BX177" s="8">
        <v>120.49</v>
      </c>
      <c r="BY177" s="8">
        <v>69.84</v>
      </c>
      <c r="BZ177" s="8">
        <v>62.35</v>
      </c>
      <c r="CA177" s="8">
        <v>64.64</v>
      </c>
      <c r="CB177" s="8">
        <v>71.900000000000006</v>
      </c>
      <c r="CC177" s="8">
        <v>51.84</v>
      </c>
      <c r="CD177" s="8">
        <v>24.86</v>
      </c>
      <c r="CE177" s="8">
        <v>33.35</v>
      </c>
      <c r="CF177" s="8">
        <v>30.42</v>
      </c>
      <c r="CG177" s="8">
        <v>22.09</v>
      </c>
      <c r="CH177" s="8">
        <v>21.09</v>
      </c>
      <c r="CI177" s="8">
        <v>55.7</v>
      </c>
      <c r="CJ177" s="8">
        <v>55.12</v>
      </c>
      <c r="CK177" s="8">
        <v>60.21</v>
      </c>
      <c r="CL177" s="8">
        <v>16.05</v>
      </c>
      <c r="CM177" s="8">
        <v>14.76</v>
      </c>
      <c r="CN177" s="8">
        <v>26.37</v>
      </c>
      <c r="CO177" s="8">
        <v>44.73</v>
      </c>
      <c r="CP177" s="8">
        <v>45.99</v>
      </c>
      <c r="CQ177" s="8">
        <v>97.36</v>
      </c>
      <c r="CR177" s="8">
        <v>49.44</v>
      </c>
      <c r="CS177" s="8">
        <v>32.479999999999997</v>
      </c>
      <c r="CT177" s="8">
        <v>40.270000000000003</v>
      </c>
      <c r="CU177" s="8">
        <v>23.53</v>
      </c>
      <c r="CV177" s="8">
        <v>31.17</v>
      </c>
      <c r="CW177" s="8">
        <v>31.17</v>
      </c>
      <c r="CX177" s="8">
        <v>110.25</v>
      </c>
      <c r="CY177" s="8">
        <v>110.25</v>
      </c>
      <c r="CZ177" s="8">
        <v>33.97</v>
      </c>
      <c r="DA177" s="8">
        <v>117.4</v>
      </c>
      <c r="DB177" s="8">
        <v>58.48</v>
      </c>
      <c r="DC177" s="8">
        <v>309.86</v>
      </c>
      <c r="DD177" s="8">
        <v>1850.31</v>
      </c>
      <c r="DE177" s="8">
        <v>81.739999999999995</v>
      </c>
      <c r="DF177" s="8">
        <v>37.409999999999997</v>
      </c>
      <c r="DI177" s="8">
        <v>44.14</v>
      </c>
      <c r="DJ177" s="8">
        <v>38.72</v>
      </c>
      <c r="DK177" s="8">
        <v>45.35</v>
      </c>
      <c r="DL177" s="8">
        <v>38.520000000000003</v>
      </c>
      <c r="DO177" s="8">
        <v>36.869999999999997</v>
      </c>
      <c r="DP177" s="8">
        <v>22.4</v>
      </c>
      <c r="DS177" s="8">
        <v>18.16</v>
      </c>
      <c r="DT177" s="8">
        <v>18.16</v>
      </c>
      <c r="DY177" s="8">
        <v>14.44</v>
      </c>
      <c r="DZ177" s="8">
        <v>14.44</v>
      </c>
      <c r="ED177" s="9">
        <v>1.7</v>
      </c>
      <c r="EE177" s="9">
        <v>0.2</v>
      </c>
      <c r="EF177" s="9">
        <v>2.2999999999999998</v>
      </c>
      <c r="EG177" s="9">
        <v>1.9</v>
      </c>
      <c r="EH177" s="9">
        <v>2.5</v>
      </c>
      <c r="EI177" s="9">
        <v>2.7</v>
      </c>
      <c r="EJ177" s="9">
        <v>1.8</v>
      </c>
      <c r="EK177" s="9">
        <v>1.3</v>
      </c>
      <c r="EL177" s="9">
        <v>1.8</v>
      </c>
      <c r="EM177" s="9">
        <v>-0.1</v>
      </c>
      <c r="EN177" s="9">
        <v>4.3</v>
      </c>
      <c r="EO177" s="9">
        <v>-0.9</v>
      </c>
      <c r="EP177" s="9">
        <v>1.6</v>
      </c>
      <c r="EQ177" s="9">
        <v>-0.7</v>
      </c>
      <c r="ER177" s="9">
        <v>2.2000000000000002</v>
      </c>
      <c r="ES177" s="9">
        <v>1.7</v>
      </c>
      <c r="ET177" s="9">
        <v>3.7</v>
      </c>
      <c r="EU177" s="9">
        <v>0.1</v>
      </c>
      <c r="EV177" s="9">
        <v>-10.9</v>
      </c>
      <c r="EW177" s="9">
        <v>3.9</v>
      </c>
      <c r="EX177" s="9">
        <v>-19.399999999999999</v>
      </c>
      <c r="EY177" s="9">
        <v>2.8</v>
      </c>
      <c r="EZ177" s="9">
        <v>-1.9</v>
      </c>
      <c r="FA177" s="9">
        <v>2</v>
      </c>
      <c r="FB177" s="9">
        <v>0.7</v>
      </c>
      <c r="FC177" s="9">
        <v>-0.4</v>
      </c>
      <c r="FD177" s="9">
        <v>2.9</v>
      </c>
      <c r="FE177" s="9">
        <v>0.1</v>
      </c>
      <c r="FF177" s="9">
        <v>1.3</v>
      </c>
      <c r="FG177" s="9">
        <v>2.6</v>
      </c>
      <c r="FH177" s="9">
        <v>1.3</v>
      </c>
      <c r="FI177" s="9">
        <v>2.2000000000000002</v>
      </c>
      <c r="FJ177" s="9">
        <v>2.2000000000000002</v>
      </c>
      <c r="FK177" s="9">
        <v>2.2999999999999998</v>
      </c>
      <c r="FL177" s="9">
        <v>2.2000000000000002</v>
      </c>
      <c r="FM177" s="9">
        <v>1.7</v>
      </c>
      <c r="FN177" s="9">
        <v>1.9</v>
      </c>
      <c r="FO177" s="9">
        <v>-0.3</v>
      </c>
      <c r="FP177" s="9">
        <v>2.2999999999999998</v>
      </c>
      <c r="FQ177" s="9">
        <v>3.3</v>
      </c>
      <c r="FR177" s="9">
        <v>3.3</v>
      </c>
      <c r="FS177" s="9">
        <v>0.1</v>
      </c>
      <c r="FT177" s="9">
        <v>-0.1</v>
      </c>
      <c r="FU177" s="9">
        <v>-0.2</v>
      </c>
      <c r="FV177" s="9">
        <v>0.3</v>
      </c>
      <c r="FW177" s="9">
        <v>-1.6</v>
      </c>
      <c r="FX177" s="9">
        <v>0.1</v>
      </c>
      <c r="FY177" s="9">
        <v>-0.2</v>
      </c>
      <c r="FZ177" s="9">
        <v>0.2</v>
      </c>
      <c r="GA177" s="9">
        <v>0.3</v>
      </c>
      <c r="GD177" s="9">
        <v>2.4</v>
      </c>
      <c r="GE177" s="9">
        <v>2</v>
      </c>
      <c r="GF177" s="9">
        <v>1.1000000000000001</v>
      </c>
      <c r="GG177" s="9">
        <v>1.1000000000000001</v>
      </c>
      <c r="GK177" s="9">
        <v>1.1000000000000001</v>
      </c>
      <c r="GM177" s="9">
        <v>0.3</v>
      </c>
      <c r="GO177" s="9">
        <v>0.1</v>
      </c>
      <c r="GP177" s="9">
        <v>1</v>
      </c>
      <c r="GQ177" s="9">
        <v>1.5</v>
      </c>
      <c r="GR177" s="9">
        <v>2.1</v>
      </c>
      <c r="GS177" s="9">
        <v>2.1</v>
      </c>
      <c r="GT177" s="9">
        <v>2.2000000000000002</v>
      </c>
      <c r="GU177" s="9">
        <v>0.9</v>
      </c>
      <c r="GV177" s="9">
        <v>0.9</v>
      </c>
      <c r="GW177" s="9">
        <v>0.7</v>
      </c>
      <c r="GX177" s="9">
        <v>-0.5</v>
      </c>
      <c r="GY177" s="9">
        <v>-0.5</v>
      </c>
      <c r="GZ177" s="9">
        <v>3.4</v>
      </c>
      <c r="HA177" s="9">
        <v>0.2</v>
      </c>
      <c r="HB177" s="9">
        <v>1.8</v>
      </c>
      <c r="HC177" s="9">
        <v>1</v>
      </c>
      <c r="HD177" s="9">
        <v>2.5</v>
      </c>
      <c r="HE177" s="9">
        <v>0.6</v>
      </c>
      <c r="HF177" s="9">
        <v>1.6</v>
      </c>
      <c r="HG177" s="9">
        <v>5.7</v>
      </c>
      <c r="HH177" s="9">
        <v>2.4</v>
      </c>
      <c r="HI177" s="9">
        <v>1.6</v>
      </c>
      <c r="HJ177" s="9">
        <v>4.4000000000000004</v>
      </c>
      <c r="HK177" s="9">
        <v>15</v>
      </c>
      <c r="HL177" s="9">
        <v>18.600000000000001</v>
      </c>
      <c r="HM177" s="9">
        <v>1.2</v>
      </c>
      <c r="HN177" s="9">
        <v>1.6</v>
      </c>
      <c r="HO177" s="9">
        <v>1.5</v>
      </c>
      <c r="HP177" s="9">
        <v>1.9</v>
      </c>
      <c r="HQ177" s="9">
        <v>2.6</v>
      </c>
      <c r="HR177" s="9">
        <v>2.7</v>
      </c>
      <c r="HS177" s="9">
        <v>1</v>
      </c>
      <c r="HT177" s="9">
        <v>1.8</v>
      </c>
      <c r="HU177" s="9">
        <v>6.4</v>
      </c>
      <c r="HV177" s="9">
        <v>1.7</v>
      </c>
      <c r="HW177" s="9">
        <v>0.8</v>
      </c>
      <c r="HX177" s="9">
        <v>1</v>
      </c>
      <c r="HY177" s="9">
        <v>1</v>
      </c>
      <c r="HZ177" s="9">
        <v>0.2</v>
      </c>
      <c r="IA177" s="9">
        <v>0.2</v>
      </c>
      <c r="IB177" s="9">
        <v>0.7</v>
      </c>
      <c r="IC177" s="9">
        <v>0.2</v>
      </c>
      <c r="ID177" s="9">
        <v>0.8</v>
      </c>
      <c r="IE177" s="9">
        <v>0.6</v>
      </c>
      <c r="IF177" s="9">
        <v>-2.4</v>
      </c>
      <c r="IG177" s="9">
        <v>0.6</v>
      </c>
      <c r="IH177" s="9">
        <v>2.4</v>
      </c>
      <c r="IK177" s="9">
        <v>-0.1</v>
      </c>
      <c r="IL177" s="9">
        <v>-0.1</v>
      </c>
      <c r="IM177" s="9">
        <v>0</v>
      </c>
      <c r="IN177" s="9">
        <v>5.2</v>
      </c>
      <c r="IQ177" s="9">
        <v>6.2</v>
      </c>
    </row>
    <row r="178" spans="1:251" x14ac:dyDescent="0.2">
      <c r="A178" s="10">
        <v>33025</v>
      </c>
      <c r="B178" s="8">
        <v>39.630000000000003</v>
      </c>
      <c r="C178" s="8">
        <v>37.21</v>
      </c>
      <c r="D178" s="8">
        <v>38.04</v>
      </c>
      <c r="E178" s="8">
        <v>32.22</v>
      </c>
      <c r="F178" s="8">
        <v>39.71</v>
      </c>
      <c r="G178" s="8">
        <v>53.47</v>
      </c>
      <c r="H178" s="8">
        <v>48.3</v>
      </c>
      <c r="I178" s="8">
        <v>41.93</v>
      </c>
      <c r="J178" s="8">
        <v>34.79</v>
      </c>
      <c r="K178" s="8">
        <v>42.83</v>
      </c>
      <c r="L178" s="8">
        <v>25.92</v>
      </c>
      <c r="M178" s="8">
        <v>78.14</v>
      </c>
      <c r="N178" s="8">
        <v>35.1</v>
      </c>
      <c r="O178" s="8">
        <v>46.28</v>
      </c>
      <c r="P178" s="8">
        <v>39.32</v>
      </c>
      <c r="Q178" s="8">
        <v>38.67</v>
      </c>
      <c r="R178" s="8">
        <v>39.4</v>
      </c>
      <c r="S178" s="8">
        <v>42.9</v>
      </c>
      <c r="T178" s="8">
        <v>37.56</v>
      </c>
      <c r="U178" s="8">
        <v>35.74</v>
      </c>
      <c r="V178" s="8">
        <v>38.75</v>
      </c>
      <c r="W178" s="8">
        <v>35.51</v>
      </c>
      <c r="X178" s="8">
        <v>30.47</v>
      </c>
      <c r="Y178" s="8">
        <v>38.56</v>
      </c>
      <c r="Z178" s="8">
        <v>53.97</v>
      </c>
      <c r="AA178" s="8">
        <v>30.78</v>
      </c>
      <c r="AB178" s="8">
        <v>33.39</v>
      </c>
      <c r="AC178" s="8">
        <v>49.25</v>
      </c>
      <c r="AD178" s="8">
        <v>41.53</v>
      </c>
      <c r="AE178" s="8">
        <v>46.13</v>
      </c>
      <c r="AF178" s="8">
        <v>40.22</v>
      </c>
      <c r="AG178" s="8">
        <v>33.69</v>
      </c>
      <c r="AH178" s="8">
        <v>34.619999999999997</v>
      </c>
      <c r="AI178" s="8">
        <v>32.17</v>
      </c>
      <c r="AJ178" s="8">
        <v>15.1</v>
      </c>
      <c r="AK178" s="8">
        <v>36.39</v>
      </c>
      <c r="AL178" s="8">
        <v>30.9</v>
      </c>
      <c r="AM178" s="8">
        <v>57.58</v>
      </c>
      <c r="AN178" s="8">
        <v>28.04</v>
      </c>
      <c r="AO178" s="8">
        <v>3.5</v>
      </c>
      <c r="AP178" s="8">
        <v>3.5</v>
      </c>
      <c r="AQ178" s="8">
        <v>91.93</v>
      </c>
      <c r="AR178" s="8">
        <v>106.89</v>
      </c>
      <c r="AS178" s="8">
        <v>103.7</v>
      </c>
      <c r="AT178" s="8">
        <v>113.42</v>
      </c>
      <c r="AU178" s="8">
        <v>91.24</v>
      </c>
      <c r="AV178" s="8">
        <v>112.87</v>
      </c>
      <c r="AW178" s="8">
        <v>121.84</v>
      </c>
      <c r="AX178" s="8">
        <v>111</v>
      </c>
      <c r="AY178" s="8">
        <v>101.17</v>
      </c>
      <c r="BB178" s="8">
        <v>31.01</v>
      </c>
      <c r="BC178" s="8">
        <v>38.08</v>
      </c>
      <c r="BD178" s="8">
        <v>37.159999999999997</v>
      </c>
      <c r="BE178" s="8">
        <v>37.159999999999997</v>
      </c>
      <c r="BI178" s="8">
        <v>36.81</v>
      </c>
      <c r="BK178" s="8">
        <v>22.67</v>
      </c>
      <c r="BM178" s="8">
        <v>24.14</v>
      </c>
      <c r="BN178" s="8">
        <v>17.48</v>
      </c>
      <c r="BO178" s="8">
        <v>64.03</v>
      </c>
      <c r="BP178" s="8">
        <v>60.81</v>
      </c>
      <c r="BQ178" s="8">
        <v>65.319999999999993</v>
      </c>
      <c r="BR178" s="8">
        <v>45.35</v>
      </c>
      <c r="BS178" s="8">
        <v>108.36</v>
      </c>
      <c r="BT178" s="8">
        <v>108.36</v>
      </c>
      <c r="BU178" s="8">
        <v>98.84</v>
      </c>
      <c r="BV178" s="8">
        <v>98.05</v>
      </c>
      <c r="BW178" s="8">
        <v>111.85</v>
      </c>
      <c r="BX178" s="8">
        <v>122.75</v>
      </c>
      <c r="BY178" s="8">
        <v>70.540000000000006</v>
      </c>
      <c r="BZ178" s="8">
        <v>63.65</v>
      </c>
      <c r="CA178" s="8">
        <v>66.12</v>
      </c>
      <c r="CB178" s="8">
        <v>73.760000000000005</v>
      </c>
      <c r="CC178" s="8">
        <v>52.72</v>
      </c>
      <c r="CD178" s="8">
        <v>25.93</v>
      </c>
      <c r="CE178" s="8">
        <v>33.840000000000003</v>
      </c>
      <c r="CF178" s="8">
        <v>31.18</v>
      </c>
      <c r="CG178" s="8">
        <v>23.04</v>
      </c>
      <c r="CH178" s="8">
        <v>21.32</v>
      </c>
      <c r="CI178" s="8">
        <v>55.54</v>
      </c>
      <c r="CJ178" s="8">
        <v>54.76</v>
      </c>
      <c r="CK178" s="8">
        <v>60.93</v>
      </c>
      <c r="CL178" s="8">
        <v>16.27</v>
      </c>
      <c r="CM178" s="8">
        <v>14.93</v>
      </c>
      <c r="CN178" s="8">
        <v>27.03</v>
      </c>
      <c r="CO178" s="8">
        <v>44.99</v>
      </c>
      <c r="CP178" s="8">
        <v>46.26</v>
      </c>
      <c r="CQ178" s="8">
        <v>97.17</v>
      </c>
      <c r="CR178" s="8">
        <v>50.12</v>
      </c>
      <c r="CS178" s="8">
        <v>32.520000000000003</v>
      </c>
      <c r="CT178" s="8">
        <v>41.44</v>
      </c>
      <c r="CU178" s="8">
        <v>23.6</v>
      </c>
      <c r="CV178" s="8">
        <v>31.32</v>
      </c>
      <c r="CW178" s="8">
        <v>31.33</v>
      </c>
      <c r="CX178" s="8">
        <v>110.36</v>
      </c>
      <c r="CY178" s="8">
        <v>110.36</v>
      </c>
      <c r="CZ178" s="8">
        <v>34.07</v>
      </c>
      <c r="DA178" s="8">
        <v>117.4</v>
      </c>
      <c r="DB178" s="8">
        <v>59.12</v>
      </c>
      <c r="DC178" s="8">
        <v>313.57</v>
      </c>
      <c r="DD178" s="8">
        <v>1805.46</v>
      </c>
      <c r="DE178" s="8">
        <v>82.72</v>
      </c>
      <c r="DF178" s="8">
        <v>38.11</v>
      </c>
      <c r="DI178" s="8">
        <v>44.4</v>
      </c>
      <c r="DJ178" s="8">
        <v>38.72</v>
      </c>
      <c r="DK178" s="8">
        <v>45.76</v>
      </c>
      <c r="DL178" s="8">
        <v>39.43</v>
      </c>
      <c r="DO178" s="8">
        <v>37.92</v>
      </c>
      <c r="DP178" s="8">
        <v>22.68</v>
      </c>
      <c r="DS178" s="8">
        <v>18.16</v>
      </c>
      <c r="DT178" s="8">
        <v>18.16</v>
      </c>
      <c r="DY178" s="8">
        <v>14.61</v>
      </c>
      <c r="DZ178" s="8">
        <v>14.61</v>
      </c>
      <c r="ED178" s="9">
        <v>1.6</v>
      </c>
      <c r="EE178" s="9">
        <v>2.7</v>
      </c>
      <c r="EF178" s="9">
        <v>2.2999999999999998</v>
      </c>
      <c r="EG178" s="9">
        <v>1.5</v>
      </c>
      <c r="EH178" s="9">
        <v>3.8</v>
      </c>
      <c r="EI178" s="9">
        <v>0.2</v>
      </c>
      <c r="EJ178" s="9">
        <v>0.3</v>
      </c>
      <c r="EK178" s="9">
        <v>1.2</v>
      </c>
      <c r="EL178" s="9">
        <v>2.4</v>
      </c>
      <c r="EM178" s="9">
        <v>0.4</v>
      </c>
      <c r="EN178" s="9">
        <v>4.4000000000000004</v>
      </c>
      <c r="EO178" s="9">
        <v>-0.1</v>
      </c>
      <c r="EP178" s="9">
        <v>0.6</v>
      </c>
      <c r="EQ178" s="9">
        <v>-1.8</v>
      </c>
      <c r="ER178" s="9">
        <v>1.8</v>
      </c>
      <c r="ES178" s="9">
        <v>1.1000000000000001</v>
      </c>
      <c r="ET178" s="9">
        <v>3.2</v>
      </c>
      <c r="EU178" s="9">
        <v>3.8</v>
      </c>
      <c r="EV178" s="9">
        <v>9.6</v>
      </c>
      <c r="EW178" s="9">
        <v>2.5</v>
      </c>
      <c r="EX178" s="9">
        <v>14.9</v>
      </c>
      <c r="EY178" s="9">
        <v>1</v>
      </c>
      <c r="EZ178" s="9">
        <v>0.4</v>
      </c>
      <c r="FA178" s="9">
        <v>1.2</v>
      </c>
      <c r="FB178" s="9">
        <v>4.0999999999999996</v>
      </c>
      <c r="FC178" s="9">
        <v>1.9</v>
      </c>
      <c r="FD178" s="9">
        <v>1</v>
      </c>
      <c r="FE178" s="9">
        <v>0.5</v>
      </c>
      <c r="FF178" s="9">
        <v>3.2</v>
      </c>
      <c r="FG178" s="9">
        <v>0.8</v>
      </c>
      <c r="FH178" s="9">
        <v>3.2</v>
      </c>
      <c r="FI178" s="9">
        <v>2.2999999999999998</v>
      </c>
      <c r="FJ178" s="9">
        <v>2.5</v>
      </c>
      <c r="FK178" s="9">
        <v>2</v>
      </c>
      <c r="FL178" s="9">
        <v>1.8</v>
      </c>
      <c r="FM178" s="9">
        <v>1.6</v>
      </c>
      <c r="FN178" s="9">
        <v>3.1</v>
      </c>
      <c r="FO178" s="9">
        <v>-0.7</v>
      </c>
      <c r="FP178" s="9">
        <v>1.8</v>
      </c>
      <c r="FQ178" s="9">
        <v>2.2999999999999998</v>
      </c>
      <c r="FR178" s="9">
        <v>2.2999999999999998</v>
      </c>
      <c r="FS178" s="9">
        <v>2</v>
      </c>
      <c r="FT178" s="9">
        <v>2.2999999999999998</v>
      </c>
      <c r="FU178" s="9">
        <v>3.1</v>
      </c>
      <c r="FV178" s="9">
        <v>1.5</v>
      </c>
      <c r="FW178" s="9">
        <v>4.3</v>
      </c>
      <c r="FX178" s="9">
        <v>1</v>
      </c>
      <c r="FY178" s="9">
        <v>2.7</v>
      </c>
      <c r="FZ178" s="9">
        <v>0.8</v>
      </c>
      <c r="GA178" s="9">
        <v>-0.9</v>
      </c>
      <c r="GD178" s="9">
        <v>3.6</v>
      </c>
      <c r="GE178" s="9">
        <v>1.6</v>
      </c>
      <c r="GF178" s="9">
        <v>1.2</v>
      </c>
      <c r="GG178" s="9">
        <v>1.2</v>
      </c>
      <c r="GK178" s="9">
        <v>2.2999999999999998</v>
      </c>
      <c r="GM178" s="9">
        <v>0.1</v>
      </c>
      <c r="GO178" s="9">
        <v>0</v>
      </c>
      <c r="GP178" s="9">
        <v>0.4</v>
      </c>
      <c r="GQ178" s="9">
        <v>1.7</v>
      </c>
      <c r="GR178" s="9">
        <v>2.9</v>
      </c>
      <c r="GS178" s="9">
        <v>3.7</v>
      </c>
      <c r="GT178" s="9">
        <v>0.9</v>
      </c>
      <c r="GU178" s="9">
        <v>2</v>
      </c>
      <c r="GV178" s="9">
        <v>2</v>
      </c>
      <c r="GW178" s="9">
        <v>0.9</v>
      </c>
      <c r="GX178" s="9">
        <v>0.2</v>
      </c>
      <c r="GY178" s="9">
        <v>0.2</v>
      </c>
      <c r="GZ178" s="9">
        <v>1.9</v>
      </c>
      <c r="HA178" s="9">
        <v>1</v>
      </c>
      <c r="HB178" s="9">
        <v>2.1</v>
      </c>
      <c r="HC178" s="9">
        <v>2.2999999999999998</v>
      </c>
      <c r="HD178" s="9">
        <v>2.6</v>
      </c>
      <c r="HE178" s="9">
        <v>1.7</v>
      </c>
      <c r="HF178" s="9">
        <v>4.3</v>
      </c>
      <c r="HG178" s="9">
        <v>1.5</v>
      </c>
      <c r="HH178" s="9">
        <v>2.5</v>
      </c>
      <c r="HI178" s="9">
        <v>4.3</v>
      </c>
      <c r="HJ178" s="9">
        <v>1.1000000000000001</v>
      </c>
      <c r="HK178" s="9">
        <v>-0.3</v>
      </c>
      <c r="HL178" s="9">
        <v>-0.7</v>
      </c>
      <c r="HM178" s="9">
        <v>1.2</v>
      </c>
      <c r="HN178" s="9">
        <v>1.4</v>
      </c>
      <c r="HO178" s="9">
        <v>1.2</v>
      </c>
      <c r="HP178" s="9">
        <v>2.5</v>
      </c>
      <c r="HQ178" s="9">
        <v>0.6</v>
      </c>
      <c r="HR178" s="9">
        <v>0.6</v>
      </c>
      <c r="HS178" s="9">
        <v>-0.2</v>
      </c>
      <c r="HT178" s="9">
        <v>1.4</v>
      </c>
      <c r="HU178" s="9">
        <v>0.1</v>
      </c>
      <c r="HV178" s="9">
        <v>2.9</v>
      </c>
      <c r="HW178" s="9">
        <v>0.3</v>
      </c>
      <c r="HX178" s="9">
        <v>0.5</v>
      </c>
      <c r="HY178" s="9">
        <v>0.5</v>
      </c>
      <c r="HZ178" s="9">
        <v>0.1</v>
      </c>
      <c r="IA178" s="9">
        <v>0.1</v>
      </c>
      <c r="IB178" s="9">
        <v>0.3</v>
      </c>
      <c r="IC178" s="9">
        <v>0</v>
      </c>
      <c r="ID178" s="9">
        <v>1.1000000000000001</v>
      </c>
      <c r="IE178" s="9">
        <v>1.2</v>
      </c>
      <c r="IF178" s="9">
        <v>-2.4</v>
      </c>
      <c r="IG178" s="9">
        <v>1.2</v>
      </c>
      <c r="IH178" s="9">
        <v>1.9</v>
      </c>
      <c r="IK178" s="9">
        <v>0.6</v>
      </c>
      <c r="IL178" s="9">
        <v>0</v>
      </c>
      <c r="IM178" s="9">
        <v>0.9</v>
      </c>
      <c r="IN178" s="9">
        <v>2.4</v>
      </c>
      <c r="IQ178" s="9">
        <v>2.8</v>
      </c>
    </row>
    <row r="179" spans="1:251" x14ac:dyDescent="0.2">
      <c r="A179" s="10">
        <v>33117</v>
      </c>
      <c r="B179" s="8">
        <v>39.94</v>
      </c>
      <c r="C179" s="8">
        <v>36.950000000000003</v>
      </c>
      <c r="D179" s="8">
        <v>38.340000000000003</v>
      </c>
      <c r="E179" s="8">
        <v>32.5</v>
      </c>
      <c r="F179" s="8">
        <v>39.78</v>
      </c>
      <c r="G179" s="8">
        <v>55.25</v>
      </c>
      <c r="H179" s="8">
        <v>48.78</v>
      </c>
      <c r="I179" s="8">
        <v>41.68</v>
      </c>
      <c r="J179" s="8">
        <v>34.85</v>
      </c>
      <c r="K179" s="8">
        <v>42.28</v>
      </c>
      <c r="L179" s="8">
        <v>25.67</v>
      </c>
      <c r="M179" s="8">
        <v>75.489999999999995</v>
      </c>
      <c r="N179" s="8">
        <v>35</v>
      </c>
      <c r="O179" s="8">
        <v>46.66</v>
      </c>
      <c r="P179" s="8">
        <v>39.32</v>
      </c>
      <c r="Q179" s="8">
        <v>39.01</v>
      </c>
      <c r="R179" s="8">
        <v>38.950000000000003</v>
      </c>
      <c r="S179" s="8">
        <v>42.37</v>
      </c>
      <c r="T179" s="8">
        <v>34</v>
      </c>
      <c r="U179" s="8">
        <v>35.32</v>
      </c>
      <c r="V179" s="8">
        <v>32.97</v>
      </c>
      <c r="W179" s="8">
        <v>36.130000000000003</v>
      </c>
      <c r="X179" s="8">
        <v>30.9</v>
      </c>
      <c r="Y179" s="8">
        <v>39.909999999999997</v>
      </c>
      <c r="Z179" s="8">
        <v>54.96</v>
      </c>
      <c r="AA179" s="8">
        <v>31.02</v>
      </c>
      <c r="AB179" s="8">
        <v>34</v>
      </c>
      <c r="AC179" s="8">
        <v>49.98</v>
      </c>
      <c r="AD179" s="8">
        <v>41.41</v>
      </c>
      <c r="AE179" s="8">
        <v>46.13</v>
      </c>
      <c r="AF179" s="8">
        <v>40.1</v>
      </c>
      <c r="AG179" s="8">
        <v>33.979999999999997</v>
      </c>
      <c r="AH179" s="8">
        <v>34.82</v>
      </c>
      <c r="AI179" s="8">
        <v>32.54</v>
      </c>
      <c r="AJ179" s="8">
        <v>15.39</v>
      </c>
      <c r="AK179" s="8">
        <v>37.1</v>
      </c>
      <c r="AL179" s="8">
        <v>31.65</v>
      </c>
      <c r="AM179" s="8">
        <v>57.81</v>
      </c>
      <c r="AN179" s="8">
        <v>28.67</v>
      </c>
      <c r="AO179" s="8">
        <v>3.57</v>
      </c>
      <c r="AP179" s="8">
        <v>3.57</v>
      </c>
      <c r="AQ179" s="8">
        <v>92.56</v>
      </c>
      <c r="AR179" s="8">
        <v>107.42</v>
      </c>
      <c r="AS179" s="8">
        <v>104.71</v>
      </c>
      <c r="AT179" s="8">
        <v>113.53</v>
      </c>
      <c r="AU179" s="8">
        <v>91.95</v>
      </c>
      <c r="AV179" s="8">
        <v>113.32</v>
      </c>
      <c r="AW179" s="8">
        <v>123.5</v>
      </c>
      <c r="AX179" s="8">
        <v>110.89</v>
      </c>
      <c r="AY179" s="8">
        <v>101.58</v>
      </c>
      <c r="BB179" s="8">
        <v>31.49</v>
      </c>
      <c r="BC179" s="8">
        <v>38.299999999999997</v>
      </c>
      <c r="BD179" s="8">
        <v>37.67</v>
      </c>
      <c r="BE179" s="8">
        <v>37.67</v>
      </c>
      <c r="BI179" s="8">
        <v>37.39</v>
      </c>
      <c r="BK179" s="8">
        <v>22.29</v>
      </c>
      <c r="BM179" s="8">
        <v>23.28</v>
      </c>
      <c r="BN179" s="8">
        <v>18.12</v>
      </c>
      <c r="BO179" s="8">
        <v>64.59</v>
      </c>
      <c r="BP179" s="8">
        <v>61.1</v>
      </c>
      <c r="BQ179" s="8">
        <v>65.38</v>
      </c>
      <c r="BR179" s="8">
        <v>45.93</v>
      </c>
      <c r="BS179" s="8">
        <v>109.21</v>
      </c>
      <c r="BT179" s="8">
        <v>109.21</v>
      </c>
      <c r="BU179" s="8">
        <v>100.11</v>
      </c>
      <c r="BV179" s="8">
        <v>99.03</v>
      </c>
      <c r="BW179" s="8">
        <v>112.96</v>
      </c>
      <c r="BX179" s="8">
        <v>123.23</v>
      </c>
      <c r="BY179" s="8">
        <v>72.41</v>
      </c>
      <c r="BZ179" s="8">
        <v>64.77</v>
      </c>
      <c r="CA179" s="8">
        <v>67.02</v>
      </c>
      <c r="CB179" s="8">
        <v>74.97</v>
      </c>
      <c r="CC179" s="8">
        <v>53.81</v>
      </c>
      <c r="CD179" s="8">
        <v>26.51</v>
      </c>
      <c r="CE179" s="8">
        <v>34.94</v>
      </c>
      <c r="CF179" s="8">
        <v>31.48</v>
      </c>
      <c r="CG179" s="8">
        <v>23.55</v>
      </c>
      <c r="CH179" s="8">
        <v>21.57</v>
      </c>
      <c r="CI179" s="8">
        <v>54.12</v>
      </c>
      <c r="CJ179" s="8">
        <v>52.96</v>
      </c>
      <c r="CK179" s="8">
        <v>61.53</v>
      </c>
      <c r="CL179" s="8">
        <v>16.64</v>
      </c>
      <c r="CM179" s="8">
        <v>15.25</v>
      </c>
      <c r="CN179" s="8">
        <v>27.63</v>
      </c>
      <c r="CO179" s="8">
        <v>45.87</v>
      </c>
      <c r="CP179" s="8">
        <v>47.03</v>
      </c>
      <c r="CQ179" s="8">
        <v>95.43</v>
      </c>
      <c r="CR179" s="8">
        <v>50.12</v>
      </c>
      <c r="CS179" s="8">
        <v>34.229999999999997</v>
      </c>
      <c r="CT179" s="8">
        <v>42.08</v>
      </c>
      <c r="CU179" s="8">
        <v>24.3</v>
      </c>
      <c r="CV179" s="8">
        <v>33.15</v>
      </c>
      <c r="CW179" s="8">
        <v>33.15</v>
      </c>
      <c r="CX179" s="8">
        <v>112.78</v>
      </c>
      <c r="CY179" s="8">
        <v>112.78</v>
      </c>
      <c r="CZ179" s="8">
        <v>34.61</v>
      </c>
      <c r="DA179" s="8">
        <v>120.09</v>
      </c>
      <c r="DB179" s="8">
        <v>59.35</v>
      </c>
      <c r="DC179" s="8">
        <v>318.52</v>
      </c>
      <c r="DD179" s="8">
        <v>1792.38</v>
      </c>
      <c r="DE179" s="8">
        <v>84.11</v>
      </c>
      <c r="DF179" s="8">
        <v>38.520000000000003</v>
      </c>
      <c r="DI179" s="8">
        <v>44.18</v>
      </c>
      <c r="DJ179" s="8">
        <v>38.42</v>
      </c>
      <c r="DK179" s="8">
        <v>45.71</v>
      </c>
      <c r="DL179" s="8">
        <v>39.99</v>
      </c>
      <c r="DO179" s="8">
        <v>38.5</v>
      </c>
      <c r="DP179" s="8">
        <v>23.01</v>
      </c>
      <c r="DS179" s="8">
        <v>18.16</v>
      </c>
      <c r="DT179" s="8">
        <v>18.16</v>
      </c>
      <c r="DY179" s="8">
        <v>15.13</v>
      </c>
      <c r="DZ179" s="8">
        <v>15.13</v>
      </c>
      <c r="ED179" s="9">
        <v>0.8</v>
      </c>
      <c r="EE179" s="9">
        <v>-0.7</v>
      </c>
      <c r="EF179" s="9">
        <v>0.8</v>
      </c>
      <c r="EG179" s="9">
        <v>0.9</v>
      </c>
      <c r="EH179" s="9">
        <v>0.2</v>
      </c>
      <c r="EI179" s="9">
        <v>3.3</v>
      </c>
      <c r="EJ179" s="9">
        <v>1</v>
      </c>
      <c r="EK179" s="9">
        <v>-0.6</v>
      </c>
      <c r="EL179" s="9">
        <v>0.2</v>
      </c>
      <c r="EM179" s="9">
        <v>-1.3</v>
      </c>
      <c r="EN179" s="9">
        <v>-1</v>
      </c>
      <c r="EO179" s="9">
        <v>-3.4</v>
      </c>
      <c r="EP179" s="9">
        <v>-0.3</v>
      </c>
      <c r="EQ179" s="9">
        <v>0.8</v>
      </c>
      <c r="ER179" s="9">
        <v>0</v>
      </c>
      <c r="ES179" s="9">
        <v>0.9</v>
      </c>
      <c r="ET179" s="9">
        <v>-1.1000000000000001</v>
      </c>
      <c r="EU179" s="9">
        <v>-1.2</v>
      </c>
      <c r="EV179" s="9">
        <v>-9.5</v>
      </c>
      <c r="EW179" s="9">
        <v>-1.2</v>
      </c>
      <c r="EX179" s="9">
        <v>-14.9</v>
      </c>
      <c r="EY179" s="9">
        <v>1.7</v>
      </c>
      <c r="EZ179" s="9">
        <v>1.4</v>
      </c>
      <c r="FA179" s="9">
        <v>3.5</v>
      </c>
      <c r="FB179" s="9">
        <v>1.8</v>
      </c>
      <c r="FC179" s="9">
        <v>0.8</v>
      </c>
      <c r="FD179" s="9">
        <v>1.8</v>
      </c>
      <c r="FE179" s="9">
        <v>1.5</v>
      </c>
      <c r="FF179" s="9">
        <v>-0.3</v>
      </c>
      <c r="FG179" s="9">
        <v>0</v>
      </c>
      <c r="FH179" s="9">
        <v>-0.3</v>
      </c>
      <c r="FI179" s="9">
        <v>0.9</v>
      </c>
      <c r="FJ179" s="9">
        <v>0.6</v>
      </c>
      <c r="FK179" s="9">
        <v>1.2</v>
      </c>
      <c r="FL179" s="9">
        <v>1.9</v>
      </c>
      <c r="FM179" s="9">
        <v>2</v>
      </c>
      <c r="FN179" s="9">
        <v>2.4</v>
      </c>
      <c r="FO179" s="9">
        <v>0.4</v>
      </c>
      <c r="FP179" s="9">
        <v>2.2000000000000002</v>
      </c>
      <c r="FQ179" s="9">
        <v>2</v>
      </c>
      <c r="FR179" s="9">
        <v>2</v>
      </c>
      <c r="FS179" s="9">
        <v>0.7</v>
      </c>
      <c r="FT179" s="9">
        <v>0.5</v>
      </c>
      <c r="FU179" s="9">
        <v>1</v>
      </c>
      <c r="FV179" s="9">
        <v>0.1</v>
      </c>
      <c r="FW179" s="9">
        <v>0.8</v>
      </c>
      <c r="FX179" s="9">
        <v>0.4</v>
      </c>
      <c r="FY179" s="9">
        <v>1.4</v>
      </c>
      <c r="FZ179" s="9">
        <v>-0.1</v>
      </c>
      <c r="GA179" s="9">
        <v>0.4</v>
      </c>
      <c r="GD179" s="9">
        <v>1.5</v>
      </c>
      <c r="GE179" s="9">
        <v>0.6</v>
      </c>
      <c r="GF179" s="9">
        <v>1.4</v>
      </c>
      <c r="GG179" s="9">
        <v>1.4</v>
      </c>
      <c r="GK179" s="9">
        <v>1.6</v>
      </c>
      <c r="GM179" s="9">
        <v>-1.7</v>
      </c>
      <c r="GO179" s="9">
        <v>-3.6</v>
      </c>
      <c r="GP179" s="9">
        <v>3.7</v>
      </c>
      <c r="GQ179" s="9">
        <v>0.9</v>
      </c>
      <c r="GR179" s="9">
        <v>0.5</v>
      </c>
      <c r="GS179" s="9">
        <v>0.1</v>
      </c>
      <c r="GT179" s="9">
        <v>1.3</v>
      </c>
      <c r="GU179" s="9">
        <v>0.8</v>
      </c>
      <c r="GV179" s="9">
        <v>0.8</v>
      </c>
      <c r="GW179" s="9">
        <v>1.3</v>
      </c>
      <c r="GX179" s="9">
        <v>1</v>
      </c>
      <c r="GY179" s="9">
        <v>1</v>
      </c>
      <c r="GZ179" s="9">
        <v>0.4</v>
      </c>
      <c r="HA179" s="9">
        <v>2.7</v>
      </c>
      <c r="HB179" s="9">
        <v>1.8</v>
      </c>
      <c r="HC179" s="9">
        <v>1.4</v>
      </c>
      <c r="HD179" s="9">
        <v>1.6</v>
      </c>
      <c r="HE179" s="9">
        <v>2.1</v>
      </c>
      <c r="HF179" s="9">
        <v>2.2000000000000002</v>
      </c>
      <c r="HG179" s="9">
        <v>3.3</v>
      </c>
      <c r="HH179" s="9">
        <v>1</v>
      </c>
      <c r="HI179" s="9">
        <v>2.2000000000000002</v>
      </c>
      <c r="HJ179" s="9">
        <v>1.2</v>
      </c>
      <c r="HK179" s="9">
        <v>-2.6</v>
      </c>
      <c r="HL179" s="9">
        <v>-3.3</v>
      </c>
      <c r="HM179" s="9">
        <v>1</v>
      </c>
      <c r="HN179" s="9">
        <v>2.2999999999999998</v>
      </c>
      <c r="HO179" s="9">
        <v>2.1</v>
      </c>
      <c r="HP179" s="9">
        <v>2.2000000000000002</v>
      </c>
      <c r="HQ179" s="9">
        <v>2</v>
      </c>
      <c r="HR179" s="9">
        <v>1.7</v>
      </c>
      <c r="HS179" s="9">
        <v>-1.8</v>
      </c>
      <c r="HT179" s="9">
        <v>0</v>
      </c>
      <c r="HU179" s="9">
        <v>5.3</v>
      </c>
      <c r="HV179" s="9">
        <v>1.5</v>
      </c>
      <c r="HW179" s="9">
        <v>3</v>
      </c>
      <c r="HX179" s="9">
        <v>5.8</v>
      </c>
      <c r="HY179" s="9">
        <v>5.8</v>
      </c>
      <c r="HZ179" s="9">
        <v>2.2000000000000002</v>
      </c>
      <c r="IA179" s="9">
        <v>2.2000000000000002</v>
      </c>
      <c r="IB179" s="9">
        <v>1.6</v>
      </c>
      <c r="IC179" s="9">
        <v>2.2999999999999998</v>
      </c>
      <c r="ID179" s="9">
        <v>0.4</v>
      </c>
      <c r="IE179" s="9">
        <v>1.6</v>
      </c>
      <c r="IF179" s="9">
        <v>-0.7</v>
      </c>
      <c r="IG179" s="9">
        <v>1.7</v>
      </c>
      <c r="IH179" s="9">
        <v>1.1000000000000001</v>
      </c>
      <c r="IK179" s="9">
        <v>-0.5</v>
      </c>
      <c r="IL179" s="9">
        <v>-0.8</v>
      </c>
      <c r="IM179" s="9">
        <v>-0.1</v>
      </c>
      <c r="IN179" s="9">
        <v>1.4</v>
      </c>
      <c r="IQ179" s="9">
        <v>1.5</v>
      </c>
    </row>
    <row r="180" spans="1:251" x14ac:dyDescent="0.2">
      <c r="A180" s="10">
        <v>33208</v>
      </c>
      <c r="B180" s="8">
        <v>40.98</v>
      </c>
      <c r="C180" s="8">
        <v>37.32</v>
      </c>
      <c r="D180" s="8">
        <v>39.26</v>
      </c>
      <c r="E180" s="8">
        <v>32.94</v>
      </c>
      <c r="F180" s="8">
        <v>41.07</v>
      </c>
      <c r="G180" s="8">
        <v>57.03</v>
      </c>
      <c r="H180" s="8">
        <v>48.97</v>
      </c>
      <c r="I180" s="8">
        <v>41.68</v>
      </c>
      <c r="J180" s="8">
        <v>34.82</v>
      </c>
      <c r="K180" s="8">
        <v>43.08</v>
      </c>
      <c r="L180" s="8">
        <v>24.28</v>
      </c>
      <c r="M180" s="8">
        <v>75.34</v>
      </c>
      <c r="N180" s="8">
        <v>35.520000000000003</v>
      </c>
      <c r="O180" s="8">
        <v>47.52</v>
      </c>
      <c r="P180" s="8">
        <v>39.97</v>
      </c>
      <c r="Q180" s="8">
        <v>39.81</v>
      </c>
      <c r="R180" s="8">
        <v>39.4</v>
      </c>
      <c r="S180" s="8">
        <v>43.36</v>
      </c>
      <c r="T180" s="8">
        <v>31.72</v>
      </c>
      <c r="U180" s="8">
        <v>35.15</v>
      </c>
      <c r="V180" s="8">
        <v>29.19</v>
      </c>
      <c r="W180" s="8">
        <v>36.51</v>
      </c>
      <c r="X180" s="8">
        <v>30.77</v>
      </c>
      <c r="Y180" s="8">
        <v>41.04</v>
      </c>
      <c r="Z180" s="8">
        <v>54.8</v>
      </c>
      <c r="AA180" s="8">
        <v>30.99</v>
      </c>
      <c r="AB180" s="8">
        <v>34.36</v>
      </c>
      <c r="AC180" s="8">
        <v>51.73</v>
      </c>
      <c r="AD180" s="8">
        <v>41.97</v>
      </c>
      <c r="AE180" s="8">
        <v>46.72</v>
      </c>
      <c r="AF180" s="8">
        <v>40.64</v>
      </c>
      <c r="AG180" s="8">
        <v>34.630000000000003</v>
      </c>
      <c r="AH180" s="8">
        <v>35.36</v>
      </c>
      <c r="AI180" s="8">
        <v>33.29</v>
      </c>
      <c r="AJ180" s="8">
        <v>15.9</v>
      </c>
      <c r="AK180" s="8">
        <v>37.85</v>
      </c>
      <c r="AL180" s="8">
        <v>32.72</v>
      </c>
      <c r="AM180" s="8">
        <v>57.75</v>
      </c>
      <c r="AN180" s="8">
        <v>29.35</v>
      </c>
      <c r="AO180" s="8">
        <v>3.8</v>
      </c>
      <c r="AP180" s="8">
        <v>3.8</v>
      </c>
      <c r="AQ180" s="8">
        <v>94.1</v>
      </c>
      <c r="AR180" s="8">
        <v>109.4</v>
      </c>
      <c r="AS180" s="8">
        <v>105.21</v>
      </c>
      <c r="AT180" s="8">
        <v>116.43</v>
      </c>
      <c r="AU180" s="8">
        <v>93.99</v>
      </c>
      <c r="AV180" s="8">
        <v>115.21</v>
      </c>
      <c r="AW180" s="8">
        <v>124.57</v>
      </c>
      <c r="AX180" s="8">
        <v>113.87</v>
      </c>
      <c r="AY180" s="8">
        <v>101.88</v>
      </c>
      <c r="BB180" s="8">
        <v>32.049999999999997</v>
      </c>
      <c r="BC180" s="8">
        <v>38.630000000000003</v>
      </c>
      <c r="BD180" s="8">
        <v>38.15</v>
      </c>
      <c r="BE180" s="8">
        <v>38.15</v>
      </c>
      <c r="BI180" s="8">
        <v>37.53</v>
      </c>
      <c r="BK180" s="8">
        <v>23.8</v>
      </c>
      <c r="BM180" s="8">
        <v>25.3</v>
      </c>
      <c r="BN180" s="8">
        <v>18.46</v>
      </c>
      <c r="BO180" s="8">
        <v>65.78</v>
      </c>
      <c r="BP180" s="8">
        <v>62.57</v>
      </c>
      <c r="BQ180" s="8">
        <v>67.38</v>
      </c>
      <c r="BR180" s="8">
        <v>46.11</v>
      </c>
      <c r="BS180" s="8">
        <v>108.68</v>
      </c>
      <c r="BT180" s="8">
        <v>108.68</v>
      </c>
      <c r="BU180" s="8">
        <v>100.21</v>
      </c>
      <c r="BV180" s="8">
        <v>99.33</v>
      </c>
      <c r="BW180" s="8">
        <v>113.3</v>
      </c>
      <c r="BX180" s="8">
        <v>125.73</v>
      </c>
      <c r="BY180" s="8">
        <v>70.81</v>
      </c>
      <c r="BZ180" s="8">
        <v>65.95</v>
      </c>
      <c r="CA180" s="8">
        <v>69.97</v>
      </c>
      <c r="CB180" s="8">
        <v>75.900000000000006</v>
      </c>
      <c r="CC180" s="8">
        <v>54.44</v>
      </c>
      <c r="CD180" s="8">
        <v>27</v>
      </c>
      <c r="CE180" s="8">
        <v>34.32</v>
      </c>
      <c r="CF180" s="8">
        <v>31.87</v>
      </c>
      <c r="CG180" s="8">
        <v>23.99</v>
      </c>
      <c r="CH180" s="8">
        <v>22.58</v>
      </c>
      <c r="CI180" s="8">
        <v>52.33</v>
      </c>
      <c r="CJ180" s="8">
        <v>50.7</v>
      </c>
      <c r="CK180" s="8">
        <v>61.95</v>
      </c>
      <c r="CL180" s="8">
        <v>17.850000000000001</v>
      </c>
      <c r="CM180" s="8">
        <v>16.600000000000001</v>
      </c>
      <c r="CN180" s="8">
        <v>27.94</v>
      </c>
      <c r="CO180" s="8">
        <v>48.95</v>
      </c>
      <c r="CP180" s="8">
        <v>50.28</v>
      </c>
      <c r="CQ180" s="8">
        <v>96.88</v>
      </c>
      <c r="CR180" s="8">
        <v>50.91</v>
      </c>
      <c r="CS180" s="8">
        <v>41.37</v>
      </c>
      <c r="CT180" s="8">
        <v>42.68</v>
      </c>
      <c r="CU180" s="8">
        <v>24.56</v>
      </c>
      <c r="CV180" s="8">
        <v>34.659999999999997</v>
      </c>
      <c r="CW180" s="8">
        <v>34.67</v>
      </c>
      <c r="CX180" s="8">
        <v>112.89</v>
      </c>
      <c r="CY180" s="8">
        <v>112.89</v>
      </c>
      <c r="CZ180" s="8">
        <v>34.840000000000003</v>
      </c>
      <c r="DA180" s="8">
        <v>120.21</v>
      </c>
      <c r="DB180" s="8">
        <v>61.55</v>
      </c>
      <c r="DC180" s="8">
        <v>322.54000000000002</v>
      </c>
      <c r="DD180" s="8">
        <v>1779.29</v>
      </c>
      <c r="DE180" s="8">
        <v>85.17</v>
      </c>
      <c r="DF180" s="8">
        <v>38.86</v>
      </c>
      <c r="DI180" s="8">
        <v>47.93</v>
      </c>
      <c r="DJ180" s="8">
        <v>41.28</v>
      </c>
      <c r="DK180" s="8">
        <v>50.01</v>
      </c>
      <c r="DL180" s="8">
        <v>40.07</v>
      </c>
      <c r="DO180" s="8">
        <v>38.43</v>
      </c>
      <c r="DP180" s="8">
        <v>23.23</v>
      </c>
      <c r="DS180" s="8">
        <v>18.16</v>
      </c>
      <c r="DT180" s="8">
        <v>18.16</v>
      </c>
      <c r="DY180" s="8">
        <v>15.27</v>
      </c>
      <c r="DZ180" s="8">
        <v>15.27</v>
      </c>
      <c r="ED180" s="9">
        <v>2.6</v>
      </c>
      <c r="EE180" s="9">
        <v>1</v>
      </c>
      <c r="EF180" s="9">
        <v>2.4</v>
      </c>
      <c r="EG180" s="9">
        <v>1.4</v>
      </c>
      <c r="EH180" s="9">
        <v>3.2</v>
      </c>
      <c r="EI180" s="9">
        <v>3.2</v>
      </c>
      <c r="EJ180" s="9">
        <v>0.4</v>
      </c>
      <c r="EK180" s="9">
        <v>0</v>
      </c>
      <c r="EL180" s="9">
        <v>-0.1</v>
      </c>
      <c r="EM180" s="9">
        <v>1.9</v>
      </c>
      <c r="EN180" s="9">
        <v>-5.4</v>
      </c>
      <c r="EO180" s="9">
        <v>-0.2</v>
      </c>
      <c r="EP180" s="9">
        <v>1.5</v>
      </c>
      <c r="EQ180" s="9">
        <v>1.8</v>
      </c>
      <c r="ER180" s="9">
        <v>1.7</v>
      </c>
      <c r="ES180" s="9">
        <v>2.1</v>
      </c>
      <c r="ET180" s="9">
        <v>1.2</v>
      </c>
      <c r="EU180" s="9">
        <v>2.2999999999999998</v>
      </c>
      <c r="EV180" s="9">
        <v>-6.7</v>
      </c>
      <c r="EW180" s="9">
        <v>-0.5</v>
      </c>
      <c r="EX180" s="9">
        <v>-11.5</v>
      </c>
      <c r="EY180" s="9">
        <v>1.1000000000000001</v>
      </c>
      <c r="EZ180" s="9">
        <v>-0.4</v>
      </c>
      <c r="FA180" s="9">
        <v>2.8</v>
      </c>
      <c r="FB180" s="9">
        <v>-0.3</v>
      </c>
      <c r="FC180" s="9">
        <v>-0.1</v>
      </c>
      <c r="FD180" s="9">
        <v>1.1000000000000001</v>
      </c>
      <c r="FE180" s="9">
        <v>3.5</v>
      </c>
      <c r="FF180" s="9">
        <v>1.4</v>
      </c>
      <c r="FG180" s="9">
        <v>1.3</v>
      </c>
      <c r="FH180" s="9">
        <v>1.3</v>
      </c>
      <c r="FI180" s="9">
        <v>1.9</v>
      </c>
      <c r="FJ180" s="9">
        <v>1.6</v>
      </c>
      <c r="FK180" s="9">
        <v>2.2999999999999998</v>
      </c>
      <c r="FL180" s="9">
        <v>3.3</v>
      </c>
      <c r="FM180" s="9">
        <v>2</v>
      </c>
      <c r="FN180" s="9">
        <v>3.4</v>
      </c>
      <c r="FO180" s="9">
        <v>-0.1</v>
      </c>
      <c r="FP180" s="9">
        <v>2.4</v>
      </c>
      <c r="FQ180" s="9">
        <v>6.4</v>
      </c>
      <c r="FR180" s="9">
        <v>6.4</v>
      </c>
      <c r="FS180" s="9">
        <v>1.7</v>
      </c>
      <c r="FT180" s="9">
        <v>1.8</v>
      </c>
      <c r="FU180" s="9">
        <v>0.5</v>
      </c>
      <c r="FV180" s="9">
        <v>2.6</v>
      </c>
      <c r="FW180" s="9">
        <v>2.2000000000000002</v>
      </c>
      <c r="FX180" s="9">
        <v>1.7</v>
      </c>
      <c r="FY180" s="9">
        <v>0.9</v>
      </c>
      <c r="FZ180" s="9">
        <v>2.7</v>
      </c>
      <c r="GA180" s="9">
        <v>0.3</v>
      </c>
      <c r="GD180" s="9">
        <v>1.8</v>
      </c>
      <c r="GE180" s="9">
        <v>0.9</v>
      </c>
      <c r="GF180" s="9">
        <v>1.3</v>
      </c>
      <c r="GG180" s="9">
        <v>1.3</v>
      </c>
      <c r="GK180" s="9">
        <v>0.4</v>
      </c>
      <c r="GM180" s="9">
        <v>6.8</v>
      </c>
      <c r="GO180" s="9">
        <v>8.6999999999999993</v>
      </c>
      <c r="GP180" s="9">
        <v>1.9</v>
      </c>
      <c r="GQ180" s="9">
        <v>1.8</v>
      </c>
      <c r="GR180" s="9">
        <v>2.4</v>
      </c>
      <c r="GS180" s="9">
        <v>3.1</v>
      </c>
      <c r="GT180" s="9">
        <v>0.4</v>
      </c>
      <c r="GU180" s="9">
        <v>-0.5</v>
      </c>
      <c r="GV180" s="9">
        <v>-0.5</v>
      </c>
      <c r="GW180" s="9">
        <v>0.1</v>
      </c>
      <c r="GX180" s="9">
        <v>0.3</v>
      </c>
      <c r="GY180" s="9">
        <v>0.3</v>
      </c>
      <c r="GZ180" s="9">
        <v>2</v>
      </c>
      <c r="HA180" s="9">
        <v>-2.2000000000000002</v>
      </c>
      <c r="HB180" s="9">
        <v>1.8</v>
      </c>
      <c r="HC180" s="9">
        <v>4.4000000000000004</v>
      </c>
      <c r="HD180" s="9">
        <v>1.2</v>
      </c>
      <c r="HE180" s="9">
        <v>1.2</v>
      </c>
      <c r="HF180" s="9">
        <v>1.8</v>
      </c>
      <c r="HG180" s="9">
        <v>-1.8</v>
      </c>
      <c r="HH180" s="9">
        <v>1.2</v>
      </c>
      <c r="HI180" s="9">
        <v>1.9</v>
      </c>
      <c r="HJ180" s="9">
        <v>4.7</v>
      </c>
      <c r="HK180" s="9">
        <v>-3.3</v>
      </c>
      <c r="HL180" s="9">
        <v>-4.3</v>
      </c>
      <c r="HM180" s="9">
        <v>0.7</v>
      </c>
      <c r="HN180" s="9">
        <v>7.3</v>
      </c>
      <c r="HO180" s="9">
        <v>8.9</v>
      </c>
      <c r="HP180" s="9">
        <v>1.1000000000000001</v>
      </c>
      <c r="HQ180" s="9">
        <v>6.7</v>
      </c>
      <c r="HR180" s="9">
        <v>6.9</v>
      </c>
      <c r="HS180" s="9">
        <v>1.5</v>
      </c>
      <c r="HT180" s="9">
        <v>1.6</v>
      </c>
      <c r="HU180" s="9">
        <v>20.9</v>
      </c>
      <c r="HV180" s="9">
        <v>1.4</v>
      </c>
      <c r="HW180" s="9">
        <v>1.1000000000000001</v>
      </c>
      <c r="HX180" s="9">
        <v>4.5999999999999996</v>
      </c>
      <c r="HY180" s="9">
        <v>4.5999999999999996</v>
      </c>
      <c r="HZ180" s="9">
        <v>0.1</v>
      </c>
      <c r="IA180" s="9">
        <v>0.1</v>
      </c>
      <c r="IB180" s="9">
        <v>0.7</v>
      </c>
      <c r="IC180" s="9">
        <v>0.1</v>
      </c>
      <c r="ID180" s="9">
        <v>3.7</v>
      </c>
      <c r="IE180" s="9">
        <v>1.3</v>
      </c>
      <c r="IF180" s="9">
        <v>-0.7</v>
      </c>
      <c r="IG180" s="9">
        <v>1.3</v>
      </c>
      <c r="IH180" s="9">
        <v>0.9</v>
      </c>
      <c r="IK180" s="9">
        <v>8.5</v>
      </c>
      <c r="IL180" s="9">
        <v>7.4</v>
      </c>
      <c r="IM180" s="9">
        <v>9.4</v>
      </c>
      <c r="IN180" s="9">
        <v>0.2</v>
      </c>
      <c r="IQ180" s="9">
        <v>-0.2</v>
      </c>
    </row>
    <row r="181" spans="1:251" x14ac:dyDescent="0.2">
      <c r="A181" s="10">
        <v>33298</v>
      </c>
      <c r="B181" s="8">
        <v>40.9</v>
      </c>
      <c r="C181" s="8">
        <v>38.119999999999997</v>
      </c>
      <c r="D181" s="8">
        <v>39.520000000000003</v>
      </c>
      <c r="E181" s="8">
        <v>33.25</v>
      </c>
      <c r="F181" s="8">
        <v>41.15</v>
      </c>
      <c r="G181" s="8">
        <v>57.82</v>
      </c>
      <c r="H181" s="8">
        <v>50.02</v>
      </c>
      <c r="I181" s="8">
        <v>42.3</v>
      </c>
      <c r="J181" s="8">
        <v>34.99</v>
      </c>
      <c r="K181" s="8">
        <v>43.55</v>
      </c>
      <c r="L181" s="8">
        <v>25.2</v>
      </c>
      <c r="M181" s="8">
        <v>76.19</v>
      </c>
      <c r="N181" s="8">
        <v>36.17</v>
      </c>
      <c r="O181" s="8">
        <v>48.37</v>
      </c>
      <c r="P181" s="8">
        <v>40.35</v>
      </c>
      <c r="Q181" s="8">
        <v>40.64</v>
      </c>
      <c r="R181" s="8">
        <v>39.21</v>
      </c>
      <c r="S181" s="8">
        <v>43.52</v>
      </c>
      <c r="T181" s="8">
        <v>36.840000000000003</v>
      </c>
      <c r="U181" s="8">
        <v>38.479999999999997</v>
      </c>
      <c r="V181" s="8">
        <v>35.58</v>
      </c>
      <c r="W181" s="8">
        <v>36.76</v>
      </c>
      <c r="X181" s="8">
        <v>30.47</v>
      </c>
      <c r="Y181" s="8">
        <v>41.6</v>
      </c>
      <c r="Z181" s="8">
        <v>55.01</v>
      </c>
      <c r="AA181" s="8">
        <v>30.9</v>
      </c>
      <c r="AB181" s="8">
        <v>34.590000000000003</v>
      </c>
      <c r="AC181" s="8">
        <v>52.55</v>
      </c>
      <c r="AD181" s="8">
        <v>42.74</v>
      </c>
      <c r="AE181" s="8">
        <v>46.59</v>
      </c>
      <c r="AF181" s="8">
        <v>41.38</v>
      </c>
      <c r="AG181" s="8">
        <v>34.99</v>
      </c>
      <c r="AH181" s="8">
        <v>35.590000000000003</v>
      </c>
      <c r="AI181" s="8">
        <v>33.729999999999997</v>
      </c>
      <c r="AJ181" s="8">
        <v>16.12</v>
      </c>
      <c r="AK181" s="8">
        <v>38.380000000000003</v>
      </c>
      <c r="AL181" s="8">
        <v>33.200000000000003</v>
      </c>
      <c r="AM181" s="8">
        <v>58.86</v>
      </c>
      <c r="AN181" s="8">
        <v>29.67</v>
      </c>
      <c r="AO181" s="8">
        <v>3.85</v>
      </c>
      <c r="AP181" s="8">
        <v>3.85</v>
      </c>
      <c r="AQ181" s="8">
        <v>94.55</v>
      </c>
      <c r="AR181" s="8">
        <v>109.82</v>
      </c>
      <c r="AS181" s="8">
        <v>106.22</v>
      </c>
      <c r="AT181" s="8">
        <v>116.76</v>
      </c>
      <c r="AU181" s="8">
        <v>93.01</v>
      </c>
      <c r="AV181" s="8">
        <v>116.11</v>
      </c>
      <c r="AW181" s="8">
        <v>125.64</v>
      </c>
      <c r="AX181" s="8">
        <v>114.31</v>
      </c>
      <c r="AY181" s="8">
        <v>103.51</v>
      </c>
      <c r="BB181" s="8">
        <v>32.200000000000003</v>
      </c>
      <c r="BC181" s="8">
        <v>38.08</v>
      </c>
      <c r="BD181" s="8">
        <v>38.36</v>
      </c>
      <c r="BE181" s="8">
        <v>38.36</v>
      </c>
      <c r="BI181" s="8">
        <v>38.03</v>
      </c>
      <c r="BK181" s="8">
        <v>23.91</v>
      </c>
      <c r="BM181" s="8">
        <v>25.37</v>
      </c>
      <c r="BN181" s="8">
        <v>18.64</v>
      </c>
      <c r="BO181" s="8">
        <v>66.09</v>
      </c>
      <c r="BP181" s="8">
        <v>62.16</v>
      </c>
      <c r="BQ181" s="8">
        <v>66.819999999999993</v>
      </c>
      <c r="BR181" s="8">
        <v>46.15</v>
      </c>
      <c r="BS181" s="8">
        <v>110.69</v>
      </c>
      <c r="BT181" s="8">
        <v>110.69</v>
      </c>
      <c r="BU181" s="8">
        <v>101.38</v>
      </c>
      <c r="BV181" s="8">
        <v>99.33</v>
      </c>
      <c r="BW181" s="8">
        <v>113.3</v>
      </c>
      <c r="BX181" s="8">
        <v>127.16</v>
      </c>
      <c r="BY181" s="8">
        <v>73.040000000000006</v>
      </c>
      <c r="BZ181" s="8">
        <v>65.7</v>
      </c>
      <c r="CA181" s="8">
        <v>70.03</v>
      </c>
      <c r="CB181" s="8">
        <v>77.180000000000007</v>
      </c>
      <c r="CC181" s="8">
        <v>54.18</v>
      </c>
      <c r="CD181" s="8">
        <v>27.8</v>
      </c>
      <c r="CE181" s="8">
        <v>29.28</v>
      </c>
      <c r="CF181" s="8">
        <v>32.29</v>
      </c>
      <c r="CG181" s="8">
        <v>24.69</v>
      </c>
      <c r="CH181" s="8">
        <v>23.56</v>
      </c>
      <c r="CI181" s="8">
        <v>58.39</v>
      </c>
      <c r="CJ181" s="8">
        <v>57.9</v>
      </c>
      <c r="CK181" s="8">
        <v>62.43</v>
      </c>
      <c r="CL181" s="8">
        <v>18.3</v>
      </c>
      <c r="CM181" s="8">
        <v>17.010000000000002</v>
      </c>
      <c r="CN181" s="8">
        <v>28.62</v>
      </c>
      <c r="CO181" s="8">
        <v>46.71</v>
      </c>
      <c r="CP181" s="8">
        <v>47.79</v>
      </c>
      <c r="CQ181" s="8">
        <v>96.21</v>
      </c>
      <c r="CR181" s="8">
        <v>51.45</v>
      </c>
      <c r="CS181" s="8">
        <v>34.979999999999997</v>
      </c>
      <c r="CT181" s="8">
        <v>43.2</v>
      </c>
      <c r="CU181" s="8">
        <v>25.07</v>
      </c>
      <c r="CV181" s="8">
        <v>35.1</v>
      </c>
      <c r="CW181" s="8">
        <v>35.1</v>
      </c>
      <c r="CX181" s="8">
        <v>112.89</v>
      </c>
      <c r="CY181" s="8">
        <v>112.89</v>
      </c>
      <c r="CZ181" s="8">
        <v>34.840000000000003</v>
      </c>
      <c r="DA181" s="8">
        <v>120.21</v>
      </c>
      <c r="DB181" s="8">
        <v>60.97</v>
      </c>
      <c r="DC181" s="8">
        <v>320.69</v>
      </c>
      <c r="DD181" s="8">
        <v>1762.47</v>
      </c>
      <c r="DE181" s="8">
        <v>84.68</v>
      </c>
      <c r="DF181" s="8">
        <v>38.82</v>
      </c>
      <c r="DI181" s="8">
        <v>45.45</v>
      </c>
      <c r="DJ181" s="8">
        <v>39.22</v>
      </c>
      <c r="DK181" s="8">
        <v>47.37</v>
      </c>
      <c r="DL181" s="8">
        <v>40.26</v>
      </c>
      <c r="DO181" s="8">
        <v>38.17</v>
      </c>
      <c r="DP181" s="8">
        <v>24.17</v>
      </c>
      <c r="DS181" s="8">
        <v>20.010000000000002</v>
      </c>
      <c r="DT181" s="8">
        <v>20.010000000000002</v>
      </c>
      <c r="DY181" s="8">
        <v>15.37</v>
      </c>
      <c r="DZ181" s="8">
        <v>15.37</v>
      </c>
      <c r="ED181" s="9">
        <v>-0.2</v>
      </c>
      <c r="EE181" s="9">
        <v>2.1</v>
      </c>
      <c r="EF181" s="9">
        <v>0.7</v>
      </c>
      <c r="EG181" s="9">
        <v>0.9</v>
      </c>
      <c r="EH181" s="9">
        <v>0.2</v>
      </c>
      <c r="EI181" s="9">
        <v>1.4</v>
      </c>
      <c r="EJ181" s="9">
        <v>2.1</v>
      </c>
      <c r="EK181" s="9">
        <v>1.5</v>
      </c>
      <c r="EL181" s="9">
        <v>0.5</v>
      </c>
      <c r="EM181" s="9">
        <v>1.1000000000000001</v>
      </c>
      <c r="EN181" s="9">
        <v>3.8</v>
      </c>
      <c r="EO181" s="9">
        <v>1.1000000000000001</v>
      </c>
      <c r="EP181" s="9">
        <v>1.8</v>
      </c>
      <c r="EQ181" s="9">
        <v>1.8</v>
      </c>
      <c r="ER181" s="9">
        <v>1</v>
      </c>
      <c r="ES181" s="9">
        <v>2.1</v>
      </c>
      <c r="ET181" s="9">
        <v>-0.5</v>
      </c>
      <c r="EU181" s="9">
        <v>0.4</v>
      </c>
      <c r="EV181" s="9">
        <v>16.100000000000001</v>
      </c>
      <c r="EW181" s="9">
        <v>9.5</v>
      </c>
      <c r="EX181" s="9">
        <v>21.9</v>
      </c>
      <c r="EY181" s="9">
        <v>0.7</v>
      </c>
      <c r="EZ181" s="9">
        <v>-1</v>
      </c>
      <c r="FA181" s="9">
        <v>1.4</v>
      </c>
      <c r="FB181" s="9">
        <v>0.4</v>
      </c>
      <c r="FC181" s="9">
        <v>-0.3</v>
      </c>
      <c r="FD181" s="9">
        <v>0.7</v>
      </c>
      <c r="FE181" s="9">
        <v>1.6</v>
      </c>
      <c r="FF181" s="9">
        <v>1.8</v>
      </c>
      <c r="FG181" s="9">
        <v>-0.3</v>
      </c>
      <c r="FH181" s="9">
        <v>1.8</v>
      </c>
      <c r="FI181" s="9">
        <v>1</v>
      </c>
      <c r="FJ181" s="9">
        <v>0.7</v>
      </c>
      <c r="FK181" s="9">
        <v>1.3</v>
      </c>
      <c r="FL181" s="9">
        <v>1.4</v>
      </c>
      <c r="FM181" s="9">
        <v>1.4</v>
      </c>
      <c r="FN181" s="9">
        <v>1.5</v>
      </c>
      <c r="FO181" s="9">
        <v>1.9</v>
      </c>
      <c r="FP181" s="9">
        <v>1.1000000000000001</v>
      </c>
      <c r="FQ181" s="9">
        <v>1.3</v>
      </c>
      <c r="FR181" s="9">
        <v>1.3</v>
      </c>
      <c r="FS181" s="9">
        <v>0.5</v>
      </c>
      <c r="FT181" s="9">
        <v>0.4</v>
      </c>
      <c r="FU181" s="9">
        <v>1</v>
      </c>
      <c r="FV181" s="9">
        <v>0.3</v>
      </c>
      <c r="FW181" s="9">
        <v>-1</v>
      </c>
      <c r="FX181" s="9">
        <v>0.8</v>
      </c>
      <c r="FY181" s="9">
        <v>0.9</v>
      </c>
      <c r="FZ181" s="9">
        <v>0.4</v>
      </c>
      <c r="GA181" s="9">
        <v>1.6</v>
      </c>
      <c r="GD181" s="9">
        <v>0.5</v>
      </c>
      <c r="GE181" s="9">
        <v>-1.4</v>
      </c>
      <c r="GF181" s="9">
        <v>0.6</v>
      </c>
      <c r="GG181" s="9">
        <v>0.6</v>
      </c>
      <c r="GK181" s="9">
        <v>1.3</v>
      </c>
      <c r="GM181" s="9">
        <v>0.5</v>
      </c>
      <c r="GO181" s="9">
        <v>0.3</v>
      </c>
      <c r="GP181" s="9">
        <v>1</v>
      </c>
      <c r="GQ181" s="9">
        <v>0.5</v>
      </c>
      <c r="GR181" s="9">
        <v>-0.7</v>
      </c>
      <c r="GS181" s="9">
        <v>-0.8</v>
      </c>
      <c r="GT181" s="9">
        <v>0.1</v>
      </c>
      <c r="GU181" s="9">
        <v>1.8</v>
      </c>
      <c r="GV181" s="9">
        <v>1.8</v>
      </c>
      <c r="GW181" s="9">
        <v>1.2</v>
      </c>
      <c r="GX181" s="9">
        <v>0</v>
      </c>
      <c r="GY181" s="9">
        <v>0</v>
      </c>
      <c r="GZ181" s="9">
        <v>1.1000000000000001</v>
      </c>
      <c r="HA181" s="9">
        <v>3.1</v>
      </c>
      <c r="HB181" s="9">
        <v>-0.4</v>
      </c>
      <c r="HC181" s="9">
        <v>0.1</v>
      </c>
      <c r="HD181" s="9">
        <v>1.7</v>
      </c>
      <c r="HE181" s="9">
        <v>-0.5</v>
      </c>
      <c r="HF181" s="9">
        <v>3</v>
      </c>
      <c r="HG181" s="9">
        <v>-14.7</v>
      </c>
      <c r="HH181" s="9">
        <v>1.3</v>
      </c>
      <c r="HI181" s="9">
        <v>2.9</v>
      </c>
      <c r="HJ181" s="9">
        <v>4.3</v>
      </c>
      <c r="HK181" s="9">
        <v>11.6</v>
      </c>
      <c r="HL181" s="9">
        <v>14.2</v>
      </c>
      <c r="HM181" s="9">
        <v>0.8</v>
      </c>
      <c r="HN181" s="9">
        <v>2.5</v>
      </c>
      <c r="HO181" s="9">
        <v>2.5</v>
      </c>
      <c r="HP181" s="9">
        <v>2.4</v>
      </c>
      <c r="HQ181" s="9">
        <v>-4.5999999999999996</v>
      </c>
      <c r="HR181" s="9">
        <v>-5</v>
      </c>
      <c r="HS181" s="9">
        <v>-0.7</v>
      </c>
      <c r="HT181" s="9">
        <v>1.1000000000000001</v>
      </c>
      <c r="HU181" s="9">
        <v>-15.4</v>
      </c>
      <c r="HV181" s="9">
        <v>1.2</v>
      </c>
      <c r="HW181" s="9">
        <v>2.1</v>
      </c>
      <c r="HX181" s="9">
        <v>1.3</v>
      </c>
      <c r="HY181" s="9">
        <v>1.2</v>
      </c>
      <c r="HZ181" s="9">
        <v>0</v>
      </c>
      <c r="IA181" s="9">
        <v>0</v>
      </c>
      <c r="IB181" s="9">
        <v>0</v>
      </c>
      <c r="IC181" s="9">
        <v>0</v>
      </c>
      <c r="ID181" s="9">
        <v>-0.9</v>
      </c>
      <c r="IE181" s="9">
        <v>-0.6</v>
      </c>
      <c r="IF181" s="9">
        <v>-0.9</v>
      </c>
      <c r="IG181" s="9">
        <v>-0.6</v>
      </c>
      <c r="IH181" s="9">
        <v>-0.1</v>
      </c>
      <c r="IK181" s="9">
        <v>-5.2</v>
      </c>
      <c r="IL181" s="9">
        <v>-5</v>
      </c>
      <c r="IM181" s="9">
        <v>-5.3</v>
      </c>
      <c r="IN181" s="9">
        <v>0.5</v>
      </c>
      <c r="IQ181" s="9">
        <v>-0.7</v>
      </c>
    </row>
    <row r="182" spans="1:251" x14ac:dyDescent="0.2">
      <c r="A182" s="10">
        <v>33390</v>
      </c>
      <c r="B182" s="8">
        <v>40.98</v>
      </c>
      <c r="C182" s="8">
        <v>37.97</v>
      </c>
      <c r="D182" s="8">
        <v>40.07</v>
      </c>
      <c r="E182" s="8">
        <v>33.72</v>
      </c>
      <c r="F182" s="8">
        <v>41.91</v>
      </c>
      <c r="G182" s="8">
        <v>57.87</v>
      </c>
      <c r="H182" s="8">
        <v>49.73</v>
      </c>
      <c r="I182" s="8">
        <v>42.1</v>
      </c>
      <c r="J182" s="8">
        <v>35.159999999999997</v>
      </c>
      <c r="K182" s="8">
        <v>43.55</v>
      </c>
      <c r="L182" s="8">
        <v>24.85</v>
      </c>
      <c r="M182" s="8">
        <v>73.930000000000007</v>
      </c>
      <c r="N182" s="8">
        <v>36.28</v>
      </c>
      <c r="O182" s="8">
        <v>47.66</v>
      </c>
      <c r="P182" s="8">
        <v>40.54</v>
      </c>
      <c r="Q182" s="8">
        <v>41.25</v>
      </c>
      <c r="R182" s="8">
        <v>38.54</v>
      </c>
      <c r="S182" s="8">
        <v>44.18</v>
      </c>
      <c r="T182" s="8">
        <v>33.130000000000003</v>
      </c>
      <c r="U182" s="8">
        <v>39.18</v>
      </c>
      <c r="V182" s="8">
        <v>28.67</v>
      </c>
      <c r="W182" s="8">
        <v>37.380000000000003</v>
      </c>
      <c r="X182" s="8">
        <v>30.77</v>
      </c>
      <c r="Y182" s="8">
        <v>42.05</v>
      </c>
      <c r="Z182" s="8">
        <v>55.21</v>
      </c>
      <c r="AA182" s="8">
        <v>30.84</v>
      </c>
      <c r="AB182" s="8">
        <v>35.21</v>
      </c>
      <c r="AC182" s="8">
        <v>53.14</v>
      </c>
      <c r="AD182" s="8">
        <v>43.9</v>
      </c>
      <c r="AE182" s="8">
        <v>46.22</v>
      </c>
      <c r="AF182" s="8">
        <v>42.51</v>
      </c>
      <c r="AG182" s="8">
        <v>35.42</v>
      </c>
      <c r="AH182" s="8">
        <v>35.76</v>
      </c>
      <c r="AI182" s="8">
        <v>34.380000000000003</v>
      </c>
      <c r="AJ182" s="8">
        <v>16.45</v>
      </c>
      <c r="AK182" s="8">
        <v>39.06</v>
      </c>
      <c r="AL182" s="8">
        <v>34.24</v>
      </c>
      <c r="AM182" s="8">
        <v>59.78</v>
      </c>
      <c r="AN182" s="8">
        <v>30.11</v>
      </c>
      <c r="AO182" s="8">
        <v>3.95</v>
      </c>
      <c r="AP182" s="8">
        <v>3.95</v>
      </c>
      <c r="AQ182" s="8">
        <v>95.9</v>
      </c>
      <c r="AR182" s="8">
        <v>111.29</v>
      </c>
      <c r="AS182" s="8">
        <v>108.95</v>
      </c>
      <c r="AT182" s="8">
        <v>117.54</v>
      </c>
      <c r="AU182" s="8">
        <v>94.61</v>
      </c>
      <c r="AV182" s="8">
        <v>117.22</v>
      </c>
      <c r="AW182" s="8">
        <v>126.94</v>
      </c>
      <c r="AX182" s="8">
        <v>115.74</v>
      </c>
      <c r="AY182" s="8">
        <v>103.61</v>
      </c>
      <c r="BB182" s="8">
        <v>33.270000000000003</v>
      </c>
      <c r="BC182" s="8">
        <v>38.08</v>
      </c>
      <c r="BD182" s="8">
        <v>38.659999999999997</v>
      </c>
      <c r="BE182" s="8">
        <v>38.659999999999997</v>
      </c>
      <c r="BI182" s="8">
        <v>38.46</v>
      </c>
      <c r="BK182" s="8">
        <v>23.89</v>
      </c>
      <c r="BM182" s="8">
        <v>25.4</v>
      </c>
      <c r="BN182" s="8">
        <v>18.53</v>
      </c>
      <c r="BO182" s="8">
        <v>66.28</v>
      </c>
      <c r="BP182" s="8">
        <v>62.74</v>
      </c>
      <c r="BQ182" s="8">
        <v>67.819999999999993</v>
      </c>
      <c r="BR182" s="8">
        <v>45.84</v>
      </c>
      <c r="BS182" s="8">
        <v>113.24</v>
      </c>
      <c r="BT182" s="8">
        <v>113.24</v>
      </c>
      <c r="BU182" s="8">
        <v>101.38</v>
      </c>
      <c r="BV182" s="8">
        <v>101.19</v>
      </c>
      <c r="BW182" s="8">
        <v>115.42</v>
      </c>
      <c r="BX182" s="8">
        <v>125.37</v>
      </c>
      <c r="BY182" s="8">
        <v>71.930000000000007</v>
      </c>
      <c r="BZ182" s="8">
        <v>66.010000000000005</v>
      </c>
      <c r="CA182" s="8">
        <v>68.3</v>
      </c>
      <c r="CB182" s="8">
        <v>77.83</v>
      </c>
      <c r="CC182" s="8">
        <v>55.37</v>
      </c>
      <c r="CD182" s="8">
        <v>28.17</v>
      </c>
      <c r="CE182" s="8">
        <v>29.38</v>
      </c>
      <c r="CF182" s="8">
        <v>32.770000000000003</v>
      </c>
      <c r="CG182" s="8">
        <v>25.03</v>
      </c>
      <c r="CH182" s="8">
        <v>23.99</v>
      </c>
      <c r="CI182" s="8">
        <v>58.6</v>
      </c>
      <c r="CJ182" s="8">
        <v>58.01</v>
      </c>
      <c r="CK182" s="8">
        <v>63.09</v>
      </c>
      <c r="CL182" s="8">
        <v>18.72</v>
      </c>
      <c r="CM182" s="8">
        <v>17.43</v>
      </c>
      <c r="CN182" s="8">
        <v>29.12</v>
      </c>
      <c r="CO182" s="8">
        <v>46.44</v>
      </c>
      <c r="CP182" s="8">
        <v>47.43</v>
      </c>
      <c r="CQ182" s="8">
        <v>98.13</v>
      </c>
      <c r="CR182" s="8">
        <v>50.22</v>
      </c>
      <c r="CS182" s="8">
        <v>33.049999999999997</v>
      </c>
      <c r="CT182" s="8">
        <v>43.44</v>
      </c>
      <c r="CU182" s="8">
        <v>25.23</v>
      </c>
      <c r="CV182" s="8">
        <v>35.869999999999997</v>
      </c>
      <c r="CW182" s="8">
        <v>35.869999999999997</v>
      </c>
      <c r="CX182" s="8">
        <v>113</v>
      </c>
      <c r="CY182" s="8">
        <v>113</v>
      </c>
      <c r="CZ182" s="8">
        <v>35.08</v>
      </c>
      <c r="DA182" s="8">
        <v>120.21</v>
      </c>
      <c r="DB182" s="8">
        <v>60.45</v>
      </c>
      <c r="DC182" s="8">
        <v>325.02</v>
      </c>
      <c r="DD182" s="8">
        <v>1734.44</v>
      </c>
      <c r="DE182" s="8">
        <v>85.82</v>
      </c>
      <c r="DF182" s="8">
        <v>40.01</v>
      </c>
      <c r="DI182" s="8">
        <v>42.92</v>
      </c>
      <c r="DJ182" s="8">
        <v>35.56</v>
      </c>
      <c r="DK182" s="8">
        <v>46.47</v>
      </c>
      <c r="DL182" s="8">
        <v>40.56</v>
      </c>
      <c r="DO182" s="8">
        <v>38.28</v>
      </c>
      <c r="DP182" s="8">
        <v>24.56</v>
      </c>
      <c r="DS182" s="8">
        <v>20.010000000000002</v>
      </c>
      <c r="DT182" s="8">
        <v>20.010000000000002</v>
      </c>
      <c r="DY182" s="8">
        <v>15.63</v>
      </c>
      <c r="DZ182" s="8">
        <v>15.63</v>
      </c>
      <c r="ED182" s="9">
        <v>0.2</v>
      </c>
      <c r="EE182" s="9">
        <v>-0.4</v>
      </c>
      <c r="EF182" s="9">
        <v>1.4</v>
      </c>
      <c r="EG182" s="9">
        <v>1.4</v>
      </c>
      <c r="EH182" s="9">
        <v>1.8</v>
      </c>
      <c r="EI182" s="9">
        <v>0.1</v>
      </c>
      <c r="EJ182" s="9">
        <v>-0.6</v>
      </c>
      <c r="EK182" s="9">
        <v>-0.5</v>
      </c>
      <c r="EL182" s="9">
        <v>0.5</v>
      </c>
      <c r="EM182" s="9">
        <v>0</v>
      </c>
      <c r="EN182" s="9">
        <v>-1.4</v>
      </c>
      <c r="EO182" s="9">
        <v>-3</v>
      </c>
      <c r="EP182" s="9">
        <v>0.3</v>
      </c>
      <c r="EQ182" s="9">
        <v>-1.5</v>
      </c>
      <c r="ER182" s="9">
        <v>0.5</v>
      </c>
      <c r="ES182" s="9">
        <v>1.5</v>
      </c>
      <c r="ET182" s="9">
        <v>-1.7</v>
      </c>
      <c r="EU182" s="9">
        <v>1.5</v>
      </c>
      <c r="EV182" s="9">
        <v>-10.1</v>
      </c>
      <c r="EW182" s="9">
        <v>1.8</v>
      </c>
      <c r="EX182" s="9">
        <v>-19.399999999999999</v>
      </c>
      <c r="EY182" s="9">
        <v>1.7</v>
      </c>
      <c r="EZ182" s="9">
        <v>1</v>
      </c>
      <c r="FA182" s="9">
        <v>1.1000000000000001</v>
      </c>
      <c r="FB182" s="9">
        <v>0.4</v>
      </c>
      <c r="FC182" s="9">
        <v>-0.2</v>
      </c>
      <c r="FD182" s="9">
        <v>1.8</v>
      </c>
      <c r="FE182" s="9">
        <v>1.1000000000000001</v>
      </c>
      <c r="FF182" s="9">
        <v>2.7</v>
      </c>
      <c r="FG182" s="9">
        <v>-0.8</v>
      </c>
      <c r="FH182" s="9">
        <v>2.7</v>
      </c>
      <c r="FI182" s="9">
        <v>1.2</v>
      </c>
      <c r="FJ182" s="9">
        <v>0.5</v>
      </c>
      <c r="FK182" s="9">
        <v>1.9</v>
      </c>
      <c r="FL182" s="9">
        <v>2</v>
      </c>
      <c r="FM182" s="9">
        <v>1.8</v>
      </c>
      <c r="FN182" s="9">
        <v>3.1</v>
      </c>
      <c r="FO182" s="9">
        <v>1.6</v>
      </c>
      <c r="FP182" s="9">
        <v>1.5</v>
      </c>
      <c r="FQ182" s="9">
        <v>2.6</v>
      </c>
      <c r="FR182" s="9">
        <v>2.6</v>
      </c>
      <c r="FS182" s="9">
        <v>1.4</v>
      </c>
      <c r="FT182" s="9">
        <v>1.3</v>
      </c>
      <c r="FU182" s="9">
        <v>2.6</v>
      </c>
      <c r="FV182" s="9">
        <v>0.7</v>
      </c>
      <c r="FW182" s="9">
        <v>1.7</v>
      </c>
      <c r="FX182" s="9">
        <v>1</v>
      </c>
      <c r="FY182" s="9">
        <v>1</v>
      </c>
      <c r="FZ182" s="9">
        <v>1.3</v>
      </c>
      <c r="GA182" s="9">
        <v>0.1</v>
      </c>
      <c r="GD182" s="9">
        <v>3.3</v>
      </c>
      <c r="GE182" s="9">
        <v>0</v>
      </c>
      <c r="GF182" s="9">
        <v>0.8</v>
      </c>
      <c r="GG182" s="9">
        <v>0.8</v>
      </c>
      <c r="GK182" s="9">
        <v>1.1000000000000001</v>
      </c>
      <c r="GM182" s="9">
        <v>-0.1</v>
      </c>
      <c r="GO182" s="9">
        <v>0.1</v>
      </c>
      <c r="GP182" s="9">
        <v>-0.6</v>
      </c>
      <c r="GQ182" s="9">
        <v>0.3</v>
      </c>
      <c r="GR182" s="9">
        <v>0.9</v>
      </c>
      <c r="GS182" s="9">
        <v>1.5</v>
      </c>
      <c r="GT182" s="9">
        <v>-0.7</v>
      </c>
      <c r="GU182" s="9">
        <v>2.2999999999999998</v>
      </c>
      <c r="GV182" s="9">
        <v>2.2999999999999998</v>
      </c>
      <c r="GW182" s="9">
        <v>0</v>
      </c>
      <c r="GX182" s="9">
        <v>1.9</v>
      </c>
      <c r="GY182" s="9">
        <v>1.9</v>
      </c>
      <c r="GZ182" s="9">
        <v>-1.4</v>
      </c>
      <c r="HA182" s="9">
        <v>-1.5</v>
      </c>
      <c r="HB182" s="9">
        <v>0.5</v>
      </c>
      <c r="HC182" s="9">
        <v>-2.5</v>
      </c>
      <c r="HD182" s="9">
        <v>0.8</v>
      </c>
      <c r="HE182" s="9">
        <v>2.2000000000000002</v>
      </c>
      <c r="HF182" s="9">
        <v>1.3</v>
      </c>
      <c r="HG182" s="9">
        <v>0.3</v>
      </c>
      <c r="HH182" s="9">
        <v>1.5</v>
      </c>
      <c r="HI182" s="9">
        <v>1.4</v>
      </c>
      <c r="HJ182" s="9">
        <v>1.8</v>
      </c>
      <c r="HK182" s="9">
        <v>0.4</v>
      </c>
      <c r="HL182" s="9">
        <v>0.2</v>
      </c>
      <c r="HM182" s="9">
        <v>1.1000000000000001</v>
      </c>
      <c r="HN182" s="9">
        <v>2.2999999999999998</v>
      </c>
      <c r="HO182" s="9">
        <v>2.5</v>
      </c>
      <c r="HP182" s="9">
        <v>1.7</v>
      </c>
      <c r="HQ182" s="9">
        <v>-0.6</v>
      </c>
      <c r="HR182" s="9">
        <v>-0.8</v>
      </c>
      <c r="HS182" s="9">
        <v>2</v>
      </c>
      <c r="HT182" s="9">
        <v>-2.4</v>
      </c>
      <c r="HU182" s="9">
        <v>-5.5</v>
      </c>
      <c r="HV182" s="9">
        <v>0.6</v>
      </c>
      <c r="HW182" s="9">
        <v>0.6</v>
      </c>
      <c r="HX182" s="9">
        <v>2.2000000000000002</v>
      </c>
      <c r="HY182" s="9">
        <v>2.2000000000000002</v>
      </c>
      <c r="HZ182" s="9">
        <v>0.1</v>
      </c>
      <c r="IA182" s="9">
        <v>0.1</v>
      </c>
      <c r="IB182" s="9">
        <v>0.7</v>
      </c>
      <c r="IC182" s="9">
        <v>0</v>
      </c>
      <c r="ID182" s="9">
        <v>-0.9</v>
      </c>
      <c r="IE182" s="9">
        <v>1.4</v>
      </c>
      <c r="IF182" s="9">
        <v>-1.6</v>
      </c>
      <c r="IG182" s="9">
        <v>1.3</v>
      </c>
      <c r="IH182" s="9">
        <v>3.1</v>
      </c>
      <c r="IK182" s="9">
        <v>-5.6</v>
      </c>
      <c r="IL182" s="9">
        <v>-9.3000000000000007</v>
      </c>
      <c r="IM182" s="9">
        <v>-1.9</v>
      </c>
      <c r="IN182" s="9">
        <v>0.7</v>
      </c>
      <c r="IQ182" s="9">
        <v>0.3</v>
      </c>
    </row>
    <row r="183" spans="1:251" x14ac:dyDescent="0.2">
      <c r="A183" s="10">
        <v>33482</v>
      </c>
      <c r="B183" s="8">
        <v>41.21</v>
      </c>
      <c r="C183" s="8">
        <v>38.229999999999997</v>
      </c>
      <c r="D183" s="8">
        <v>39.99</v>
      </c>
      <c r="E183" s="8">
        <v>33.630000000000003</v>
      </c>
      <c r="F183" s="8">
        <v>41.91</v>
      </c>
      <c r="G183" s="8">
        <v>57.34</v>
      </c>
      <c r="H183" s="8">
        <v>49.97</v>
      </c>
      <c r="I183" s="8">
        <v>41.77</v>
      </c>
      <c r="J183" s="8">
        <v>35.229999999999997</v>
      </c>
      <c r="K183" s="8">
        <v>42.7</v>
      </c>
      <c r="L183" s="8">
        <v>25</v>
      </c>
      <c r="M183" s="8">
        <v>72.06</v>
      </c>
      <c r="N183" s="8">
        <v>36.69</v>
      </c>
      <c r="O183" s="8">
        <v>45.47</v>
      </c>
      <c r="P183" s="8">
        <v>41.45</v>
      </c>
      <c r="Q183" s="8">
        <v>42.2</v>
      </c>
      <c r="R183" s="8">
        <v>39.880000000000003</v>
      </c>
      <c r="S183" s="8">
        <v>44.06</v>
      </c>
      <c r="T183" s="8">
        <v>34.07</v>
      </c>
      <c r="U183" s="8">
        <v>39.450000000000003</v>
      </c>
      <c r="V183" s="8">
        <v>30.12</v>
      </c>
      <c r="W183" s="8">
        <v>37.590000000000003</v>
      </c>
      <c r="X183" s="8">
        <v>30.1</v>
      </c>
      <c r="Y183" s="8">
        <v>42.95</v>
      </c>
      <c r="Z183" s="8">
        <v>55.47</v>
      </c>
      <c r="AA183" s="8">
        <v>31.17</v>
      </c>
      <c r="AB183" s="8">
        <v>35.4</v>
      </c>
      <c r="AC183" s="8">
        <v>52.85</v>
      </c>
      <c r="AD183" s="8">
        <v>43.94</v>
      </c>
      <c r="AE183" s="8">
        <v>45.91</v>
      </c>
      <c r="AF183" s="8">
        <v>42.54</v>
      </c>
      <c r="AG183" s="8">
        <v>35.78</v>
      </c>
      <c r="AH183" s="8">
        <v>36.1</v>
      </c>
      <c r="AI183" s="8">
        <v>34.75</v>
      </c>
      <c r="AJ183" s="8">
        <v>16.670000000000002</v>
      </c>
      <c r="AK183" s="8">
        <v>39.200000000000003</v>
      </c>
      <c r="AL183" s="8">
        <v>34.6</v>
      </c>
      <c r="AM183" s="8">
        <v>59.9</v>
      </c>
      <c r="AN183" s="8">
        <v>30.16</v>
      </c>
      <c r="AO183" s="8">
        <v>4.09</v>
      </c>
      <c r="AP183" s="8">
        <v>4.09</v>
      </c>
      <c r="AQ183" s="8">
        <v>95.54</v>
      </c>
      <c r="AR183" s="8">
        <v>110.76</v>
      </c>
      <c r="AS183" s="8">
        <v>107.13</v>
      </c>
      <c r="AT183" s="8">
        <v>117.65</v>
      </c>
      <c r="AU183" s="8">
        <v>94.17</v>
      </c>
      <c r="AV183" s="8">
        <v>118</v>
      </c>
      <c r="AW183" s="8">
        <v>127.65</v>
      </c>
      <c r="AX183" s="8">
        <v>116.07</v>
      </c>
      <c r="AY183" s="8">
        <v>105.74</v>
      </c>
      <c r="BB183" s="8">
        <v>33.299999999999997</v>
      </c>
      <c r="BC183" s="8">
        <v>37.299999999999997</v>
      </c>
      <c r="BD183" s="8">
        <v>38.799999999999997</v>
      </c>
      <c r="BE183" s="8">
        <v>38.799999999999997</v>
      </c>
      <c r="BI183" s="8">
        <v>39.25</v>
      </c>
      <c r="BK183" s="8">
        <v>24.82</v>
      </c>
      <c r="BM183" s="8">
        <v>26.41</v>
      </c>
      <c r="BN183" s="8">
        <v>19.149999999999999</v>
      </c>
      <c r="BO183" s="8">
        <v>66.91</v>
      </c>
      <c r="BP183" s="8">
        <v>62.1</v>
      </c>
      <c r="BQ183" s="8">
        <v>66.88</v>
      </c>
      <c r="BR183" s="8">
        <v>45.84</v>
      </c>
      <c r="BS183" s="8">
        <v>113.34</v>
      </c>
      <c r="BT183" s="8">
        <v>113.34</v>
      </c>
      <c r="BU183" s="8">
        <v>101.77</v>
      </c>
      <c r="BV183" s="8">
        <v>101.87</v>
      </c>
      <c r="BW183" s="8">
        <v>116.2</v>
      </c>
      <c r="BX183" s="8">
        <v>121.68</v>
      </c>
      <c r="BY183" s="8">
        <v>74.22</v>
      </c>
      <c r="BZ183" s="8">
        <v>66.75</v>
      </c>
      <c r="CA183" s="8">
        <v>69.58</v>
      </c>
      <c r="CB183" s="8">
        <v>77.680000000000007</v>
      </c>
      <c r="CC183" s="8">
        <v>55.94</v>
      </c>
      <c r="CD183" s="8">
        <v>28.82</v>
      </c>
      <c r="CE183" s="8">
        <v>29.61</v>
      </c>
      <c r="CF183" s="8">
        <v>32.770000000000003</v>
      </c>
      <c r="CG183" s="8">
        <v>25.6</v>
      </c>
      <c r="CH183" s="8">
        <v>24.65</v>
      </c>
      <c r="CI183" s="8">
        <v>57.86</v>
      </c>
      <c r="CJ183" s="8">
        <v>57.08</v>
      </c>
      <c r="CK183" s="8">
        <v>63.33</v>
      </c>
      <c r="CL183" s="8">
        <v>19.47</v>
      </c>
      <c r="CM183" s="8">
        <v>18.21</v>
      </c>
      <c r="CN183" s="8">
        <v>29.64</v>
      </c>
      <c r="CO183" s="8">
        <v>47.32</v>
      </c>
      <c r="CP183" s="8">
        <v>48.29</v>
      </c>
      <c r="CQ183" s="8">
        <v>99.58</v>
      </c>
      <c r="CR183" s="8">
        <v>50.37</v>
      </c>
      <c r="CS183" s="8">
        <v>34.880000000000003</v>
      </c>
      <c r="CT183" s="8">
        <v>43.92</v>
      </c>
      <c r="CU183" s="8">
        <v>26.14</v>
      </c>
      <c r="CV183" s="8">
        <v>36.950000000000003</v>
      </c>
      <c r="CW183" s="8">
        <v>36.950000000000003</v>
      </c>
      <c r="CX183" s="8">
        <v>117.51</v>
      </c>
      <c r="CY183" s="8">
        <v>117.51</v>
      </c>
      <c r="CZ183" s="8">
        <v>35.08</v>
      </c>
      <c r="DA183" s="8">
        <v>125.72</v>
      </c>
      <c r="DB183" s="8">
        <v>61.15</v>
      </c>
      <c r="DC183" s="8">
        <v>323.77999999999997</v>
      </c>
      <c r="DD183" s="8">
        <v>1712.01</v>
      </c>
      <c r="DE183" s="8">
        <v>85.5</v>
      </c>
      <c r="DF183" s="8">
        <v>40.75</v>
      </c>
      <c r="DI183" s="8">
        <v>43.44</v>
      </c>
      <c r="DJ183" s="8">
        <v>36.36</v>
      </c>
      <c r="DK183" s="8">
        <v>46.65</v>
      </c>
      <c r="DL183" s="8">
        <v>40.82</v>
      </c>
      <c r="DO183" s="8">
        <v>38.35</v>
      </c>
      <c r="DP183" s="8">
        <v>24.98</v>
      </c>
      <c r="DS183" s="8">
        <v>20.010000000000002</v>
      </c>
      <c r="DT183" s="8">
        <v>20.010000000000002</v>
      </c>
      <c r="DY183" s="8">
        <v>15.14</v>
      </c>
      <c r="DZ183" s="8">
        <v>15.14</v>
      </c>
      <c r="ED183" s="9">
        <v>0.6</v>
      </c>
      <c r="EE183" s="9">
        <v>0.7</v>
      </c>
      <c r="EF183" s="9">
        <v>-0.2</v>
      </c>
      <c r="EG183" s="9">
        <v>-0.3</v>
      </c>
      <c r="EH183" s="9">
        <v>0</v>
      </c>
      <c r="EI183" s="9">
        <v>-0.9</v>
      </c>
      <c r="EJ183" s="9">
        <v>0.5</v>
      </c>
      <c r="EK183" s="9">
        <v>-0.8</v>
      </c>
      <c r="EL183" s="9">
        <v>0.2</v>
      </c>
      <c r="EM183" s="9">
        <v>-2</v>
      </c>
      <c r="EN183" s="9">
        <v>0.6</v>
      </c>
      <c r="EO183" s="9">
        <v>-2.5</v>
      </c>
      <c r="EP183" s="9">
        <v>1.1000000000000001</v>
      </c>
      <c r="EQ183" s="9">
        <v>-4.5999999999999996</v>
      </c>
      <c r="ER183" s="9">
        <v>2.2000000000000002</v>
      </c>
      <c r="ES183" s="9">
        <v>2.2999999999999998</v>
      </c>
      <c r="ET183" s="9">
        <v>3.5</v>
      </c>
      <c r="EU183" s="9">
        <v>-0.3</v>
      </c>
      <c r="EV183" s="9">
        <v>2.8</v>
      </c>
      <c r="EW183" s="9">
        <v>0.7</v>
      </c>
      <c r="EX183" s="9">
        <v>5.0999999999999996</v>
      </c>
      <c r="EY183" s="9">
        <v>0.6</v>
      </c>
      <c r="EZ183" s="9">
        <v>-2.2000000000000002</v>
      </c>
      <c r="FA183" s="9">
        <v>2.1</v>
      </c>
      <c r="FB183" s="9">
        <v>0.5</v>
      </c>
      <c r="FC183" s="9">
        <v>1.1000000000000001</v>
      </c>
      <c r="FD183" s="9">
        <v>0.5</v>
      </c>
      <c r="FE183" s="9">
        <v>-0.5</v>
      </c>
      <c r="FF183" s="9">
        <v>0.1</v>
      </c>
      <c r="FG183" s="9">
        <v>-0.7</v>
      </c>
      <c r="FH183" s="9">
        <v>0.1</v>
      </c>
      <c r="FI183" s="9">
        <v>1</v>
      </c>
      <c r="FJ183" s="9">
        <v>1</v>
      </c>
      <c r="FK183" s="9">
        <v>1.1000000000000001</v>
      </c>
      <c r="FL183" s="9">
        <v>1.3</v>
      </c>
      <c r="FM183" s="9">
        <v>0.4</v>
      </c>
      <c r="FN183" s="9">
        <v>1.1000000000000001</v>
      </c>
      <c r="FO183" s="9">
        <v>0.2</v>
      </c>
      <c r="FP183" s="9">
        <v>0.2</v>
      </c>
      <c r="FQ183" s="9">
        <v>3.5</v>
      </c>
      <c r="FR183" s="9">
        <v>3.5</v>
      </c>
      <c r="FS183" s="9">
        <v>-0.4</v>
      </c>
      <c r="FT183" s="9">
        <v>-0.5</v>
      </c>
      <c r="FU183" s="9">
        <v>-1.7</v>
      </c>
      <c r="FV183" s="9">
        <v>0.1</v>
      </c>
      <c r="FW183" s="9">
        <v>-0.5</v>
      </c>
      <c r="FX183" s="9">
        <v>0.7</v>
      </c>
      <c r="FY183" s="9">
        <v>0.6</v>
      </c>
      <c r="FZ183" s="9">
        <v>0.3</v>
      </c>
      <c r="GA183" s="9">
        <v>2.1</v>
      </c>
      <c r="GD183" s="9">
        <v>0.1</v>
      </c>
      <c r="GE183" s="9">
        <v>-2</v>
      </c>
      <c r="GF183" s="9">
        <v>0.4</v>
      </c>
      <c r="GG183" s="9">
        <v>0.4</v>
      </c>
      <c r="GK183" s="9">
        <v>2.1</v>
      </c>
      <c r="GM183" s="9">
        <v>3.9</v>
      </c>
      <c r="GO183" s="9">
        <v>4</v>
      </c>
      <c r="GP183" s="9">
        <v>3.3</v>
      </c>
      <c r="GQ183" s="9">
        <v>1</v>
      </c>
      <c r="GR183" s="9">
        <v>-1</v>
      </c>
      <c r="GS183" s="9">
        <v>-1.4</v>
      </c>
      <c r="GT183" s="9">
        <v>0</v>
      </c>
      <c r="GU183" s="9">
        <v>0.1</v>
      </c>
      <c r="GV183" s="9">
        <v>0.1</v>
      </c>
      <c r="GW183" s="9">
        <v>0.4</v>
      </c>
      <c r="GX183" s="9">
        <v>0.7</v>
      </c>
      <c r="GY183" s="9">
        <v>0.7</v>
      </c>
      <c r="GZ183" s="9">
        <v>-2.9</v>
      </c>
      <c r="HA183" s="9">
        <v>3.2</v>
      </c>
      <c r="HB183" s="9">
        <v>1.1000000000000001</v>
      </c>
      <c r="HC183" s="9">
        <v>1.9</v>
      </c>
      <c r="HD183" s="9">
        <v>-0.2</v>
      </c>
      <c r="HE183" s="9">
        <v>1</v>
      </c>
      <c r="HF183" s="9">
        <v>2.2999999999999998</v>
      </c>
      <c r="HG183" s="9">
        <v>0.8</v>
      </c>
      <c r="HH183" s="9">
        <v>0</v>
      </c>
      <c r="HI183" s="9">
        <v>2.2999999999999998</v>
      </c>
      <c r="HJ183" s="9">
        <v>2.8</v>
      </c>
      <c r="HK183" s="9">
        <v>-1.3</v>
      </c>
      <c r="HL183" s="9">
        <v>-1.6</v>
      </c>
      <c r="HM183" s="9">
        <v>0.4</v>
      </c>
      <c r="HN183" s="9">
        <v>4</v>
      </c>
      <c r="HO183" s="9">
        <v>4.5</v>
      </c>
      <c r="HP183" s="9">
        <v>1.8</v>
      </c>
      <c r="HQ183" s="9">
        <v>1.9</v>
      </c>
      <c r="HR183" s="9">
        <v>1.8</v>
      </c>
      <c r="HS183" s="9">
        <v>1.5</v>
      </c>
      <c r="HT183" s="9">
        <v>0.3</v>
      </c>
      <c r="HU183" s="9">
        <v>5.5</v>
      </c>
      <c r="HV183" s="9">
        <v>1.1000000000000001</v>
      </c>
      <c r="HW183" s="9">
        <v>3.6</v>
      </c>
      <c r="HX183" s="9">
        <v>3</v>
      </c>
      <c r="HY183" s="9">
        <v>3</v>
      </c>
      <c r="HZ183" s="9">
        <v>4</v>
      </c>
      <c r="IA183" s="9">
        <v>4</v>
      </c>
      <c r="IB183" s="9">
        <v>0</v>
      </c>
      <c r="IC183" s="9">
        <v>4.5999999999999996</v>
      </c>
      <c r="ID183" s="9">
        <v>1.2</v>
      </c>
      <c r="IE183" s="9">
        <v>-0.4</v>
      </c>
      <c r="IF183" s="9">
        <v>-1.3</v>
      </c>
      <c r="IG183" s="9">
        <v>-0.4</v>
      </c>
      <c r="IH183" s="9">
        <v>1.8</v>
      </c>
      <c r="IK183" s="9">
        <v>1.2</v>
      </c>
      <c r="IL183" s="9">
        <v>2.2000000000000002</v>
      </c>
      <c r="IM183" s="9">
        <v>0.4</v>
      </c>
      <c r="IN183" s="9">
        <v>0.6</v>
      </c>
      <c r="IQ183" s="9">
        <v>0.2</v>
      </c>
    </row>
    <row r="184" spans="1:251" x14ac:dyDescent="0.2">
      <c r="A184" s="10">
        <v>33573</v>
      </c>
      <c r="B184" s="8">
        <v>41.6</v>
      </c>
      <c r="C184" s="8">
        <v>38.409999999999997</v>
      </c>
      <c r="D184" s="8">
        <v>40.58</v>
      </c>
      <c r="E184" s="8">
        <v>34.35</v>
      </c>
      <c r="F184" s="8">
        <v>42.41</v>
      </c>
      <c r="G184" s="8">
        <v>57.34</v>
      </c>
      <c r="H184" s="8">
        <v>51.07</v>
      </c>
      <c r="I184" s="8">
        <v>41.23</v>
      </c>
      <c r="J184" s="8">
        <v>34.89</v>
      </c>
      <c r="K184" s="8">
        <v>43.29</v>
      </c>
      <c r="L184" s="8">
        <v>23.62</v>
      </c>
      <c r="M184" s="8">
        <v>70.81</v>
      </c>
      <c r="N184" s="8">
        <v>36.520000000000003</v>
      </c>
      <c r="O184" s="8">
        <v>44.8</v>
      </c>
      <c r="P184" s="8">
        <v>41.42</v>
      </c>
      <c r="Q184" s="8">
        <v>42.8</v>
      </c>
      <c r="R184" s="8">
        <v>39.17</v>
      </c>
      <c r="S184" s="8">
        <v>43.19</v>
      </c>
      <c r="T184" s="8">
        <v>34.83</v>
      </c>
      <c r="U184" s="8">
        <v>36.29</v>
      </c>
      <c r="V184" s="8">
        <v>33.69</v>
      </c>
      <c r="W184" s="8">
        <v>38.14</v>
      </c>
      <c r="X184" s="8">
        <v>29.67</v>
      </c>
      <c r="Y184" s="8">
        <v>43.37</v>
      </c>
      <c r="Z184" s="8">
        <v>54.9</v>
      </c>
      <c r="AA184" s="8">
        <v>30.26</v>
      </c>
      <c r="AB184" s="8">
        <v>35.92</v>
      </c>
      <c r="AC184" s="8">
        <v>52.99</v>
      </c>
      <c r="AD184" s="8">
        <v>44.3</v>
      </c>
      <c r="AE184" s="8">
        <v>45.41</v>
      </c>
      <c r="AF184" s="8">
        <v>42.89</v>
      </c>
      <c r="AG184" s="8">
        <v>36.17</v>
      </c>
      <c r="AH184" s="8">
        <v>36.130000000000003</v>
      </c>
      <c r="AI184" s="8">
        <v>35.409999999999997</v>
      </c>
      <c r="AJ184" s="8">
        <v>16.829999999999998</v>
      </c>
      <c r="AK184" s="8">
        <v>39.520000000000003</v>
      </c>
      <c r="AL184" s="8">
        <v>35.049999999999997</v>
      </c>
      <c r="AM184" s="8">
        <v>60.13</v>
      </c>
      <c r="AN184" s="8">
        <v>30.36</v>
      </c>
      <c r="AO184" s="8">
        <v>4.1500000000000004</v>
      </c>
      <c r="AP184" s="8">
        <v>4.1500000000000004</v>
      </c>
      <c r="AQ184" s="8">
        <v>95.99</v>
      </c>
      <c r="AR184" s="8">
        <v>111.29</v>
      </c>
      <c r="AS184" s="8">
        <v>109.46</v>
      </c>
      <c r="AT184" s="8">
        <v>117.65</v>
      </c>
      <c r="AU184" s="8">
        <v>93.63</v>
      </c>
      <c r="AV184" s="8">
        <v>118.34</v>
      </c>
      <c r="AW184" s="8">
        <v>128.47999999999999</v>
      </c>
      <c r="AX184" s="8">
        <v>115.63</v>
      </c>
      <c r="AY184" s="8">
        <v>106.75</v>
      </c>
      <c r="BB184" s="8">
        <v>33.33</v>
      </c>
      <c r="BC184" s="8">
        <v>37.119999999999997</v>
      </c>
      <c r="BD184" s="8">
        <v>38.880000000000003</v>
      </c>
      <c r="BE184" s="8">
        <v>38.880000000000003</v>
      </c>
      <c r="BI184" s="8">
        <v>39.43</v>
      </c>
      <c r="BK184" s="8">
        <v>24.91</v>
      </c>
      <c r="BM184" s="8">
        <v>26.53</v>
      </c>
      <c r="BN184" s="8">
        <v>19.149999999999999</v>
      </c>
      <c r="BO184" s="8">
        <v>67.34</v>
      </c>
      <c r="BP184" s="8">
        <v>63.68</v>
      </c>
      <c r="BQ184" s="8">
        <v>69.319999999999993</v>
      </c>
      <c r="BR184" s="8">
        <v>45.44</v>
      </c>
      <c r="BS184" s="8">
        <v>112.92</v>
      </c>
      <c r="BT184" s="8">
        <v>112.92</v>
      </c>
      <c r="BU184" s="8">
        <v>101.87</v>
      </c>
      <c r="BV184" s="8">
        <v>101.97</v>
      </c>
      <c r="BW184" s="8">
        <v>116.31</v>
      </c>
      <c r="BX184" s="8">
        <v>123.23</v>
      </c>
      <c r="BY184" s="8">
        <v>73.599999999999994</v>
      </c>
      <c r="BZ184" s="8">
        <v>66.69</v>
      </c>
      <c r="CA184" s="8">
        <v>69.58</v>
      </c>
      <c r="CB184" s="8">
        <v>79.400000000000006</v>
      </c>
      <c r="CC184" s="8">
        <v>55.73</v>
      </c>
      <c r="CD184" s="8">
        <v>29.26</v>
      </c>
      <c r="CE184" s="8">
        <v>29.67</v>
      </c>
      <c r="CF184" s="8">
        <v>33.11</v>
      </c>
      <c r="CG184" s="8">
        <v>26</v>
      </c>
      <c r="CH184" s="8">
        <v>25.93</v>
      </c>
      <c r="CI184" s="8">
        <v>56.02</v>
      </c>
      <c r="CJ184" s="8">
        <v>54.76</v>
      </c>
      <c r="CK184" s="8">
        <v>63.69</v>
      </c>
      <c r="CL184" s="8">
        <v>20.97</v>
      </c>
      <c r="CM184" s="8">
        <v>19.87</v>
      </c>
      <c r="CN184" s="8">
        <v>29.88</v>
      </c>
      <c r="CO184" s="8">
        <v>48.07</v>
      </c>
      <c r="CP184" s="8">
        <v>49.1</v>
      </c>
      <c r="CQ184" s="8">
        <v>101.51</v>
      </c>
      <c r="CR184" s="8">
        <v>50.47</v>
      </c>
      <c r="CS184" s="8">
        <v>34.76</v>
      </c>
      <c r="CT184" s="8">
        <v>43.96</v>
      </c>
      <c r="CU184" s="8">
        <v>27.07</v>
      </c>
      <c r="CV184" s="8">
        <v>37.42</v>
      </c>
      <c r="CW184" s="8">
        <v>37.42</v>
      </c>
      <c r="CX184" s="8">
        <v>117.51</v>
      </c>
      <c r="CY184" s="8">
        <v>117.51</v>
      </c>
      <c r="CZ184" s="8">
        <v>35.08</v>
      </c>
      <c r="DA184" s="8">
        <v>125.6</v>
      </c>
      <c r="DB184" s="8">
        <v>61.84</v>
      </c>
      <c r="DC184" s="8">
        <v>320.07</v>
      </c>
      <c r="DD184" s="8">
        <v>1726.96</v>
      </c>
      <c r="DE184" s="8">
        <v>84.52</v>
      </c>
      <c r="DF184" s="8">
        <v>40.9</v>
      </c>
      <c r="DI184" s="8">
        <v>45.23</v>
      </c>
      <c r="DJ184" s="8">
        <v>37.159999999999997</v>
      </c>
      <c r="DK184" s="8">
        <v>49.29</v>
      </c>
      <c r="DL184" s="8">
        <v>41.09</v>
      </c>
      <c r="DO184" s="8">
        <v>38.61</v>
      </c>
      <c r="DP184" s="8">
        <v>25.2</v>
      </c>
      <c r="DS184" s="8">
        <v>20.010000000000002</v>
      </c>
      <c r="DT184" s="8">
        <v>20.010000000000002</v>
      </c>
      <c r="DY184" s="8">
        <v>15.96</v>
      </c>
      <c r="DZ184" s="8">
        <v>15.96</v>
      </c>
      <c r="ED184" s="9">
        <v>0.9</v>
      </c>
      <c r="EE184" s="9">
        <v>0.5</v>
      </c>
      <c r="EF184" s="9">
        <v>1.5</v>
      </c>
      <c r="EG184" s="9">
        <v>2.1</v>
      </c>
      <c r="EH184" s="9">
        <v>1.2</v>
      </c>
      <c r="EI184" s="9">
        <v>0</v>
      </c>
      <c r="EJ184" s="9">
        <v>2.2000000000000002</v>
      </c>
      <c r="EK184" s="9">
        <v>-1.3</v>
      </c>
      <c r="EL184" s="9">
        <v>-1</v>
      </c>
      <c r="EM184" s="9">
        <v>1.4</v>
      </c>
      <c r="EN184" s="9">
        <v>-5.5</v>
      </c>
      <c r="EO184" s="9">
        <v>-1.7</v>
      </c>
      <c r="EP184" s="9">
        <v>-0.5</v>
      </c>
      <c r="EQ184" s="9">
        <v>-1.5</v>
      </c>
      <c r="ER184" s="9">
        <v>-0.1</v>
      </c>
      <c r="ES184" s="9">
        <v>1.4</v>
      </c>
      <c r="ET184" s="9">
        <v>-1.8</v>
      </c>
      <c r="EU184" s="9">
        <v>-2</v>
      </c>
      <c r="EV184" s="9">
        <v>2.2000000000000002</v>
      </c>
      <c r="EW184" s="9">
        <v>-8</v>
      </c>
      <c r="EX184" s="9">
        <v>11.9</v>
      </c>
      <c r="EY184" s="9">
        <v>1.5</v>
      </c>
      <c r="EZ184" s="9">
        <v>-1.4</v>
      </c>
      <c r="FA184" s="9">
        <v>1</v>
      </c>
      <c r="FB184" s="9">
        <v>-1</v>
      </c>
      <c r="FC184" s="9">
        <v>-2.9</v>
      </c>
      <c r="FD184" s="9">
        <v>1.5</v>
      </c>
      <c r="FE184" s="9">
        <v>0.3</v>
      </c>
      <c r="FF184" s="9">
        <v>0.8</v>
      </c>
      <c r="FG184" s="9">
        <v>-1.1000000000000001</v>
      </c>
      <c r="FH184" s="9">
        <v>0.8</v>
      </c>
      <c r="FI184" s="9">
        <v>1.1000000000000001</v>
      </c>
      <c r="FJ184" s="9">
        <v>0.1</v>
      </c>
      <c r="FK184" s="9">
        <v>1.9</v>
      </c>
      <c r="FL184" s="9">
        <v>1</v>
      </c>
      <c r="FM184" s="9">
        <v>0.8</v>
      </c>
      <c r="FN184" s="9">
        <v>1.3</v>
      </c>
      <c r="FO184" s="9">
        <v>0.4</v>
      </c>
      <c r="FP184" s="9">
        <v>0.7</v>
      </c>
      <c r="FQ184" s="9">
        <v>1.5</v>
      </c>
      <c r="FR184" s="9">
        <v>1.5</v>
      </c>
      <c r="FS184" s="9">
        <v>0.5</v>
      </c>
      <c r="FT184" s="9">
        <v>0.5</v>
      </c>
      <c r="FU184" s="9">
        <v>2.2000000000000002</v>
      </c>
      <c r="FV184" s="9">
        <v>0</v>
      </c>
      <c r="FW184" s="9">
        <v>-0.6</v>
      </c>
      <c r="FX184" s="9">
        <v>0.3</v>
      </c>
      <c r="FY184" s="9">
        <v>0.7</v>
      </c>
      <c r="FZ184" s="9">
        <v>-0.4</v>
      </c>
      <c r="GA184" s="9">
        <v>1</v>
      </c>
      <c r="GD184" s="9">
        <v>0.1</v>
      </c>
      <c r="GE184" s="9">
        <v>-0.5</v>
      </c>
      <c r="GF184" s="9">
        <v>0.2</v>
      </c>
      <c r="GG184" s="9">
        <v>0.2</v>
      </c>
      <c r="GK184" s="9">
        <v>0.5</v>
      </c>
      <c r="GM184" s="9">
        <v>0.4</v>
      </c>
      <c r="GO184" s="9">
        <v>0.5</v>
      </c>
      <c r="GP184" s="9">
        <v>0</v>
      </c>
      <c r="GQ184" s="9">
        <v>0.6</v>
      </c>
      <c r="GR184" s="9">
        <v>2.5</v>
      </c>
      <c r="GS184" s="9">
        <v>3.6</v>
      </c>
      <c r="GT184" s="9">
        <v>-0.9</v>
      </c>
      <c r="GU184" s="9">
        <v>-0.4</v>
      </c>
      <c r="GV184" s="9">
        <v>-0.4</v>
      </c>
      <c r="GW184" s="9">
        <v>0.1</v>
      </c>
      <c r="GX184" s="9">
        <v>0.1</v>
      </c>
      <c r="GY184" s="9">
        <v>0.1</v>
      </c>
      <c r="GZ184" s="9">
        <v>1.3</v>
      </c>
      <c r="HA184" s="9">
        <v>-0.8</v>
      </c>
      <c r="HB184" s="9">
        <v>-0.1</v>
      </c>
      <c r="HC184" s="9">
        <v>0</v>
      </c>
      <c r="HD184" s="9">
        <v>2.2000000000000002</v>
      </c>
      <c r="HE184" s="9">
        <v>-0.4</v>
      </c>
      <c r="HF184" s="9">
        <v>1.5</v>
      </c>
      <c r="HG184" s="9">
        <v>0.2</v>
      </c>
      <c r="HH184" s="9">
        <v>1</v>
      </c>
      <c r="HI184" s="9">
        <v>1.6</v>
      </c>
      <c r="HJ184" s="9">
        <v>5.2</v>
      </c>
      <c r="HK184" s="9">
        <v>-3.2</v>
      </c>
      <c r="HL184" s="9">
        <v>-4.0999999999999996</v>
      </c>
      <c r="HM184" s="9">
        <v>0.6</v>
      </c>
      <c r="HN184" s="9">
        <v>7.7</v>
      </c>
      <c r="HO184" s="9">
        <v>9.1</v>
      </c>
      <c r="HP184" s="9">
        <v>0.8</v>
      </c>
      <c r="HQ184" s="9">
        <v>1.6</v>
      </c>
      <c r="HR184" s="9">
        <v>1.7</v>
      </c>
      <c r="HS184" s="9">
        <v>1.9</v>
      </c>
      <c r="HT184" s="9">
        <v>0.2</v>
      </c>
      <c r="HU184" s="9">
        <v>-0.3</v>
      </c>
      <c r="HV184" s="9">
        <v>0.1</v>
      </c>
      <c r="HW184" s="9">
        <v>3.6</v>
      </c>
      <c r="HX184" s="9">
        <v>1.3</v>
      </c>
      <c r="HY184" s="9">
        <v>1.3</v>
      </c>
      <c r="HZ184" s="9">
        <v>0</v>
      </c>
      <c r="IA184" s="9">
        <v>0</v>
      </c>
      <c r="IB184" s="9">
        <v>0</v>
      </c>
      <c r="IC184" s="9">
        <v>-0.1</v>
      </c>
      <c r="ID184" s="9">
        <v>1.1000000000000001</v>
      </c>
      <c r="IE184" s="9">
        <v>-1.1000000000000001</v>
      </c>
      <c r="IF184" s="9">
        <v>0.9</v>
      </c>
      <c r="IG184" s="9">
        <v>-1.1000000000000001</v>
      </c>
      <c r="IH184" s="9">
        <v>0.4</v>
      </c>
      <c r="IK184" s="9">
        <v>4.0999999999999996</v>
      </c>
      <c r="IL184" s="9">
        <v>2.2000000000000002</v>
      </c>
      <c r="IM184" s="9">
        <v>5.7</v>
      </c>
      <c r="IN184" s="9">
        <v>0.7</v>
      </c>
      <c r="IQ184" s="9">
        <v>0.7</v>
      </c>
    </row>
    <row r="185" spans="1:251" x14ac:dyDescent="0.2">
      <c r="A185" s="10">
        <v>33664</v>
      </c>
      <c r="B185" s="8">
        <v>41.6</v>
      </c>
      <c r="C185" s="8">
        <v>38.630000000000003</v>
      </c>
      <c r="D185" s="8">
        <v>40.840000000000003</v>
      </c>
      <c r="E185" s="8">
        <v>34.79</v>
      </c>
      <c r="F185" s="8">
        <v>42.33</v>
      </c>
      <c r="G185" s="8">
        <v>58.29</v>
      </c>
      <c r="H185" s="8">
        <v>51.4</v>
      </c>
      <c r="I185" s="8">
        <v>41.44</v>
      </c>
      <c r="J185" s="8">
        <v>34.99</v>
      </c>
      <c r="K185" s="8">
        <v>43.51</v>
      </c>
      <c r="L185" s="8">
        <v>23.76</v>
      </c>
      <c r="M185" s="8">
        <v>71.2</v>
      </c>
      <c r="N185" s="8">
        <v>36.65</v>
      </c>
      <c r="O185" s="8">
        <v>45.14</v>
      </c>
      <c r="P185" s="8">
        <v>41.87</v>
      </c>
      <c r="Q185" s="8">
        <v>42.92</v>
      </c>
      <c r="R185" s="8">
        <v>40.450000000000003</v>
      </c>
      <c r="S185" s="8">
        <v>43.31</v>
      </c>
      <c r="T185" s="8">
        <v>34.64</v>
      </c>
      <c r="U185" s="8">
        <v>37.47</v>
      </c>
      <c r="V185" s="8">
        <v>32.49</v>
      </c>
      <c r="W185" s="8">
        <v>38.28</v>
      </c>
      <c r="X185" s="8">
        <v>29.58</v>
      </c>
      <c r="Y185" s="8">
        <v>43.97</v>
      </c>
      <c r="Z185" s="8">
        <v>54.7</v>
      </c>
      <c r="AA185" s="8">
        <v>30.78</v>
      </c>
      <c r="AB185" s="8">
        <v>36.049999999999997</v>
      </c>
      <c r="AC185" s="8">
        <v>53.62</v>
      </c>
      <c r="AD185" s="8">
        <v>45.54</v>
      </c>
      <c r="AE185" s="8">
        <v>45.63</v>
      </c>
      <c r="AF185" s="8">
        <v>44.1</v>
      </c>
      <c r="AG185" s="8">
        <v>36.270000000000003</v>
      </c>
      <c r="AH185" s="8">
        <v>36.26</v>
      </c>
      <c r="AI185" s="8">
        <v>35.47</v>
      </c>
      <c r="AJ185" s="8">
        <v>16.899999999999999</v>
      </c>
      <c r="AK185" s="8">
        <v>39.630000000000003</v>
      </c>
      <c r="AL185" s="8">
        <v>34.96</v>
      </c>
      <c r="AM185" s="8">
        <v>60.02</v>
      </c>
      <c r="AN185" s="8">
        <v>30.55</v>
      </c>
      <c r="AO185" s="8">
        <v>4.1900000000000004</v>
      </c>
      <c r="AP185" s="8">
        <v>4.1900000000000004</v>
      </c>
      <c r="AQ185" s="8">
        <v>95.81</v>
      </c>
      <c r="AR185" s="8">
        <v>110.97</v>
      </c>
      <c r="AS185" s="8">
        <v>108.45</v>
      </c>
      <c r="AT185" s="8">
        <v>117.76</v>
      </c>
      <c r="AU185" s="8">
        <v>92.93</v>
      </c>
      <c r="AV185" s="8">
        <v>118.56</v>
      </c>
      <c r="AW185" s="8">
        <v>128.13</v>
      </c>
      <c r="AX185" s="8">
        <v>116.29</v>
      </c>
      <c r="AY185" s="8">
        <v>106.85</v>
      </c>
      <c r="BB185" s="8">
        <v>33.770000000000003</v>
      </c>
      <c r="BC185" s="8">
        <v>36.270000000000003</v>
      </c>
      <c r="BD185" s="8">
        <v>38.950000000000003</v>
      </c>
      <c r="BE185" s="8">
        <v>38.950000000000003</v>
      </c>
      <c r="BI185" s="8">
        <v>39.29</v>
      </c>
      <c r="BK185" s="8">
        <v>24.95</v>
      </c>
      <c r="BM185" s="8">
        <v>26.55</v>
      </c>
      <c r="BN185" s="8">
        <v>19.239999999999998</v>
      </c>
      <c r="BO185" s="8">
        <v>67.16</v>
      </c>
      <c r="BP185" s="8">
        <v>62.74</v>
      </c>
      <c r="BQ185" s="8">
        <v>67.760000000000005</v>
      </c>
      <c r="BR185" s="8">
        <v>45.84</v>
      </c>
      <c r="BS185" s="8">
        <v>113.03</v>
      </c>
      <c r="BT185" s="8">
        <v>113.03</v>
      </c>
      <c r="BU185" s="8">
        <v>102.36</v>
      </c>
      <c r="BV185" s="8">
        <v>102.46</v>
      </c>
      <c r="BW185" s="8">
        <v>116.87</v>
      </c>
      <c r="BX185" s="8">
        <v>123.47</v>
      </c>
      <c r="BY185" s="8">
        <v>73.94</v>
      </c>
      <c r="BZ185" s="8">
        <v>66.38</v>
      </c>
      <c r="CA185" s="8">
        <v>69.2</v>
      </c>
      <c r="CB185" s="8">
        <v>79.83</v>
      </c>
      <c r="CC185" s="8">
        <v>55.53</v>
      </c>
      <c r="CD185" s="8">
        <v>29.69</v>
      </c>
      <c r="CE185" s="8">
        <v>31.53</v>
      </c>
      <c r="CF185" s="8">
        <v>33.380000000000003</v>
      </c>
      <c r="CG185" s="8">
        <v>26.37</v>
      </c>
      <c r="CH185" s="8">
        <v>27.57</v>
      </c>
      <c r="CI185" s="8">
        <v>59.65</v>
      </c>
      <c r="CJ185" s="8">
        <v>59.14</v>
      </c>
      <c r="CK185" s="8">
        <v>63.93</v>
      </c>
      <c r="CL185" s="8">
        <v>22.35</v>
      </c>
      <c r="CM185" s="8">
        <v>21.38</v>
      </c>
      <c r="CN185" s="8">
        <v>30.27</v>
      </c>
      <c r="CO185" s="8">
        <v>48.07</v>
      </c>
      <c r="CP185" s="8">
        <v>49.06</v>
      </c>
      <c r="CQ185" s="8">
        <v>101.99</v>
      </c>
      <c r="CR185" s="8">
        <v>50.17</v>
      </c>
      <c r="CS185" s="8">
        <v>34.32</v>
      </c>
      <c r="CT185" s="8">
        <v>44.16</v>
      </c>
      <c r="CU185" s="8">
        <v>27.07</v>
      </c>
      <c r="CV185" s="8">
        <v>37.880000000000003</v>
      </c>
      <c r="CW185" s="8">
        <v>37.880000000000003</v>
      </c>
      <c r="CX185" s="8">
        <v>118.39</v>
      </c>
      <c r="CY185" s="8">
        <v>118.39</v>
      </c>
      <c r="CZ185" s="8">
        <v>36.93</v>
      </c>
      <c r="DA185" s="8">
        <v>125.72</v>
      </c>
      <c r="DB185" s="8">
        <v>61.03</v>
      </c>
      <c r="DC185" s="8">
        <v>308.63</v>
      </c>
      <c r="DD185" s="8">
        <v>1713.88</v>
      </c>
      <c r="DE185" s="8">
        <v>81.5</v>
      </c>
      <c r="DF185" s="8">
        <v>41.45</v>
      </c>
      <c r="DI185" s="8">
        <v>42.44</v>
      </c>
      <c r="DJ185" s="8">
        <v>36.4</v>
      </c>
      <c r="DK185" s="8">
        <v>44.46</v>
      </c>
      <c r="DL185" s="8">
        <v>41.2</v>
      </c>
      <c r="DO185" s="8">
        <v>38.39</v>
      </c>
      <c r="DP185" s="8">
        <v>25.79</v>
      </c>
      <c r="DS185" s="8">
        <v>21.58</v>
      </c>
      <c r="DT185" s="8">
        <v>21.58</v>
      </c>
      <c r="DY185" s="8">
        <v>15.98</v>
      </c>
      <c r="DZ185" s="8">
        <v>15.98</v>
      </c>
      <c r="ED185" s="9">
        <v>0</v>
      </c>
      <c r="EE185" s="9">
        <v>0.6</v>
      </c>
      <c r="EF185" s="9">
        <v>0.6</v>
      </c>
      <c r="EG185" s="9">
        <v>1.3</v>
      </c>
      <c r="EH185" s="9">
        <v>-0.2</v>
      </c>
      <c r="EI185" s="9">
        <v>1.7</v>
      </c>
      <c r="EJ185" s="9">
        <v>0.6</v>
      </c>
      <c r="EK185" s="9">
        <v>0.5</v>
      </c>
      <c r="EL185" s="9">
        <v>0.3</v>
      </c>
      <c r="EM185" s="9">
        <v>0.5</v>
      </c>
      <c r="EN185" s="9">
        <v>0.6</v>
      </c>
      <c r="EO185" s="9">
        <v>0.6</v>
      </c>
      <c r="EP185" s="9">
        <v>0.4</v>
      </c>
      <c r="EQ185" s="9">
        <v>0.8</v>
      </c>
      <c r="ER185" s="9">
        <v>1.1000000000000001</v>
      </c>
      <c r="ES185" s="9">
        <v>0.3</v>
      </c>
      <c r="ET185" s="9">
        <v>3.3</v>
      </c>
      <c r="EU185" s="9">
        <v>0.3</v>
      </c>
      <c r="EV185" s="9">
        <v>-0.5</v>
      </c>
      <c r="EW185" s="9">
        <v>3.3</v>
      </c>
      <c r="EX185" s="9">
        <v>-3.6</v>
      </c>
      <c r="EY185" s="9">
        <v>0.4</v>
      </c>
      <c r="EZ185" s="9">
        <v>-0.3</v>
      </c>
      <c r="FA185" s="9">
        <v>1.4</v>
      </c>
      <c r="FB185" s="9">
        <v>-0.4</v>
      </c>
      <c r="FC185" s="9">
        <v>1.7</v>
      </c>
      <c r="FD185" s="9">
        <v>0.4</v>
      </c>
      <c r="FE185" s="9">
        <v>1.2</v>
      </c>
      <c r="FF185" s="9">
        <v>2.8</v>
      </c>
      <c r="FG185" s="9">
        <v>0.5</v>
      </c>
      <c r="FH185" s="9">
        <v>2.8</v>
      </c>
      <c r="FI185" s="9">
        <v>0.3</v>
      </c>
      <c r="FJ185" s="9">
        <v>0.4</v>
      </c>
      <c r="FK185" s="9">
        <v>0.2</v>
      </c>
      <c r="FL185" s="9">
        <v>0.4</v>
      </c>
      <c r="FM185" s="9">
        <v>0.3</v>
      </c>
      <c r="FN185" s="9">
        <v>-0.3</v>
      </c>
      <c r="FO185" s="9">
        <v>-0.2</v>
      </c>
      <c r="FP185" s="9">
        <v>0.6</v>
      </c>
      <c r="FQ185" s="9">
        <v>1</v>
      </c>
      <c r="FR185" s="9">
        <v>1</v>
      </c>
      <c r="FS185" s="9">
        <v>-0.2</v>
      </c>
      <c r="FT185" s="9">
        <v>-0.3</v>
      </c>
      <c r="FU185" s="9">
        <v>-0.9</v>
      </c>
      <c r="FV185" s="9">
        <v>0.1</v>
      </c>
      <c r="FW185" s="9">
        <v>-0.7</v>
      </c>
      <c r="FX185" s="9">
        <v>0.2</v>
      </c>
      <c r="FY185" s="9">
        <v>-0.3</v>
      </c>
      <c r="FZ185" s="9">
        <v>0.6</v>
      </c>
      <c r="GA185" s="9">
        <v>0.1</v>
      </c>
      <c r="GD185" s="9">
        <v>1.3</v>
      </c>
      <c r="GE185" s="9">
        <v>-2.2999999999999998</v>
      </c>
      <c r="GF185" s="9">
        <v>0.2</v>
      </c>
      <c r="GG185" s="9">
        <v>0.2</v>
      </c>
      <c r="GK185" s="9">
        <v>-0.4</v>
      </c>
      <c r="GM185" s="9">
        <v>0.2</v>
      </c>
      <c r="GO185" s="9">
        <v>0.1</v>
      </c>
      <c r="GP185" s="9">
        <v>0.5</v>
      </c>
      <c r="GQ185" s="9">
        <v>-0.3</v>
      </c>
      <c r="GR185" s="9">
        <v>-1.5</v>
      </c>
      <c r="GS185" s="9">
        <v>-2.2999999999999998</v>
      </c>
      <c r="GT185" s="9">
        <v>0.9</v>
      </c>
      <c r="GU185" s="9">
        <v>0.1</v>
      </c>
      <c r="GV185" s="9">
        <v>0.1</v>
      </c>
      <c r="GW185" s="9">
        <v>0.5</v>
      </c>
      <c r="GX185" s="9">
        <v>0.5</v>
      </c>
      <c r="GY185" s="9">
        <v>0.5</v>
      </c>
      <c r="GZ185" s="9">
        <v>0.2</v>
      </c>
      <c r="HA185" s="9">
        <v>0.5</v>
      </c>
      <c r="HB185" s="9">
        <v>-0.5</v>
      </c>
      <c r="HC185" s="9">
        <v>-0.5</v>
      </c>
      <c r="HD185" s="9">
        <v>0.5</v>
      </c>
      <c r="HE185" s="9">
        <v>-0.4</v>
      </c>
      <c r="HF185" s="9">
        <v>1.5</v>
      </c>
      <c r="HG185" s="9">
        <v>6.3</v>
      </c>
      <c r="HH185" s="9">
        <v>0.8</v>
      </c>
      <c r="HI185" s="9">
        <v>1.4</v>
      </c>
      <c r="HJ185" s="9">
        <v>6.3</v>
      </c>
      <c r="HK185" s="9">
        <v>6.5</v>
      </c>
      <c r="HL185" s="9">
        <v>8</v>
      </c>
      <c r="HM185" s="9">
        <v>0.4</v>
      </c>
      <c r="HN185" s="9">
        <v>6.6</v>
      </c>
      <c r="HO185" s="9">
        <v>7.6</v>
      </c>
      <c r="HP185" s="9">
        <v>1.3</v>
      </c>
      <c r="HQ185" s="9">
        <v>0</v>
      </c>
      <c r="HR185" s="9">
        <v>-0.1</v>
      </c>
      <c r="HS185" s="9">
        <v>0.5</v>
      </c>
      <c r="HT185" s="9">
        <v>-0.6</v>
      </c>
      <c r="HU185" s="9">
        <v>-1.3</v>
      </c>
      <c r="HV185" s="9">
        <v>0.5</v>
      </c>
      <c r="HW185" s="9">
        <v>0</v>
      </c>
      <c r="HX185" s="9">
        <v>1.2</v>
      </c>
      <c r="HY185" s="9">
        <v>1.2</v>
      </c>
      <c r="HZ185" s="9">
        <v>0.7</v>
      </c>
      <c r="IA185" s="9">
        <v>0.7</v>
      </c>
      <c r="IB185" s="9">
        <v>5.3</v>
      </c>
      <c r="IC185" s="9">
        <v>0.1</v>
      </c>
      <c r="ID185" s="9">
        <v>-1.3</v>
      </c>
      <c r="IE185" s="9">
        <v>-3.6</v>
      </c>
      <c r="IF185" s="9">
        <v>-0.8</v>
      </c>
      <c r="IG185" s="9">
        <v>-3.6</v>
      </c>
      <c r="IH185" s="9">
        <v>1.3</v>
      </c>
      <c r="IK185" s="9">
        <v>-6.2</v>
      </c>
      <c r="IL185" s="9">
        <v>-2</v>
      </c>
      <c r="IM185" s="9">
        <v>-9.8000000000000007</v>
      </c>
      <c r="IN185" s="9">
        <v>0.3</v>
      </c>
      <c r="IQ185" s="9">
        <v>-0.6</v>
      </c>
    </row>
    <row r="186" spans="1:251" x14ac:dyDescent="0.2">
      <c r="A186" s="10">
        <v>33756</v>
      </c>
      <c r="B186" s="8">
        <v>41.48</v>
      </c>
      <c r="C186" s="8">
        <v>38.729999999999997</v>
      </c>
      <c r="D186" s="8">
        <v>41.36</v>
      </c>
      <c r="E186" s="8">
        <v>35.42</v>
      </c>
      <c r="F186" s="8">
        <v>42.6</v>
      </c>
      <c r="G186" s="8">
        <v>59.02</v>
      </c>
      <c r="H186" s="8">
        <v>52.31</v>
      </c>
      <c r="I186" s="8">
        <v>41.4</v>
      </c>
      <c r="J186" s="8">
        <v>35.090000000000003</v>
      </c>
      <c r="K186" s="8">
        <v>43.12</v>
      </c>
      <c r="L186" s="8">
        <v>24.06</v>
      </c>
      <c r="M186" s="8">
        <v>69.8</v>
      </c>
      <c r="N186" s="8">
        <v>36.69</v>
      </c>
      <c r="O186" s="8">
        <v>45.04</v>
      </c>
      <c r="P186" s="8">
        <v>42.07</v>
      </c>
      <c r="Q186" s="8">
        <v>43.45</v>
      </c>
      <c r="R186" s="8">
        <v>40.450000000000003</v>
      </c>
      <c r="S186" s="8">
        <v>42.98</v>
      </c>
      <c r="T186" s="8">
        <v>33.090000000000003</v>
      </c>
      <c r="U186" s="8">
        <v>34.07</v>
      </c>
      <c r="V186" s="8">
        <v>32.33</v>
      </c>
      <c r="W186" s="8">
        <v>38.97</v>
      </c>
      <c r="X186" s="8">
        <v>30.34</v>
      </c>
      <c r="Y186" s="8">
        <v>44.61</v>
      </c>
      <c r="Z186" s="8">
        <v>55.58</v>
      </c>
      <c r="AA186" s="8">
        <v>30.75</v>
      </c>
      <c r="AB186" s="8">
        <v>36.729999999999997</v>
      </c>
      <c r="AC186" s="8">
        <v>53.72</v>
      </c>
      <c r="AD186" s="8">
        <v>46.06</v>
      </c>
      <c r="AE186" s="8">
        <v>45.68</v>
      </c>
      <c r="AF186" s="8">
        <v>44.6</v>
      </c>
      <c r="AG186" s="8">
        <v>36.659999999999997</v>
      </c>
      <c r="AH186" s="8">
        <v>36.53</v>
      </c>
      <c r="AI186" s="8">
        <v>35.94</v>
      </c>
      <c r="AJ186" s="8">
        <v>17.09</v>
      </c>
      <c r="AK186" s="8">
        <v>40.049999999999997</v>
      </c>
      <c r="AL186" s="8">
        <v>35.200000000000003</v>
      </c>
      <c r="AM186" s="8">
        <v>60.77</v>
      </c>
      <c r="AN186" s="8">
        <v>30.87</v>
      </c>
      <c r="AO186" s="8">
        <v>4.24</v>
      </c>
      <c r="AP186" s="8">
        <v>4.24</v>
      </c>
      <c r="AQ186" s="8">
        <v>96.26</v>
      </c>
      <c r="AR186" s="8">
        <v>111.81</v>
      </c>
      <c r="AS186" s="8">
        <v>108.85</v>
      </c>
      <c r="AT186" s="8">
        <v>118.65</v>
      </c>
      <c r="AU186" s="8">
        <v>94.17</v>
      </c>
      <c r="AV186" s="8">
        <v>118.56</v>
      </c>
      <c r="AW186" s="8">
        <v>128.96</v>
      </c>
      <c r="AX186" s="8">
        <v>114.86</v>
      </c>
      <c r="AY186" s="8">
        <v>108.88</v>
      </c>
      <c r="BB186" s="8">
        <v>33.409999999999997</v>
      </c>
      <c r="BC186" s="8">
        <v>35.56</v>
      </c>
      <c r="BD186" s="8">
        <v>38.979999999999997</v>
      </c>
      <c r="BE186" s="8">
        <v>38.979999999999997</v>
      </c>
      <c r="BI186" s="8">
        <v>39.64</v>
      </c>
      <c r="BK186" s="8">
        <v>24.95</v>
      </c>
      <c r="BM186" s="8">
        <v>26.58</v>
      </c>
      <c r="BN186" s="8">
        <v>19.190000000000001</v>
      </c>
      <c r="BO186" s="8">
        <v>67.53</v>
      </c>
      <c r="BP186" s="8">
        <v>64.44</v>
      </c>
      <c r="BQ186" s="8">
        <v>70.510000000000005</v>
      </c>
      <c r="BR186" s="8">
        <v>45.31</v>
      </c>
      <c r="BS186" s="8">
        <v>112.18</v>
      </c>
      <c r="BT186" s="8">
        <v>112.18</v>
      </c>
      <c r="BU186" s="8">
        <v>102.55</v>
      </c>
      <c r="BV186" s="8">
        <v>102.07</v>
      </c>
      <c r="BW186" s="8">
        <v>116.43</v>
      </c>
      <c r="BX186" s="8">
        <v>125.01</v>
      </c>
      <c r="BY186" s="8">
        <v>74.150000000000006</v>
      </c>
      <c r="BZ186" s="8">
        <v>67.62</v>
      </c>
      <c r="CA186" s="8">
        <v>70.930000000000007</v>
      </c>
      <c r="CB186" s="8">
        <v>80.900000000000006</v>
      </c>
      <c r="CC186" s="8">
        <v>56.15</v>
      </c>
      <c r="CD186" s="8">
        <v>30.31</v>
      </c>
      <c r="CE186" s="8">
        <v>31.53</v>
      </c>
      <c r="CF186" s="8">
        <v>33.619999999999997</v>
      </c>
      <c r="CG186" s="8">
        <v>26.93</v>
      </c>
      <c r="CH186" s="8">
        <v>25.98</v>
      </c>
      <c r="CI186" s="8">
        <v>59.91</v>
      </c>
      <c r="CJ186" s="8">
        <v>59.5</v>
      </c>
      <c r="CK186" s="8">
        <v>63.69</v>
      </c>
      <c r="CL186" s="8">
        <v>20.64</v>
      </c>
      <c r="CM186" s="8">
        <v>19.43</v>
      </c>
      <c r="CN186" s="8">
        <v>30.43</v>
      </c>
      <c r="CO186" s="8">
        <v>47.89</v>
      </c>
      <c r="CP186" s="8">
        <v>48.83</v>
      </c>
      <c r="CQ186" s="8">
        <v>100.83</v>
      </c>
      <c r="CR186" s="8">
        <v>50.03</v>
      </c>
      <c r="CS186" s="8">
        <v>34.479999999999997</v>
      </c>
      <c r="CT186" s="8">
        <v>43.96</v>
      </c>
      <c r="CU186" s="8">
        <v>27.24</v>
      </c>
      <c r="CV186" s="8">
        <v>37.909999999999997</v>
      </c>
      <c r="CW186" s="8">
        <v>37.909999999999997</v>
      </c>
      <c r="CX186" s="8">
        <v>117.62</v>
      </c>
      <c r="CY186" s="8">
        <v>117.62</v>
      </c>
      <c r="CZ186" s="8">
        <v>36.99</v>
      </c>
      <c r="DA186" s="8">
        <v>124.78</v>
      </c>
      <c r="DB186" s="8">
        <v>60.97</v>
      </c>
      <c r="DC186" s="8">
        <v>316.67</v>
      </c>
      <c r="DD186" s="8">
        <v>1691.45</v>
      </c>
      <c r="DE186" s="8">
        <v>83.62</v>
      </c>
      <c r="DF186" s="8">
        <v>41.64</v>
      </c>
      <c r="DI186" s="8">
        <v>41.7</v>
      </c>
      <c r="DJ186" s="8">
        <v>36.47</v>
      </c>
      <c r="DK186" s="8">
        <v>42.89</v>
      </c>
      <c r="DL186" s="8">
        <v>41.96</v>
      </c>
      <c r="DO186" s="8">
        <v>39.44</v>
      </c>
      <c r="DP186" s="8">
        <v>25.98</v>
      </c>
      <c r="DS186" s="8">
        <v>21.58</v>
      </c>
      <c r="DT186" s="8">
        <v>21.58</v>
      </c>
      <c r="DY186" s="8">
        <v>15.98</v>
      </c>
      <c r="DZ186" s="8">
        <v>15.98</v>
      </c>
      <c r="ED186" s="9">
        <v>-0.3</v>
      </c>
      <c r="EE186" s="9">
        <v>0.3</v>
      </c>
      <c r="EF186" s="9">
        <v>1.3</v>
      </c>
      <c r="EG186" s="9">
        <v>1.8</v>
      </c>
      <c r="EH186" s="9">
        <v>0.6</v>
      </c>
      <c r="EI186" s="9">
        <v>1.3</v>
      </c>
      <c r="EJ186" s="9">
        <v>1.8</v>
      </c>
      <c r="EK186" s="9">
        <v>-0.1</v>
      </c>
      <c r="EL186" s="9">
        <v>0.3</v>
      </c>
      <c r="EM186" s="9">
        <v>-0.9</v>
      </c>
      <c r="EN186" s="9">
        <v>1.3</v>
      </c>
      <c r="EO186" s="9">
        <v>-2</v>
      </c>
      <c r="EP186" s="9">
        <v>0.1</v>
      </c>
      <c r="EQ186" s="9">
        <v>-0.2</v>
      </c>
      <c r="ER186" s="9">
        <v>0.5</v>
      </c>
      <c r="ES186" s="9">
        <v>1.2</v>
      </c>
      <c r="ET186" s="9">
        <v>0</v>
      </c>
      <c r="EU186" s="9">
        <v>-0.8</v>
      </c>
      <c r="EV186" s="9">
        <v>-4.5</v>
      </c>
      <c r="EW186" s="9">
        <v>-9.1</v>
      </c>
      <c r="EX186" s="9">
        <v>-0.5</v>
      </c>
      <c r="EY186" s="9">
        <v>1.8</v>
      </c>
      <c r="EZ186" s="9">
        <v>2.6</v>
      </c>
      <c r="FA186" s="9">
        <v>1.5</v>
      </c>
      <c r="FB186" s="9">
        <v>1.6</v>
      </c>
      <c r="FC186" s="9">
        <v>-0.1</v>
      </c>
      <c r="FD186" s="9">
        <v>1.9</v>
      </c>
      <c r="FE186" s="9">
        <v>0.2</v>
      </c>
      <c r="FF186" s="9">
        <v>1.1000000000000001</v>
      </c>
      <c r="FG186" s="9">
        <v>0.1</v>
      </c>
      <c r="FH186" s="9">
        <v>1.1000000000000001</v>
      </c>
      <c r="FI186" s="9">
        <v>1.1000000000000001</v>
      </c>
      <c r="FJ186" s="9">
        <v>0.7</v>
      </c>
      <c r="FK186" s="9">
        <v>1.3</v>
      </c>
      <c r="FL186" s="9">
        <v>1.1000000000000001</v>
      </c>
      <c r="FM186" s="9">
        <v>1.1000000000000001</v>
      </c>
      <c r="FN186" s="9">
        <v>0.7</v>
      </c>
      <c r="FO186" s="9">
        <v>1.2</v>
      </c>
      <c r="FP186" s="9">
        <v>1</v>
      </c>
      <c r="FQ186" s="9">
        <v>1.2</v>
      </c>
      <c r="FR186" s="9">
        <v>1.2</v>
      </c>
      <c r="FS186" s="9">
        <v>0.5</v>
      </c>
      <c r="FT186" s="9">
        <v>0.8</v>
      </c>
      <c r="FU186" s="9">
        <v>0.4</v>
      </c>
      <c r="FV186" s="9">
        <v>0.8</v>
      </c>
      <c r="FW186" s="9">
        <v>1.3</v>
      </c>
      <c r="FX186" s="9">
        <v>0</v>
      </c>
      <c r="FY186" s="9">
        <v>0.6</v>
      </c>
      <c r="FZ186" s="9">
        <v>-1.2</v>
      </c>
      <c r="GA186" s="9">
        <v>1.9</v>
      </c>
      <c r="GD186" s="9">
        <v>-1.1000000000000001</v>
      </c>
      <c r="GE186" s="9">
        <v>-2</v>
      </c>
      <c r="GF186" s="9">
        <v>0.1</v>
      </c>
      <c r="GG186" s="9">
        <v>0.1</v>
      </c>
      <c r="GK186" s="9">
        <v>0.9</v>
      </c>
      <c r="GM186" s="9">
        <v>0</v>
      </c>
      <c r="GO186" s="9">
        <v>0.1</v>
      </c>
      <c r="GP186" s="9">
        <v>-0.3</v>
      </c>
      <c r="GQ186" s="9">
        <v>0.6</v>
      </c>
      <c r="GR186" s="9">
        <v>2.7</v>
      </c>
      <c r="GS186" s="9">
        <v>4.0999999999999996</v>
      </c>
      <c r="GT186" s="9">
        <v>-1.2</v>
      </c>
      <c r="GU186" s="9">
        <v>-0.8</v>
      </c>
      <c r="GV186" s="9">
        <v>-0.8</v>
      </c>
      <c r="GW186" s="9">
        <v>0.2</v>
      </c>
      <c r="GX186" s="9">
        <v>-0.4</v>
      </c>
      <c r="GY186" s="9">
        <v>-0.4</v>
      </c>
      <c r="GZ186" s="9">
        <v>1.2</v>
      </c>
      <c r="HA186" s="9">
        <v>0.3</v>
      </c>
      <c r="HB186" s="9">
        <v>1.9</v>
      </c>
      <c r="HC186" s="9">
        <v>2.5</v>
      </c>
      <c r="HD186" s="9">
        <v>1.3</v>
      </c>
      <c r="HE186" s="9">
        <v>1.1000000000000001</v>
      </c>
      <c r="HF186" s="9">
        <v>2.1</v>
      </c>
      <c r="HG186" s="9">
        <v>0</v>
      </c>
      <c r="HH186" s="9">
        <v>0.7</v>
      </c>
      <c r="HI186" s="9">
        <v>2.1</v>
      </c>
      <c r="HJ186" s="9">
        <v>-5.8</v>
      </c>
      <c r="HK186" s="9">
        <v>0.4</v>
      </c>
      <c r="HL186" s="9">
        <v>0.6</v>
      </c>
      <c r="HM186" s="9">
        <v>-0.4</v>
      </c>
      <c r="HN186" s="9">
        <v>-7.7</v>
      </c>
      <c r="HO186" s="9">
        <v>-9.1</v>
      </c>
      <c r="HP186" s="9">
        <v>0.5</v>
      </c>
      <c r="HQ186" s="9">
        <v>-0.4</v>
      </c>
      <c r="HR186" s="9">
        <v>-0.5</v>
      </c>
      <c r="HS186" s="9">
        <v>-1.1000000000000001</v>
      </c>
      <c r="HT186" s="9">
        <v>-0.3</v>
      </c>
      <c r="HU186" s="9">
        <v>0.5</v>
      </c>
      <c r="HV186" s="9">
        <v>-0.5</v>
      </c>
      <c r="HW186" s="9">
        <v>0.6</v>
      </c>
      <c r="HX186" s="9">
        <v>0.1</v>
      </c>
      <c r="HY186" s="9">
        <v>0.1</v>
      </c>
      <c r="HZ186" s="9">
        <v>-0.7</v>
      </c>
      <c r="IA186" s="9">
        <v>-0.7</v>
      </c>
      <c r="IB186" s="9">
        <v>0.2</v>
      </c>
      <c r="IC186" s="9">
        <v>-0.7</v>
      </c>
      <c r="ID186" s="9">
        <v>-0.1</v>
      </c>
      <c r="IE186" s="9">
        <v>2.6</v>
      </c>
      <c r="IF186" s="9">
        <v>-1.3</v>
      </c>
      <c r="IG186" s="9">
        <v>2.6</v>
      </c>
      <c r="IH186" s="9">
        <v>0.5</v>
      </c>
      <c r="IK186" s="9">
        <v>-1.7</v>
      </c>
      <c r="IL186" s="9">
        <v>0.2</v>
      </c>
      <c r="IM186" s="9">
        <v>-3.5</v>
      </c>
      <c r="IN186" s="9">
        <v>1.8</v>
      </c>
      <c r="IQ186" s="9">
        <v>2.7</v>
      </c>
    </row>
    <row r="187" spans="1:251" x14ac:dyDescent="0.2">
      <c r="A187" s="10">
        <v>33848</v>
      </c>
      <c r="B187" s="8">
        <v>41.52</v>
      </c>
      <c r="C187" s="8">
        <v>38.590000000000003</v>
      </c>
      <c r="D187" s="8">
        <v>41.54</v>
      </c>
      <c r="E187" s="8">
        <v>35.729999999999997</v>
      </c>
      <c r="F187" s="8">
        <v>42.79</v>
      </c>
      <c r="G187" s="8">
        <v>58.76</v>
      </c>
      <c r="H187" s="8">
        <v>52.21</v>
      </c>
      <c r="I187" s="8">
        <v>40.9</v>
      </c>
      <c r="J187" s="8">
        <v>34.65</v>
      </c>
      <c r="K187" s="8">
        <v>43.29</v>
      </c>
      <c r="L187" s="8">
        <v>24.04</v>
      </c>
      <c r="M187" s="8">
        <v>68.709999999999994</v>
      </c>
      <c r="N187" s="8">
        <v>35.86</v>
      </c>
      <c r="O187" s="8">
        <v>44.38</v>
      </c>
      <c r="P187" s="8">
        <v>42.6</v>
      </c>
      <c r="Q187" s="8">
        <v>43.48</v>
      </c>
      <c r="R187" s="8">
        <v>42.24</v>
      </c>
      <c r="S187" s="8">
        <v>42.82</v>
      </c>
      <c r="T187" s="8">
        <v>30.62</v>
      </c>
      <c r="U187" s="8">
        <v>33.619999999999997</v>
      </c>
      <c r="V187" s="8">
        <v>28.31</v>
      </c>
      <c r="W187" s="8">
        <v>39.28</v>
      </c>
      <c r="X187" s="8">
        <v>31.14</v>
      </c>
      <c r="Y187" s="8">
        <v>44.87</v>
      </c>
      <c r="Z187" s="8">
        <v>55.52</v>
      </c>
      <c r="AA187" s="8">
        <v>31.02</v>
      </c>
      <c r="AB187" s="8">
        <v>37.020000000000003</v>
      </c>
      <c r="AC187" s="8">
        <v>54.25</v>
      </c>
      <c r="AD187" s="8">
        <v>46.22</v>
      </c>
      <c r="AE187" s="8">
        <v>45.27</v>
      </c>
      <c r="AF187" s="8">
        <v>44.76</v>
      </c>
      <c r="AG187" s="8">
        <v>36.950000000000003</v>
      </c>
      <c r="AH187" s="8">
        <v>36.9</v>
      </c>
      <c r="AI187" s="8">
        <v>36.19</v>
      </c>
      <c r="AJ187" s="8">
        <v>17.63</v>
      </c>
      <c r="AK187" s="8">
        <v>40.19</v>
      </c>
      <c r="AL187" s="8">
        <v>34.96</v>
      </c>
      <c r="AM187" s="8">
        <v>61.12</v>
      </c>
      <c r="AN187" s="8">
        <v>31.09</v>
      </c>
      <c r="AO187" s="8">
        <v>4.62</v>
      </c>
      <c r="AP187" s="8">
        <v>4.62</v>
      </c>
      <c r="AQ187" s="8">
        <v>96.08</v>
      </c>
      <c r="AR187" s="8">
        <v>111.7</v>
      </c>
      <c r="AS187" s="8">
        <v>109.05</v>
      </c>
      <c r="AT187" s="8">
        <v>118.43</v>
      </c>
      <c r="AU187" s="8">
        <v>94.08</v>
      </c>
      <c r="AV187" s="8">
        <v>115.77</v>
      </c>
      <c r="AW187" s="8">
        <v>128.37</v>
      </c>
      <c r="AX187" s="8">
        <v>114.75</v>
      </c>
      <c r="AY187" s="8">
        <v>99.35</v>
      </c>
      <c r="BB187" s="8">
        <v>33.89</v>
      </c>
      <c r="BC187" s="8">
        <v>34.97</v>
      </c>
      <c r="BD187" s="8">
        <v>39.06</v>
      </c>
      <c r="BE187" s="8">
        <v>39.06</v>
      </c>
      <c r="BI187" s="8">
        <v>39.86</v>
      </c>
      <c r="BK187" s="8">
        <v>25.36</v>
      </c>
      <c r="BM187" s="8">
        <v>27.13</v>
      </c>
      <c r="BN187" s="8">
        <v>19.27</v>
      </c>
      <c r="BO187" s="8">
        <v>67.16</v>
      </c>
      <c r="BP187" s="8">
        <v>63.33</v>
      </c>
      <c r="BQ187" s="8">
        <v>69.13</v>
      </c>
      <c r="BR187" s="8">
        <v>44.91</v>
      </c>
      <c r="BS187" s="8">
        <v>112.28</v>
      </c>
      <c r="BT187" s="8">
        <v>112.28</v>
      </c>
      <c r="BU187" s="8">
        <v>101.58</v>
      </c>
      <c r="BV187" s="8">
        <v>101.48</v>
      </c>
      <c r="BW187" s="8">
        <v>115.76</v>
      </c>
      <c r="BX187" s="8">
        <v>122.15</v>
      </c>
      <c r="BY187" s="8">
        <v>74.08</v>
      </c>
      <c r="BZ187" s="8">
        <v>68.42</v>
      </c>
      <c r="CA187" s="8">
        <v>71.83</v>
      </c>
      <c r="CB187" s="8">
        <v>81.25</v>
      </c>
      <c r="CC187" s="8">
        <v>56.77</v>
      </c>
      <c r="CD187" s="8">
        <v>30.36</v>
      </c>
      <c r="CE187" s="8">
        <v>31.72</v>
      </c>
      <c r="CF187" s="8">
        <v>33.229999999999997</v>
      </c>
      <c r="CG187" s="8">
        <v>26.97</v>
      </c>
      <c r="CH187" s="8">
        <v>25.89</v>
      </c>
      <c r="CI187" s="8">
        <v>57.91</v>
      </c>
      <c r="CJ187" s="8">
        <v>56.62</v>
      </c>
      <c r="CK187" s="8">
        <v>66.03</v>
      </c>
      <c r="CL187" s="8">
        <v>20.76</v>
      </c>
      <c r="CM187" s="8">
        <v>19.53</v>
      </c>
      <c r="CN187" s="8">
        <v>30.64</v>
      </c>
      <c r="CO187" s="8">
        <v>48.77</v>
      </c>
      <c r="CP187" s="8">
        <v>49.74</v>
      </c>
      <c r="CQ187" s="8">
        <v>101.99</v>
      </c>
      <c r="CR187" s="8">
        <v>49.63</v>
      </c>
      <c r="CS187" s="8">
        <v>35.94</v>
      </c>
      <c r="CT187" s="8">
        <v>44</v>
      </c>
      <c r="CU187" s="8">
        <v>27.59</v>
      </c>
      <c r="CV187" s="8">
        <v>38.75</v>
      </c>
      <c r="CW187" s="8">
        <v>38.75</v>
      </c>
      <c r="CX187" s="8">
        <v>117.4</v>
      </c>
      <c r="CY187" s="8">
        <v>117.4</v>
      </c>
      <c r="CZ187" s="8">
        <v>36.99</v>
      </c>
      <c r="DA187" s="8">
        <v>124.55</v>
      </c>
      <c r="DB187" s="8">
        <v>61.26</v>
      </c>
      <c r="DC187" s="8">
        <v>313.88</v>
      </c>
      <c r="DD187" s="8">
        <v>1685.84</v>
      </c>
      <c r="DE187" s="8">
        <v>82.88</v>
      </c>
      <c r="DF187" s="8">
        <v>42.64</v>
      </c>
      <c r="DI187" s="8">
        <v>41.83</v>
      </c>
      <c r="DJ187" s="8">
        <v>37.39</v>
      </c>
      <c r="DK187" s="8">
        <v>41.91</v>
      </c>
      <c r="DL187" s="8">
        <v>42.45</v>
      </c>
      <c r="DO187" s="8">
        <v>39.94</v>
      </c>
      <c r="DP187" s="8">
        <v>26.14</v>
      </c>
      <c r="DS187" s="8">
        <v>21.58</v>
      </c>
      <c r="DT187" s="8">
        <v>21.58</v>
      </c>
      <c r="DY187" s="8">
        <v>16.059999999999999</v>
      </c>
      <c r="DZ187" s="8">
        <v>16.059999999999999</v>
      </c>
      <c r="ED187" s="9">
        <v>0.1</v>
      </c>
      <c r="EE187" s="9">
        <v>-0.4</v>
      </c>
      <c r="EF187" s="9">
        <v>0.4</v>
      </c>
      <c r="EG187" s="9">
        <v>0.9</v>
      </c>
      <c r="EH187" s="9">
        <v>0.4</v>
      </c>
      <c r="EI187" s="9">
        <v>-0.4</v>
      </c>
      <c r="EJ187" s="9">
        <v>-0.2</v>
      </c>
      <c r="EK187" s="9">
        <v>-1.2</v>
      </c>
      <c r="EL187" s="9">
        <v>-1.3</v>
      </c>
      <c r="EM187" s="9">
        <v>0.4</v>
      </c>
      <c r="EN187" s="9">
        <v>-0.1</v>
      </c>
      <c r="EO187" s="9">
        <v>-1.6</v>
      </c>
      <c r="EP187" s="9">
        <v>-2.2999999999999998</v>
      </c>
      <c r="EQ187" s="9">
        <v>-1.5</v>
      </c>
      <c r="ER187" s="9">
        <v>1.3</v>
      </c>
      <c r="ES187" s="9">
        <v>0.1</v>
      </c>
      <c r="ET187" s="9">
        <v>4.4000000000000004</v>
      </c>
      <c r="EU187" s="9">
        <v>-0.4</v>
      </c>
      <c r="EV187" s="9">
        <v>-7.5</v>
      </c>
      <c r="EW187" s="9">
        <v>-1.3</v>
      </c>
      <c r="EX187" s="9">
        <v>-12.4</v>
      </c>
      <c r="EY187" s="9">
        <v>0.8</v>
      </c>
      <c r="EZ187" s="9">
        <v>2.6</v>
      </c>
      <c r="FA187" s="9">
        <v>0.6</v>
      </c>
      <c r="FB187" s="9">
        <v>-0.1</v>
      </c>
      <c r="FC187" s="9">
        <v>0.9</v>
      </c>
      <c r="FD187" s="9">
        <v>0.8</v>
      </c>
      <c r="FE187" s="9">
        <v>1</v>
      </c>
      <c r="FF187" s="9">
        <v>0.3</v>
      </c>
      <c r="FG187" s="9">
        <v>-0.9</v>
      </c>
      <c r="FH187" s="9">
        <v>0.4</v>
      </c>
      <c r="FI187" s="9">
        <v>0.8</v>
      </c>
      <c r="FJ187" s="9">
        <v>1</v>
      </c>
      <c r="FK187" s="9">
        <v>0.7</v>
      </c>
      <c r="FL187" s="9">
        <v>3.2</v>
      </c>
      <c r="FM187" s="9">
        <v>0.3</v>
      </c>
      <c r="FN187" s="9">
        <v>-0.7</v>
      </c>
      <c r="FO187" s="9">
        <v>0.6</v>
      </c>
      <c r="FP187" s="9">
        <v>0.7</v>
      </c>
      <c r="FQ187" s="9">
        <v>9</v>
      </c>
      <c r="FR187" s="9">
        <v>9</v>
      </c>
      <c r="FS187" s="9">
        <v>-0.2</v>
      </c>
      <c r="FT187" s="9">
        <v>-0.1</v>
      </c>
      <c r="FU187" s="9">
        <v>0.2</v>
      </c>
      <c r="FV187" s="9">
        <v>-0.2</v>
      </c>
      <c r="FW187" s="9">
        <v>-0.1</v>
      </c>
      <c r="FX187" s="9">
        <v>-2.4</v>
      </c>
      <c r="FY187" s="9">
        <v>-0.5</v>
      </c>
      <c r="FZ187" s="9">
        <v>-0.1</v>
      </c>
      <c r="GA187" s="9">
        <v>-8.8000000000000007</v>
      </c>
      <c r="GD187" s="9">
        <v>1.4</v>
      </c>
      <c r="GE187" s="9">
        <v>-1.7</v>
      </c>
      <c r="GF187" s="9">
        <v>0.2</v>
      </c>
      <c r="GG187" s="9">
        <v>0.2</v>
      </c>
      <c r="GK187" s="9">
        <v>0.6</v>
      </c>
      <c r="GM187" s="9">
        <v>1.6</v>
      </c>
      <c r="GO187" s="9">
        <v>2.1</v>
      </c>
      <c r="GP187" s="9">
        <v>0.4</v>
      </c>
      <c r="GQ187" s="9">
        <v>-0.5</v>
      </c>
      <c r="GR187" s="9">
        <v>-1.7</v>
      </c>
      <c r="GS187" s="9">
        <v>-2</v>
      </c>
      <c r="GT187" s="9">
        <v>-0.9</v>
      </c>
      <c r="GU187" s="9">
        <v>0.1</v>
      </c>
      <c r="GV187" s="9">
        <v>0.1</v>
      </c>
      <c r="GW187" s="9">
        <v>-0.9</v>
      </c>
      <c r="GX187" s="9">
        <v>-0.6</v>
      </c>
      <c r="GY187" s="9">
        <v>-0.6</v>
      </c>
      <c r="GZ187" s="9">
        <v>-2.2999999999999998</v>
      </c>
      <c r="HA187" s="9">
        <v>-0.1</v>
      </c>
      <c r="HB187" s="9">
        <v>1.2</v>
      </c>
      <c r="HC187" s="9">
        <v>1.3</v>
      </c>
      <c r="HD187" s="9">
        <v>0.4</v>
      </c>
      <c r="HE187" s="9">
        <v>1.1000000000000001</v>
      </c>
      <c r="HF187" s="9">
        <v>0.2</v>
      </c>
      <c r="HG187" s="9">
        <v>0.6</v>
      </c>
      <c r="HH187" s="9">
        <v>-1.2</v>
      </c>
      <c r="HI187" s="9">
        <v>0.1</v>
      </c>
      <c r="HJ187" s="9">
        <v>-0.3</v>
      </c>
      <c r="HK187" s="9">
        <v>-3.3</v>
      </c>
      <c r="HL187" s="9">
        <v>-4.8</v>
      </c>
      <c r="HM187" s="9">
        <v>3.7</v>
      </c>
      <c r="HN187" s="9">
        <v>0.6</v>
      </c>
      <c r="HO187" s="9">
        <v>0.5</v>
      </c>
      <c r="HP187" s="9">
        <v>0.7</v>
      </c>
      <c r="HQ187" s="9">
        <v>1.8</v>
      </c>
      <c r="HR187" s="9">
        <v>1.9</v>
      </c>
      <c r="HS187" s="9">
        <v>1.2</v>
      </c>
      <c r="HT187" s="9">
        <v>-0.8</v>
      </c>
      <c r="HU187" s="9">
        <v>4.2</v>
      </c>
      <c r="HV187" s="9">
        <v>0.1</v>
      </c>
      <c r="HW187" s="9">
        <v>1.3</v>
      </c>
      <c r="HX187" s="9">
        <v>2.2000000000000002</v>
      </c>
      <c r="HY187" s="9">
        <v>2.2000000000000002</v>
      </c>
      <c r="HZ187" s="9">
        <v>-0.2</v>
      </c>
      <c r="IA187" s="9">
        <v>-0.2</v>
      </c>
      <c r="IB187" s="9">
        <v>0</v>
      </c>
      <c r="IC187" s="9">
        <v>-0.2</v>
      </c>
      <c r="ID187" s="9">
        <v>0.5</v>
      </c>
      <c r="IE187" s="9">
        <v>-0.9</v>
      </c>
      <c r="IF187" s="9">
        <v>-0.3</v>
      </c>
      <c r="IG187" s="9">
        <v>-0.9</v>
      </c>
      <c r="IH187" s="9">
        <v>2.4</v>
      </c>
      <c r="IK187" s="9">
        <v>0.3</v>
      </c>
      <c r="IL187" s="9">
        <v>2.5</v>
      </c>
      <c r="IM187" s="9">
        <v>-2.2999999999999998</v>
      </c>
      <c r="IN187" s="9">
        <v>1.2</v>
      </c>
      <c r="IQ187" s="9">
        <v>1.3</v>
      </c>
    </row>
    <row r="188" spans="1:251" x14ac:dyDescent="0.2">
      <c r="A188" s="10">
        <v>33939</v>
      </c>
      <c r="B188" s="8">
        <v>41.71</v>
      </c>
      <c r="C188" s="8">
        <v>38.840000000000003</v>
      </c>
      <c r="D188" s="8">
        <v>41.76</v>
      </c>
      <c r="E188" s="8">
        <v>36.08</v>
      </c>
      <c r="F188" s="8">
        <v>42.86</v>
      </c>
      <c r="G188" s="8">
        <v>59.75</v>
      </c>
      <c r="H188" s="8">
        <v>51.45</v>
      </c>
      <c r="I188" s="8">
        <v>40.9</v>
      </c>
      <c r="J188" s="8">
        <v>34.04</v>
      </c>
      <c r="K188" s="8">
        <v>43.12</v>
      </c>
      <c r="L188" s="8">
        <v>23.54</v>
      </c>
      <c r="M188" s="8">
        <v>68.86</v>
      </c>
      <c r="N188" s="8">
        <v>36.14</v>
      </c>
      <c r="O188" s="8">
        <v>46.33</v>
      </c>
      <c r="P188" s="8">
        <v>42.52</v>
      </c>
      <c r="Q188" s="8">
        <v>43.71</v>
      </c>
      <c r="R188" s="8">
        <v>40.89</v>
      </c>
      <c r="S188" s="8">
        <v>44.8</v>
      </c>
      <c r="T188" s="8">
        <v>32.18</v>
      </c>
      <c r="U188" s="8">
        <v>33.06</v>
      </c>
      <c r="V188" s="8">
        <v>31.48</v>
      </c>
      <c r="W188" s="8">
        <v>39.659999999999997</v>
      </c>
      <c r="X188" s="8">
        <v>32.19</v>
      </c>
      <c r="Y188" s="8">
        <v>45.62</v>
      </c>
      <c r="Z188" s="8">
        <v>55.32</v>
      </c>
      <c r="AA188" s="8">
        <v>30.93</v>
      </c>
      <c r="AB188" s="8">
        <v>37.380000000000003</v>
      </c>
      <c r="AC188" s="8">
        <v>55.32</v>
      </c>
      <c r="AD188" s="8">
        <v>46.06</v>
      </c>
      <c r="AE188" s="8">
        <v>44.82</v>
      </c>
      <c r="AF188" s="8">
        <v>44.6</v>
      </c>
      <c r="AG188" s="8">
        <v>36.950000000000003</v>
      </c>
      <c r="AH188" s="8">
        <v>36.729999999999997</v>
      </c>
      <c r="AI188" s="8">
        <v>36.28</v>
      </c>
      <c r="AJ188" s="8">
        <v>18.100000000000001</v>
      </c>
      <c r="AK188" s="8">
        <v>40.369999999999997</v>
      </c>
      <c r="AL188" s="8">
        <v>35.58</v>
      </c>
      <c r="AM188" s="8">
        <v>60.83</v>
      </c>
      <c r="AN188" s="8">
        <v>31.17</v>
      </c>
      <c r="AO188" s="8">
        <v>4.95</v>
      </c>
      <c r="AP188" s="8">
        <v>4.95</v>
      </c>
      <c r="AQ188" s="8">
        <v>97.16</v>
      </c>
      <c r="AR188" s="8">
        <v>112.96</v>
      </c>
      <c r="AS188" s="8">
        <v>110.16</v>
      </c>
      <c r="AT188" s="8">
        <v>119.43</v>
      </c>
      <c r="AU188" s="8">
        <v>96.47</v>
      </c>
      <c r="AV188" s="8">
        <v>117.67</v>
      </c>
      <c r="AW188" s="8">
        <v>127.42</v>
      </c>
      <c r="AX188" s="8">
        <v>114.53</v>
      </c>
      <c r="AY188" s="8">
        <v>108.07</v>
      </c>
      <c r="BB188" s="8">
        <v>34.479999999999997</v>
      </c>
      <c r="BC188" s="8">
        <v>34.75</v>
      </c>
      <c r="BD188" s="8">
        <v>39.090000000000003</v>
      </c>
      <c r="BE188" s="8">
        <v>39.090000000000003</v>
      </c>
      <c r="BI188" s="8">
        <v>39.93</v>
      </c>
      <c r="BK188" s="8">
        <v>25.9</v>
      </c>
      <c r="BM188" s="8">
        <v>27.64</v>
      </c>
      <c r="BN188" s="8">
        <v>19.829999999999998</v>
      </c>
      <c r="BO188" s="8">
        <v>67.22</v>
      </c>
      <c r="BP188" s="8">
        <v>64.44</v>
      </c>
      <c r="BQ188" s="8">
        <v>70.7</v>
      </c>
      <c r="BR188" s="8">
        <v>44.78</v>
      </c>
      <c r="BS188" s="8">
        <v>113.13</v>
      </c>
      <c r="BT188" s="8">
        <v>113.13</v>
      </c>
      <c r="BU188" s="8">
        <v>101.48</v>
      </c>
      <c r="BV188" s="8">
        <v>101.19</v>
      </c>
      <c r="BW188" s="8">
        <v>115.42</v>
      </c>
      <c r="BX188" s="8">
        <v>124.06</v>
      </c>
      <c r="BY188" s="8">
        <v>72.760000000000005</v>
      </c>
      <c r="BZ188" s="8">
        <v>68.11</v>
      </c>
      <c r="CA188" s="8">
        <v>71.63</v>
      </c>
      <c r="CB188" s="8">
        <v>81.540000000000006</v>
      </c>
      <c r="CC188" s="8">
        <v>56.36</v>
      </c>
      <c r="CD188" s="8">
        <v>30.36</v>
      </c>
      <c r="CE188" s="8">
        <v>31.72</v>
      </c>
      <c r="CF188" s="8">
        <v>33.71</v>
      </c>
      <c r="CG188" s="8">
        <v>26.97</v>
      </c>
      <c r="CH188" s="8">
        <v>26.2</v>
      </c>
      <c r="CI188" s="8">
        <v>55.28</v>
      </c>
      <c r="CJ188" s="8">
        <v>53.22</v>
      </c>
      <c r="CK188" s="8">
        <v>66.930000000000007</v>
      </c>
      <c r="CL188" s="8">
        <v>21.32</v>
      </c>
      <c r="CM188" s="8">
        <v>20.13</v>
      </c>
      <c r="CN188" s="8">
        <v>30.84</v>
      </c>
      <c r="CO188" s="8">
        <v>48.77</v>
      </c>
      <c r="CP188" s="8">
        <v>49.74</v>
      </c>
      <c r="CQ188" s="8">
        <v>102.66</v>
      </c>
      <c r="CR188" s="8">
        <v>50.37</v>
      </c>
      <c r="CS188" s="8">
        <v>35.76</v>
      </c>
      <c r="CT188" s="8">
        <v>43.96</v>
      </c>
      <c r="CU188" s="8">
        <v>27.63</v>
      </c>
      <c r="CV188" s="8">
        <v>38.81</v>
      </c>
      <c r="CW188" s="8">
        <v>38.81</v>
      </c>
      <c r="CX188" s="8">
        <v>117.84</v>
      </c>
      <c r="CY188" s="8">
        <v>117.84</v>
      </c>
      <c r="CZ188" s="8">
        <v>36.99</v>
      </c>
      <c r="DA188" s="8">
        <v>125.01</v>
      </c>
      <c r="DB188" s="8">
        <v>62.08</v>
      </c>
      <c r="DC188" s="8">
        <v>314.5</v>
      </c>
      <c r="DD188" s="8">
        <v>1683.97</v>
      </c>
      <c r="DE188" s="8">
        <v>83.05</v>
      </c>
      <c r="DF188" s="8">
        <v>43.12</v>
      </c>
      <c r="DI188" s="8">
        <v>42.97</v>
      </c>
      <c r="DJ188" s="8">
        <v>37.270000000000003</v>
      </c>
      <c r="DK188" s="8">
        <v>44.68</v>
      </c>
      <c r="DL188" s="8">
        <v>42.52</v>
      </c>
      <c r="DO188" s="8">
        <v>40.01</v>
      </c>
      <c r="DP188" s="8">
        <v>26.42</v>
      </c>
      <c r="DS188" s="8">
        <v>21.58</v>
      </c>
      <c r="DT188" s="8">
        <v>21.58</v>
      </c>
      <c r="DY188" s="8">
        <v>16.03</v>
      </c>
      <c r="DZ188" s="8">
        <v>16.03</v>
      </c>
      <c r="ED188" s="9">
        <v>0.5</v>
      </c>
      <c r="EE188" s="9">
        <v>0.6</v>
      </c>
      <c r="EF188" s="9">
        <v>0.5</v>
      </c>
      <c r="EG188" s="9">
        <v>1</v>
      </c>
      <c r="EH188" s="9">
        <v>0.2</v>
      </c>
      <c r="EI188" s="9">
        <v>1.7</v>
      </c>
      <c r="EJ188" s="9">
        <v>-1.5</v>
      </c>
      <c r="EK188" s="9">
        <v>0</v>
      </c>
      <c r="EL188" s="9">
        <v>-1.8</v>
      </c>
      <c r="EM188" s="9">
        <v>-0.4</v>
      </c>
      <c r="EN188" s="9">
        <v>-2.1</v>
      </c>
      <c r="EO188" s="9">
        <v>0.2</v>
      </c>
      <c r="EP188" s="9">
        <v>0.8</v>
      </c>
      <c r="EQ188" s="9">
        <v>4.4000000000000004</v>
      </c>
      <c r="ER188" s="9">
        <v>-0.2</v>
      </c>
      <c r="ES188" s="9">
        <v>0.5</v>
      </c>
      <c r="ET188" s="9">
        <v>-3.2</v>
      </c>
      <c r="EU188" s="9">
        <v>4.5999999999999996</v>
      </c>
      <c r="EV188" s="9">
        <v>5.0999999999999996</v>
      </c>
      <c r="EW188" s="9">
        <v>-1.7</v>
      </c>
      <c r="EX188" s="9">
        <v>11.2</v>
      </c>
      <c r="EY188" s="9">
        <v>1</v>
      </c>
      <c r="EZ188" s="9">
        <v>3.4</v>
      </c>
      <c r="FA188" s="9">
        <v>1.7</v>
      </c>
      <c r="FB188" s="9">
        <v>-0.4</v>
      </c>
      <c r="FC188" s="9">
        <v>-0.3</v>
      </c>
      <c r="FD188" s="9">
        <v>1</v>
      </c>
      <c r="FE188" s="9">
        <v>2</v>
      </c>
      <c r="FF188" s="9">
        <v>-0.3</v>
      </c>
      <c r="FG188" s="9">
        <v>-1</v>
      </c>
      <c r="FH188" s="9">
        <v>-0.4</v>
      </c>
      <c r="FI188" s="9">
        <v>0</v>
      </c>
      <c r="FJ188" s="9">
        <v>-0.5</v>
      </c>
      <c r="FK188" s="9">
        <v>0.2</v>
      </c>
      <c r="FL188" s="9">
        <v>2.7</v>
      </c>
      <c r="FM188" s="9">
        <v>0.4</v>
      </c>
      <c r="FN188" s="9">
        <v>1.8</v>
      </c>
      <c r="FO188" s="9">
        <v>-0.5</v>
      </c>
      <c r="FP188" s="9">
        <v>0.3</v>
      </c>
      <c r="FQ188" s="9">
        <v>7.1</v>
      </c>
      <c r="FR188" s="9">
        <v>7.1</v>
      </c>
      <c r="FS188" s="9">
        <v>1.1000000000000001</v>
      </c>
      <c r="FT188" s="9">
        <v>1.1000000000000001</v>
      </c>
      <c r="FU188" s="9">
        <v>1</v>
      </c>
      <c r="FV188" s="9">
        <v>0.8</v>
      </c>
      <c r="FW188" s="9">
        <v>2.5</v>
      </c>
      <c r="FX188" s="9">
        <v>1.6</v>
      </c>
      <c r="FY188" s="9">
        <v>-0.7</v>
      </c>
      <c r="FZ188" s="9">
        <v>-0.2</v>
      </c>
      <c r="GA188" s="9">
        <v>8.8000000000000007</v>
      </c>
      <c r="GD188" s="9">
        <v>1.7</v>
      </c>
      <c r="GE188" s="9">
        <v>-0.6</v>
      </c>
      <c r="GF188" s="9">
        <v>0.1</v>
      </c>
      <c r="GG188" s="9">
        <v>0.1</v>
      </c>
      <c r="GK188" s="9">
        <v>0.2</v>
      </c>
      <c r="GM188" s="9">
        <v>2.1</v>
      </c>
      <c r="GO188" s="9">
        <v>1.9</v>
      </c>
      <c r="GP188" s="9">
        <v>2.9</v>
      </c>
      <c r="GQ188" s="9">
        <v>0.1</v>
      </c>
      <c r="GR188" s="9">
        <v>1.8</v>
      </c>
      <c r="GS188" s="9">
        <v>2.2999999999999998</v>
      </c>
      <c r="GT188" s="9">
        <v>-0.3</v>
      </c>
      <c r="GU188" s="9">
        <v>0.8</v>
      </c>
      <c r="GV188" s="9">
        <v>0.8</v>
      </c>
      <c r="GW188" s="9">
        <v>-0.1</v>
      </c>
      <c r="GX188" s="9">
        <v>-0.3</v>
      </c>
      <c r="GY188" s="9">
        <v>-0.3</v>
      </c>
      <c r="GZ188" s="9">
        <v>1.6</v>
      </c>
      <c r="HA188" s="9">
        <v>-1.8</v>
      </c>
      <c r="HB188" s="9">
        <v>-0.5</v>
      </c>
      <c r="HC188" s="9">
        <v>-0.3</v>
      </c>
      <c r="HD188" s="9">
        <v>0.4</v>
      </c>
      <c r="HE188" s="9">
        <v>-0.7</v>
      </c>
      <c r="HF188" s="9">
        <v>0</v>
      </c>
      <c r="HG188" s="9">
        <v>0</v>
      </c>
      <c r="HH188" s="9">
        <v>1.4</v>
      </c>
      <c r="HI188" s="9">
        <v>0</v>
      </c>
      <c r="HJ188" s="9">
        <v>1.2</v>
      </c>
      <c r="HK188" s="9">
        <v>-4.5</v>
      </c>
      <c r="HL188" s="9">
        <v>-6</v>
      </c>
      <c r="HM188" s="9">
        <v>1.4</v>
      </c>
      <c r="HN188" s="9">
        <v>2.7</v>
      </c>
      <c r="HO188" s="9">
        <v>3.1</v>
      </c>
      <c r="HP188" s="9">
        <v>0.7</v>
      </c>
      <c r="HQ188" s="9">
        <v>0</v>
      </c>
      <c r="HR188" s="9">
        <v>0</v>
      </c>
      <c r="HS188" s="9">
        <v>0.7</v>
      </c>
      <c r="HT188" s="9">
        <v>1.5</v>
      </c>
      <c r="HU188" s="9">
        <v>-0.5</v>
      </c>
      <c r="HV188" s="9">
        <v>-0.1</v>
      </c>
      <c r="HW188" s="9">
        <v>0.1</v>
      </c>
      <c r="HX188" s="9">
        <v>0.2</v>
      </c>
      <c r="HY188" s="9">
        <v>0.2</v>
      </c>
      <c r="HZ188" s="9">
        <v>0.4</v>
      </c>
      <c r="IA188" s="9">
        <v>0.4</v>
      </c>
      <c r="IB188" s="9">
        <v>0</v>
      </c>
      <c r="IC188" s="9">
        <v>0.4</v>
      </c>
      <c r="ID188" s="9">
        <v>1.3</v>
      </c>
      <c r="IE188" s="9">
        <v>0.2</v>
      </c>
      <c r="IF188" s="9">
        <v>-0.1</v>
      </c>
      <c r="IG188" s="9">
        <v>0.2</v>
      </c>
      <c r="IH188" s="9">
        <v>1.1000000000000001</v>
      </c>
      <c r="IK188" s="9">
        <v>2.7</v>
      </c>
      <c r="IL188" s="9">
        <v>-0.3</v>
      </c>
      <c r="IM188" s="9">
        <v>6.6</v>
      </c>
      <c r="IN188" s="9">
        <v>0.2</v>
      </c>
      <c r="IQ188" s="9">
        <v>0.2</v>
      </c>
    </row>
    <row r="189" spans="1:251" x14ac:dyDescent="0.2">
      <c r="A189" s="10">
        <v>34029</v>
      </c>
      <c r="B189" s="8">
        <v>42.1</v>
      </c>
      <c r="C189" s="8">
        <v>39.68</v>
      </c>
      <c r="D189" s="8">
        <v>42.28</v>
      </c>
      <c r="E189" s="8">
        <v>36.74</v>
      </c>
      <c r="F189" s="8">
        <v>42.86</v>
      </c>
      <c r="G189" s="8">
        <v>59.96</v>
      </c>
      <c r="H189" s="8">
        <v>53.64</v>
      </c>
      <c r="I189" s="8">
        <v>41.64</v>
      </c>
      <c r="J189" s="8">
        <v>34.17</v>
      </c>
      <c r="K189" s="8">
        <v>43.68</v>
      </c>
      <c r="L189" s="8">
        <v>26.14</v>
      </c>
      <c r="M189" s="8">
        <v>68.55</v>
      </c>
      <c r="N189" s="8">
        <v>36.520000000000003</v>
      </c>
      <c r="O189" s="8">
        <v>46.52</v>
      </c>
      <c r="P189" s="8">
        <v>42.71</v>
      </c>
      <c r="Q189" s="8">
        <v>44.32</v>
      </c>
      <c r="R189" s="8">
        <v>40.520000000000003</v>
      </c>
      <c r="S189" s="8">
        <v>43.23</v>
      </c>
      <c r="T189" s="8">
        <v>36.81</v>
      </c>
      <c r="U189" s="8">
        <v>37.130000000000003</v>
      </c>
      <c r="V189" s="8">
        <v>36.619999999999997</v>
      </c>
      <c r="W189" s="8">
        <v>39.869999999999997</v>
      </c>
      <c r="X189" s="8">
        <v>31.79</v>
      </c>
      <c r="Y189" s="8">
        <v>45.92</v>
      </c>
      <c r="Z189" s="8">
        <v>55.47</v>
      </c>
      <c r="AA189" s="8">
        <v>31.32</v>
      </c>
      <c r="AB189" s="8">
        <v>37.58</v>
      </c>
      <c r="AC189" s="8">
        <v>54.93</v>
      </c>
      <c r="AD189" s="8">
        <v>46.18</v>
      </c>
      <c r="AE189" s="8">
        <v>44.64</v>
      </c>
      <c r="AF189" s="8">
        <v>44.72</v>
      </c>
      <c r="AG189" s="8">
        <v>37.31</v>
      </c>
      <c r="AH189" s="8">
        <v>36.869999999999997</v>
      </c>
      <c r="AI189" s="8">
        <v>36.81</v>
      </c>
      <c r="AJ189" s="8">
        <v>18.5</v>
      </c>
      <c r="AK189" s="8">
        <v>40.69</v>
      </c>
      <c r="AL189" s="8">
        <v>35.67</v>
      </c>
      <c r="AM189" s="8">
        <v>61.47</v>
      </c>
      <c r="AN189" s="8">
        <v>31.44</v>
      </c>
      <c r="AO189" s="8">
        <v>5.18</v>
      </c>
      <c r="AP189" s="8">
        <v>5.18</v>
      </c>
      <c r="AQ189" s="8">
        <v>96.89</v>
      </c>
      <c r="AR189" s="8">
        <v>112.75</v>
      </c>
      <c r="AS189" s="8">
        <v>110.27</v>
      </c>
      <c r="AT189" s="8">
        <v>119.32</v>
      </c>
      <c r="AU189" s="8">
        <v>95.41</v>
      </c>
      <c r="AV189" s="8">
        <v>116.22</v>
      </c>
      <c r="AW189" s="8">
        <v>125.99</v>
      </c>
      <c r="AX189" s="8">
        <v>113.76</v>
      </c>
      <c r="AY189" s="8">
        <v>105.23</v>
      </c>
      <c r="BB189" s="8">
        <v>34.69</v>
      </c>
      <c r="BC189" s="8">
        <v>34.9</v>
      </c>
      <c r="BD189" s="8">
        <v>39.090000000000003</v>
      </c>
      <c r="BE189" s="8">
        <v>39.090000000000003</v>
      </c>
      <c r="BI189" s="8">
        <v>39.75</v>
      </c>
      <c r="BK189" s="8">
        <v>26.31</v>
      </c>
      <c r="BM189" s="8">
        <v>27.88</v>
      </c>
      <c r="BN189" s="8">
        <v>20.57</v>
      </c>
      <c r="BO189" s="8">
        <v>66.84</v>
      </c>
      <c r="BP189" s="8">
        <v>63.04</v>
      </c>
      <c r="BQ189" s="8">
        <v>68.760000000000005</v>
      </c>
      <c r="BR189" s="8">
        <v>44.91</v>
      </c>
      <c r="BS189" s="8">
        <v>113.13</v>
      </c>
      <c r="BT189" s="8">
        <v>113.13</v>
      </c>
      <c r="BU189" s="8">
        <v>101.67</v>
      </c>
      <c r="BV189" s="8">
        <v>101.87</v>
      </c>
      <c r="BW189" s="8">
        <v>116.2</v>
      </c>
      <c r="BX189" s="8">
        <v>123.35</v>
      </c>
      <c r="BY189" s="8">
        <v>72.83</v>
      </c>
      <c r="BZ189" s="8">
        <v>67.62</v>
      </c>
      <c r="CA189" s="8">
        <v>70.48</v>
      </c>
      <c r="CB189" s="8">
        <v>81.33</v>
      </c>
      <c r="CC189" s="8">
        <v>56.2</v>
      </c>
      <c r="CD189" s="8">
        <v>30.58</v>
      </c>
      <c r="CE189" s="8">
        <v>34.19</v>
      </c>
      <c r="CF189" s="8">
        <v>33.65</v>
      </c>
      <c r="CG189" s="8">
        <v>27.17</v>
      </c>
      <c r="CH189" s="8">
        <v>27.15</v>
      </c>
      <c r="CI189" s="8">
        <v>61.97</v>
      </c>
      <c r="CJ189" s="8">
        <v>61.2</v>
      </c>
      <c r="CK189" s="8">
        <v>67.53</v>
      </c>
      <c r="CL189" s="8">
        <v>21.63</v>
      </c>
      <c r="CM189" s="8">
        <v>20.440000000000001</v>
      </c>
      <c r="CN189" s="8">
        <v>31.32</v>
      </c>
      <c r="CO189" s="8">
        <v>48.95</v>
      </c>
      <c r="CP189" s="8">
        <v>49.83</v>
      </c>
      <c r="CQ189" s="8">
        <v>105.36</v>
      </c>
      <c r="CR189" s="8">
        <v>50.52</v>
      </c>
      <c r="CS189" s="8">
        <v>34.57</v>
      </c>
      <c r="CT189" s="8">
        <v>44.36</v>
      </c>
      <c r="CU189" s="8">
        <v>29.69</v>
      </c>
      <c r="CV189" s="8">
        <v>39.979999999999997</v>
      </c>
      <c r="CW189" s="8">
        <v>39.99</v>
      </c>
      <c r="CX189" s="8">
        <v>117.84</v>
      </c>
      <c r="CY189" s="8">
        <v>117.84</v>
      </c>
      <c r="CZ189" s="8">
        <v>36.99</v>
      </c>
      <c r="DA189" s="8">
        <v>125.13</v>
      </c>
      <c r="DB189" s="8">
        <v>62.25</v>
      </c>
      <c r="DC189" s="8">
        <v>317.27999999999997</v>
      </c>
      <c r="DD189" s="8">
        <v>1689.58</v>
      </c>
      <c r="DE189" s="8">
        <v>83.78</v>
      </c>
      <c r="DF189" s="8">
        <v>44.83</v>
      </c>
      <c r="DI189" s="8">
        <v>41.18</v>
      </c>
      <c r="DJ189" s="8">
        <v>36.700000000000003</v>
      </c>
      <c r="DK189" s="8">
        <v>41.37</v>
      </c>
      <c r="DL189" s="8">
        <v>42.49</v>
      </c>
      <c r="DO189" s="8">
        <v>39.69</v>
      </c>
      <c r="DP189" s="8">
        <v>26.64</v>
      </c>
      <c r="DS189" s="8">
        <v>22.5</v>
      </c>
      <c r="DT189" s="8">
        <v>22.5</v>
      </c>
      <c r="DY189" s="8">
        <v>15.95</v>
      </c>
      <c r="DZ189" s="8">
        <v>15.95</v>
      </c>
      <c r="ED189" s="9">
        <v>0.9</v>
      </c>
      <c r="EE189" s="9">
        <v>2.2000000000000002</v>
      </c>
      <c r="EF189" s="9">
        <v>1.2</v>
      </c>
      <c r="EG189" s="9">
        <v>1.8</v>
      </c>
      <c r="EH189" s="9">
        <v>0</v>
      </c>
      <c r="EI189" s="9">
        <v>0.4</v>
      </c>
      <c r="EJ189" s="9">
        <v>4.3</v>
      </c>
      <c r="EK189" s="9">
        <v>1.8</v>
      </c>
      <c r="EL189" s="9">
        <v>0.4</v>
      </c>
      <c r="EM189" s="9">
        <v>1.3</v>
      </c>
      <c r="EN189" s="9">
        <v>11</v>
      </c>
      <c r="EO189" s="9">
        <v>-0.5</v>
      </c>
      <c r="EP189" s="9">
        <v>1.1000000000000001</v>
      </c>
      <c r="EQ189" s="9">
        <v>0.4</v>
      </c>
      <c r="ER189" s="9">
        <v>0.4</v>
      </c>
      <c r="ES189" s="9">
        <v>1.4</v>
      </c>
      <c r="ET189" s="9">
        <v>-0.9</v>
      </c>
      <c r="EU189" s="9">
        <v>-3.5</v>
      </c>
      <c r="EV189" s="9">
        <v>14.4</v>
      </c>
      <c r="EW189" s="9">
        <v>12.3</v>
      </c>
      <c r="EX189" s="9">
        <v>16.3</v>
      </c>
      <c r="EY189" s="9">
        <v>0.5</v>
      </c>
      <c r="EZ189" s="9">
        <v>-1.2</v>
      </c>
      <c r="FA189" s="9">
        <v>0.7</v>
      </c>
      <c r="FB189" s="9">
        <v>0.3</v>
      </c>
      <c r="FC189" s="9">
        <v>1.3</v>
      </c>
      <c r="FD189" s="9">
        <v>0.5</v>
      </c>
      <c r="FE189" s="9">
        <v>-0.7</v>
      </c>
      <c r="FF189" s="9">
        <v>0.3</v>
      </c>
      <c r="FG189" s="9">
        <v>-0.4</v>
      </c>
      <c r="FH189" s="9">
        <v>0.3</v>
      </c>
      <c r="FI189" s="9">
        <v>1</v>
      </c>
      <c r="FJ189" s="9">
        <v>0.4</v>
      </c>
      <c r="FK189" s="9">
        <v>1.5</v>
      </c>
      <c r="FL189" s="9">
        <v>2.2000000000000002</v>
      </c>
      <c r="FM189" s="9">
        <v>0.8</v>
      </c>
      <c r="FN189" s="9">
        <v>0.3</v>
      </c>
      <c r="FO189" s="9">
        <v>1.1000000000000001</v>
      </c>
      <c r="FP189" s="9">
        <v>0.9</v>
      </c>
      <c r="FQ189" s="9">
        <v>4.5999999999999996</v>
      </c>
      <c r="FR189" s="9">
        <v>4.5999999999999996</v>
      </c>
      <c r="FS189" s="9">
        <v>-0.3</v>
      </c>
      <c r="FT189" s="9">
        <v>-0.2</v>
      </c>
      <c r="FU189" s="9">
        <v>0.1</v>
      </c>
      <c r="FV189" s="9">
        <v>-0.1</v>
      </c>
      <c r="FW189" s="9">
        <v>-1.1000000000000001</v>
      </c>
      <c r="FX189" s="9">
        <v>-1.2</v>
      </c>
      <c r="FY189" s="9">
        <v>-1.1000000000000001</v>
      </c>
      <c r="FZ189" s="9">
        <v>-0.7</v>
      </c>
      <c r="GA189" s="9">
        <v>-2.6</v>
      </c>
      <c r="GD189" s="9">
        <v>0.6</v>
      </c>
      <c r="GE189" s="9">
        <v>0.4</v>
      </c>
      <c r="GF189" s="9">
        <v>0</v>
      </c>
      <c r="GG189" s="9">
        <v>0</v>
      </c>
      <c r="GK189" s="9">
        <v>-0.5</v>
      </c>
      <c r="GM189" s="9">
        <v>1.6</v>
      </c>
      <c r="GO189" s="9">
        <v>0.9</v>
      </c>
      <c r="GP189" s="9">
        <v>3.7</v>
      </c>
      <c r="GQ189" s="9">
        <v>-0.6</v>
      </c>
      <c r="GR189" s="9">
        <v>-2.2000000000000002</v>
      </c>
      <c r="GS189" s="9">
        <v>-2.7</v>
      </c>
      <c r="GT189" s="9">
        <v>0.3</v>
      </c>
      <c r="GU189" s="9">
        <v>0</v>
      </c>
      <c r="GV189" s="9">
        <v>0</v>
      </c>
      <c r="GW189" s="9">
        <v>0.2</v>
      </c>
      <c r="GX189" s="9">
        <v>0.7</v>
      </c>
      <c r="GY189" s="9">
        <v>0.7</v>
      </c>
      <c r="GZ189" s="9">
        <v>-0.6</v>
      </c>
      <c r="HA189" s="9">
        <v>0.1</v>
      </c>
      <c r="HB189" s="9">
        <v>-0.7</v>
      </c>
      <c r="HC189" s="9">
        <v>-1.6</v>
      </c>
      <c r="HD189" s="9">
        <v>-0.3</v>
      </c>
      <c r="HE189" s="9">
        <v>-0.3</v>
      </c>
      <c r="HF189" s="9">
        <v>0.7</v>
      </c>
      <c r="HG189" s="9">
        <v>7.8</v>
      </c>
      <c r="HH189" s="9">
        <v>-0.2</v>
      </c>
      <c r="HI189" s="9">
        <v>0.7</v>
      </c>
      <c r="HJ189" s="9">
        <v>3.6</v>
      </c>
      <c r="HK189" s="9">
        <v>12.1</v>
      </c>
      <c r="HL189" s="9">
        <v>15</v>
      </c>
      <c r="HM189" s="9">
        <v>0.9</v>
      </c>
      <c r="HN189" s="9">
        <v>1.5</v>
      </c>
      <c r="HO189" s="9">
        <v>1.5</v>
      </c>
      <c r="HP189" s="9">
        <v>1.6</v>
      </c>
      <c r="HQ189" s="9">
        <v>0.4</v>
      </c>
      <c r="HR189" s="9">
        <v>0.2</v>
      </c>
      <c r="HS189" s="9">
        <v>2.6</v>
      </c>
      <c r="HT189" s="9">
        <v>0.3</v>
      </c>
      <c r="HU189" s="9">
        <v>-3.3</v>
      </c>
      <c r="HV189" s="9">
        <v>0.9</v>
      </c>
      <c r="HW189" s="9">
        <v>7.5</v>
      </c>
      <c r="HX189" s="9">
        <v>3</v>
      </c>
      <c r="HY189" s="9">
        <v>3</v>
      </c>
      <c r="HZ189" s="9">
        <v>0</v>
      </c>
      <c r="IA189" s="9">
        <v>0</v>
      </c>
      <c r="IB189" s="9">
        <v>0</v>
      </c>
      <c r="IC189" s="9">
        <v>0.1</v>
      </c>
      <c r="ID189" s="9">
        <v>0.3</v>
      </c>
      <c r="IE189" s="9">
        <v>0.9</v>
      </c>
      <c r="IF189" s="9">
        <v>0.3</v>
      </c>
      <c r="IG189" s="9">
        <v>0.9</v>
      </c>
      <c r="IH189" s="9">
        <v>4</v>
      </c>
      <c r="IK189" s="9">
        <v>-4.2</v>
      </c>
      <c r="IL189" s="9">
        <v>-1.5</v>
      </c>
      <c r="IM189" s="9">
        <v>-7.4</v>
      </c>
      <c r="IN189" s="9">
        <v>-0.1</v>
      </c>
      <c r="IQ189" s="9">
        <v>-0.8</v>
      </c>
    </row>
    <row r="190" spans="1:251" x14ac:dyDescent="0.2">
      <c r="A190" s="10">
        <v>34121</v>
      </c>
      <c r="B190" s="8">
        <v>42.25</v>
      </c>
      <c r="C190" s="8">
        <v>39.32</v>
      </c>
      <c r="D190" s="8">
        <v>42.13</v>
      </c>
      <c r="E190" s="8">
        <v>36.549999999999997</v>
      </c>
      <c r="F190" s="8">
        <v>42.9</v>
      </c>
      <c r="G190" s="8">
        <v>60.64</v>
      </c>
      <c r="H190" s="8">
        <v>52.12</v>
      </c>
      <c r="I190" s="8">
        <v>41.73</v>
      </c>
      <c r="J190" s="8">
        <v>34.28</v>
      </c>
      <c r="K190" s="8">
        <v>43.89</v>
      </c>
      <c r="L190" s="8">
        <v>25.94</v>
      </c>
      <c r="M190" s="8">
        <v>69.41</v>
      </c>
      <c r="N190" s="8">
        <v>36.520000000000003</v>
      </c>
      <c r="O190" s="8">
        <v>46.37</v>
      </c>
      <c r="P190" s="8">
        <v>43.4</v>
      </c>
      <c r="Q190" s="8">
        <v>45.23</v>
      </c>
      <c r="R190" s="8">
        <v>40.56</v>
      </c>
      <c r="S190" s="8">
        <v>45.91</v>
      </c>
      <c r="T190" s="8">
        <v>32.520000000000003</v>
      </c>
      <c r="U190" s="8">
        <v>34.9</v>
      </c>
      <c r="V190" s="8">
        <v>30.68</v>
      </c>
      <c r="W190" s="8">
        <v>40.42</v>
      </c>
      <c r="X190" s="8">
        <v>31.57</v>
      </c>
      <c r="Y190" s="8">
        <v>45.62</v>
      </c>
      <c r="Z190" s="8">
        <v>55.63</v>
      </c>
      <c r="AA190" s="8">
        <v>30.75</v>
      </c>
      <c r="AB190" s="8">
        <v>38.1</v>
      </c>
      <c r="AC190" s="8">
        <v>54.35</v>
      </c>
      <c r="AD190" s="8">
        <v>46.18</v>
      </c>
      <c r="AE190" s="8">
        <v>44.95</v>
      </c>
      <c r="AF190" s="8">
        <v>44.72</v>
      </c>
      <c r="AG190" s="8">
        <v>37.57</v>
      </c>
      <c r="AH190" s="8">
        <v>37.17</v>
      </c>
      <c r="AI190" s="8">
        <v>37</v>
      </c>
      <c r="AJ190" s="8">
        <v>18.78</v>
      </c>
      <c r="AK190" s="8">
        <v>41.01</v>
      </c>
      <c r="AL190" s="8">
        <v>35.94</v>
      </c>
      <c r="AM190" s="8">
        <v>61.64</v>
      </c>
      <c r="AN190" s="8">
        <v>31.77</v>
      </c>
      <c r="AO190" s="8">
        <v>5.32</v>
      </c>
      <c r="AP190" s="8">
        <v>5.32</v>
      </c>
      <c r="AQ190" s="8">
        <v>97.43</v>
      </c>
      <c r="AR190" s="8">
        <v>113.59</v>
      </c>
      <c r="AS190" s="8">
        <v>111.07</v>
      </c>
      <c r="AT190" s="8">
        <v>120.21</v>
      </c>
      <c r="AU190" s="8">
        <v>96.29</v>
      </c>
      <c r="AV190" s="8">
        <v>116.78</v>
      </c>
      <c r="AW190" s="8">
        <v>125.76</v>
      </c>
      <c r="AX190" s="8">
        <v>115.08</v>
      </c>
      <c r="AY190" s="8">
        <v>105.53</v>
      </c>
      <c r="BB190" s="8">
        <v>34.9</v>
      </c>
      <c r="BC190" s="8">
        <v>35.19</v>
      </c>
      <c r="BD190" s="8">
        <v>39.17</v>
      </c>
      <c r="BE190" s="8">
        <v>39.17</v>
      </c>
      <c r="BI190" s="8">
        <v>40.18</v>
      </c>
      <c r="BK190" s="8">
        <v>26.33</v>
      </c>
      <c r="BM190" s="8">
        <v>27.9</v>
      </c>
      <c r="BN190" s="8">
        <v>20.55</v>
      </c>
      <c r="BO190" s="8">
        <v>67.16</v>
      </c>
      <c r="BP190" s="8">
        <v>63.57</v>
      </c>
      <c r="BQ190" s="8">
        <v>69.2</v>
      </c>
      <c r="BR190" s="8">
        <v>45.44</v>
      </c>
      <c r="BS190" s="8">
        <v>113.66</v>
      </c>
      <c r="BT190" s="8">
        <v>113.66</v>
      </c>
      <c r="BU190" s="8">
        <v>103.04</v>
      </c>
      <c r="BV190" s="8">
        <v>102.95</v>
      </c>
      <c r="BW190" s="8">
        <v>117.43</v>
      </c>
      <c r="BX190" s="8">
        <v>125.61</v>
      </c>
      <c r="BY190" s="8">
        <v>73.739999999999995</v>
      </c>
      <c r="BZ190" s="8">
        <v>68.05</v>
      </c>
      <c r="CA190" s="8">
        <v>70.61</v>
      </c>
      <c r="CB190" s="8">
        <v>82.97</v>
      </c>
      <c r="CC190" s="8">
        <v>56.3</v>
      </c>
      <c r="CD190" s="8">
        <v>31.2</v>
      </c>
      <c r="CE190" s="8">
        <v>34.58</v>
      </c>
      <c r="CF190" s="8">
        <v>33.799999999999997</v>
      </c>
      <c r="CG190" s="8">
        <v>27.72</v>
      </c>
      <c r="CH190" s="8">
        <v>27.24</v>
      </c>
      <c r="CI190" s="8">
        <v>61.44</v>
      </c>
      <c r="CJ190" s="8">
        <v>60.94</v>
      </c>
      <c r="CK190" s="8">
        <v>65.73</v>
      </c>
      <c r="CL190" s="8">
        <v>21.78</v>
      </c>
      <c r="CM190" s="8">
        <v>20.57</v>
      </c>
      <c r="CN190" s="8">
        <v>31.53</v>
      </c>
      <c r="CO190" s="8">
        <v>49.3</v>
      </c>
      <c r="CP190" s="8">
        <v>50.19</v>
      </c>
      <c r="CQ190" s="8">
        <v>107.19</v>
      </c>
      <c r="CR190" s="8">
        <v>49.93</v>
      </c>
      <c r="CS190" s="8">
        <v>34.92</v>
      </c>
      <c r="CT190" s="8">
        <v>44.44</v>
      </c>
      <c r="CU190" s="8">
        <v>29.73</v>
      </c>
      <c r="CV190" s="8">
        <v>40.11</v>
      </c>
      <c r="CW190" s="8">
        <v>40.11</v>
      </c>
      <c r="CX190" s="8">
        <v>116.96</v>
      </c>
      <c r="CY190" s="8">
        <v>116.96</v>
      </c>
      <c r="CZ190" s="8">
        <v>36.99</v>
      </c>
      <c r="DA190" s="8">
        <v>124.08</v>
      </c>
      <c r="DB190" s="8">
        <v>62.6</v>
      </c>
      <c r="DC190" s="8">
        <v>321</v>
      </c>
      <c r="DD190" s="8">
        <v>1700.79</v>
      </c>
      <c r="DE190" s="8">
        <v>84.76</v>
      </c>
      <c r="DF190" s="8">
        <v>45.2</v>
      </c>
      <c r="DI190" s="8">
        <v>41.79</v>
      </c>
      <c r="DJ190" s="8">
        <v>36.93</v>
      </c>
      <c r="DK190" s="8">
        <v>42.49</v>
      </c>
      <c r="DL190" s="8">
        <v>43.13</v>
      </c>
      <c r="DO190" s="8">
        <v>40.590000000000003</v>
      </c>
      <c r="DP190" s="8">
        <v>27.08</v>
      </c>
      <c r="DS190" s="8">
        <v>22.5</v>
      </c>
      <c r="DT190" s="8">
        <v>22.5</v>
      </c>
      <c r="DY190" s="8">
        <v>16</v>
      </c>
      <c r="DZ190" s="8">
        <v>16</v>
      </c>
      <c r="ED190" s="9">
        <v>0.4</v>
      </c>
      <c r="EE190" s="9">
        <v>-0.9</v>
      </c>
      <c r="EF190" s="9">
        <v>-0.4</v>
      </c>
      <c r="EG190" s="9">
        <v>-0.5</v>
      </c>
      <c r="EH190" s="9">
        <v>0.1</v>
      </c>
      <c r="EI190" s="9">
        <v>1.1000000000000001</v>
      </c>
      <c r="EJ190" s="9">
        <v>-2.8</v>
      </c>
      <c r="EK190" s="9">
        <v>0.2</v>
      </c>
      <c r="EL190" s="9">
        <v>0.3</v>
      </c>
      <c r="EM190" s="9">
        <v>0.5</v>
      </c>
      <c r="EN190" s="9">
        <v>-0.8</v>
      </c>
      <c r="EO190" s="9">
        <v>1.3</v>
      </c>
      <c r="EP190" s="9">
        <v>0</v>
      </c>
      <c r="EQ190" s="9">
        <v>-0.3</v>
      </c>
      <c r="ER190" s="9">
        <v>1.6</v>
      </c>
      <c r="ES190" s="9">
        <v>2.1</v>
      </c>
      <c r="ET190" s="9">
        <v>0.1</v>
      </c>
      <c r="EU190" s="9">
        <v>6.2</v>
      </c>
      <c r="EV190" s="9">
        <v>-11.7</v>
      </c>
      <c r="EW190" s="9">
        <v>-6</v>
      </c>
      <c r="EX190" s="9">
        <v>-16.2</v>
      </c>
      <c r="EY190" s="9">
        <v>1.4</v>
      </c>
      <c r="EZ190" s="9">
        <v>-0.7</v>
      </c>
      <c r="FA190" s="9">
        <v>-0.7</v>
      </c>
      <c r="FB190" s="9">
        <v>0.3</v>
      </c>
      <c r="FC190" s="9">
        <v>-1.8</v>
      </c>
      <c r="FD190" s="9">
        <v>1.4</v>
      </c>
      <c r="FE190" s="9">
        <v>-1.1000000000000001</v>
      </c>
      <c r="FF190" s="9">
        <v>0</v>
      </c>
      <c r="FG190" s="9">
        <v>0.7</v>
      </c>
      <c r="FH190" s="9">
        <v>0</v>
      </c>
      <c r="FI190" s="9">
        <v>0.7</v>
      </c>
      <c r="FJ190" s="9">
        <v>0.8</v>
      </c>
      <c r="FK190" s="9">
        <v>0.5</v>
      </c>
      <c r="FL190" s="9">
        <v>1.5</v>
      </c>
      <c r="FM190" s="9">
        <v>0.8</v>
      </c>
      <c r="FN190" s="9">
        <v>0.8</v>
      </c>
      <c r="FO190" s="9">
        <v>0.3</v>
      </c>
      <c r="FP190" s="9">
        <v>1</v>
      </c>
      <c r="FQ190" s="9">
        <v>2.7</v>
      </c>
      <c r="FR190" s="9">
        <v>2.7</v>
      </c>
      <c r="FS190" s="9">
        <v>0.6</v>
      </c>
      <c r="FT190" s="9">
        <v>0.7</v>
      </c>
      <c r="FU190" s="9">
        <v>0.7</v>
      </c>
      <c r="FV190" s="9">
        <v>0.7</v>
      </c>
      <c r="FW190" s="9">
        <v>0.9</v>
      </c>
      <c r="FX190" s="9">
        <v>0.5</v>
      </c>
      <c r="FY190" s="9">
        <v>-0.2</v>
      </c>
      <c r="FZ190" s="9">
        <v>1.2</v>
      </c>
      <c r="GA190" s="9">
        <v>0.3</v>
      </c>
      <c r="GD190" s="9">
        <v>0.6</v>
      </c>
      <c r="GE190" s="9">
        <v>0.8</v>
      </c>
      <c r="GF190" s="9">
        <v>0.2</v>
      </c>
      <c r="GG190" s="9">
        <v>0.2</v>
      </c>
      <c r="GK190" s="9">
        <v>1.1000000000000001</v>
      </c>
      <c r="GM190" s="9">
        <v>0.1</v>
      </c>
      <c r="GO190" s="9">
        <v>0.1</v>
      </c>
      <c r="GP190" s="9">
        <v>-0.1</v>
      </c>
      <c r="GQ190" s="9">
        <v>0.5</v>
      </c>
      <c r="GR190" s="9">
        <v>0.8</v>
      </c>
      <c r="GS190" s="9">
        <v>0.6</v>
      </c>
      <c r="GT190" s="9">
        <v>1.2</v>
      </c>
      <c r="GU190" s="9">
        <v>0.5</v>
      </c>
      <c r="GV190" s="9">
        <v>0.5</v>
      </c>
      <c r="GW190" s="9">
        <v>1.3</v>
      </c>
      <c r="GX190" s="9">
        <v>1.1000000000000001</v>
      </c>
      <c r="GY190" s="9">
        <v>1.1000000000000001</v>
      </c>
      <c r="GZ190" s="9">
        <v>1.8</v>
      </c>
      <c r="HA190" s="9">
        <v>1.2</v>
      </c>
      <c r="HB190" s="9">
        <v>0.6</v>
      </c>
      <c r="HC190" s="9">
        <v>0.2</v>
      </c>
      <c r="HD190" s="9">
        <v>2</v>
      </c>
      <c r="HE190" s="9">
        <v>0.2</v>
      </c>
      <c r="HF190" s="9">
        <v>2</v>
      </c>
      <c r="HG190" s="9">
        <v>1.1000000000000001</v>
      </c>
      <c r="HH190" s="9">
        <v>0.4</v>
      </c>
      <c r="HI190" s="9">
        <v>2</v>
      </c>
      <c r="HJ190" s="9">
        <v>0.3</v>
      </c>
      <c r="HK190" s="9">
        <v>-0.9</v>
      </c>
      <c r="HL190" s="9">
        <v>-0.4</v>
      </c>
      <c r="HM190" s="9">
        <v>-2.7</v>
      </c>
      <c r="HN190" s="9">
        <v>0.7</v>
      </c>
      <c r="HO190" s="9">
        <v>0.6</v>
      </c>
      <c r="HP190" s="9">
        <v>0.7</v>
      </c>
      <c r="HQ190" s="9">
        <v>0.7</v>
      </c>
      <c r="HR190" s="9">
        <v>0.7</v>
      </c>
      <c r="HS190" s="9">
        <v>1.7</v>
      </c>
      <c r="HT190" s="9">
        <v>-1.2</v>
      </c>
      <c r="HU190" s="9">
        <v>1</v>
      </c>
      <c r="HV190" s="9">
        <v>0.2</v>
      </c>
      <c r="HW190" s="9">
        <v>0.1</v>
      </c>
      <c r="HX190" s="9">
        <v>0.3</v>
      </c>
      <c r="HY190" s="9">
        <v>0.3</v>
      </c>
      <c r="HZ190" s="9">
        <v>-0.7</v>
      </c>
      <c r="IA190" s="9">
        <v>-0.7</v>
      </c>
      <c r="IB190" s="9">
        <v>0</v>
      </c>
      <c r="IC190" s="9">
        <v>-0.8</v>
      </c>
      <c r="ID190" s="9">
        <v>0.6</v>
      </c>
      <c r="IE190" s="9">
        <v>1.2</v>
      </c>
      <c r="IF190" s="9">
        <v>0.7</v>
      </c>
      <c r="IG190" s="9">
        <v>1.2</v>
      </c>
      <c r="IH190" s="9">
        <v>0.8</v>
      </c>
      <c r="IK190" s="9">
        <v>1.5</v>
      </c>
      <c r="IL190" s="9">
        <v>0.6</v>
      </c>
      <c r="IM190" s="9">
        <v>2.7</v>
      </c>
      <c r="IN190" s="9">
        <v>1.5</v>
      </c>
      <c r="IQ190" s="9">
        <v>2.2999999999999998</v>
      </c>
    </row>
    <row r="191" spans="1:251" x14ac:dyDescent="0.2">
      <c r="A191" s="10">
        <v>34213</v>
      </c>
      <c r="B191" s="8">
        <v>42.45</v>
      </c>
      <c r="C191" s="8">
        <v>39.61</v>
      </c>
      <c r="D191" s="8">
        <v>42.43</v>
      </c>
      <c r="E191" s="8">
        <v>36.64</v>
      </c>
      <c r="F191" s="8">
        <v>43.47</v>
      </c>
      <c r="G191" s="8">
        <v>61.74</v>
      </c>
      <c r="H191" s="8">
        <v>51.45</v>
      </c>
      <c r="I191" s="8">
        <v>42.1</v>
      </c>
      <c r="J191" s="8">
        <v>35.020000000000003</v>
      </c>
      <c r="K191" s="8">
        <v>44.1</v>
      </c>
      <c r="L191" s="8">
        <v>28.17</v>
      </c>
      <c r="M191" s="8">
        <v>68.63</v>
      </c>
      <c r="N191" s="8">
        <v>35.619999999999997</v>
      </c>
      <c r="O191" s="8">
        <v>45.99</v>
      </c>
      <c r="P191" s="8">
        <v>43.59</v>
      </c>
      <c r="Q191" s="8">
        <v>45.64</v>
      </c>
      <c r="R191" s="8">
        <v>40.479999999999997</v>
      </c>
      <c r="S191" s="8">
        <v>45.7</v>
      </c>
      <c r="T191" s="8">
        <v>32.86</v>
      </c>
      <c r="U191" s="8">
        <v>34.24</v>
      </c>
      <c r="V191" s="8">
        <v>31.8</v>
      </c>
      <c r="W191" s="8">
        <v>40.729999999999997</v>
      </c>
      <c r="X191" s="8">
        <v>32.28</v>
      </c>
      <c r="Y191" s="8">
        <v>46.83</v>
      </c>
      <c r="Z191" s="8">
        <v>58.22</v>
      </c>
      <c r="AA191" s="8">
        <v>31.44</v>
      </c>
      <c r="AB191" s="8">
        <v>38.42</v>
      </c>
      <c r="AC191" s="8">
        <v>53.91</v>
      </c>
      <c r="AD191" s="8">
        <v>46.34</v>
      </c>
      <c r="AE191" s="8">
        <v>45.36</v>
      </c>
      <c r="AF191" s="8">
        <v>44.87</v>
      </c>
      <c r="AG191" s="8">
        <v>37.64</v>
      </c>
      <c r="AH191" s="8">
        <v>37.17</v>
      </c>
      <c r="AI191" s="8">
        <v>37.119999999999997</v>
      </c>
      <c r="AJ191" s="8">
        <v>19.190000000000001</v>
      </c>
      <c r="AK191" s="8">
        <v>41.47</v>
      </c>
      <c r="AL191" s="8">
        <v>36.24</v>
      </c>
      <c r="AM191" s="8">
        <v>63.04</v>
      </c>
      <c r="AN191" s="8">
        <v>32.07</v>
      </c>
      <c r="AO191" s="8">
        <v>5.53</v>
      </c>
      <c r="AP191" s="8">
        <v>5.53</v>
      </c>
      <c r="AQ191" s="8">
        <v>96.53</v>
      </c>
      <c r="AR191" s="8">
        <v>112.65</v>
      </c>
      <c r="AS191" s="8">
        <v>108.45</v>
      </c>
      <c r="AT191" s="8">
        <v>119.99</v>
      </c>
      <c r="AU191" s="8">
        <v>95.76</v>
      </c>
      <c r="AV191" s="8">
        <v>115.55</v>
      </c>
      <c r="AW191" s="8">
        <v>122.67</v>
      </c>
      <c r="AX191" s="8">
        <v>114.42</v>
      </c>
      <c r="AY191" s="8">
        <v>105.53</v>
      </c>
      <c r="BB191" s="8">
        <v>35.130000000000003</v>
      </c>
      <c r="BC191" s="8">
        <v>35.08</v>
      </c>
      <c r="BD191" s="8">
        <v>39.200000000000003</v>
      </c>
      <c r="BE191" s="8">
        <v>39.200000000000003</v>
      </c>
      <c r="BI191" s="8">
        <v>40.61</v>
      </c>
      <c r="BK191" s="8">
        <v>26.55</v>
      </c>
      <c r="BM191" s="8">
        <v>28.22</v>
      </c>
      <c r="BN191" s="8">
        <v>20.57</v>
      </c>
      <c r="BO191" s="8">
        <v>67.22</v>
      </c>
      <c r="BP191" s="8">
        <v>63.98</v>
      </c>
      <c r="BQ191" s="8">
        <v>69.819999999999993</v>
      </c>
      <c r="BR191" s="8">
        <v>45.31</v>
      </c>
      <c r="BS191" s="8">
        <v>113.55</v>
      </c>
      <c r="BT191" s="8">
        <v>113.55</v>
      </c>
      <c r="BU191" s="8">
        <v>103.14</v>
      </c>
      <c r="BV191" s="8">
        <v>103.05</v>
      </c>
      <c r="BW191" s="8">
        <v>117.54</v>
      </c>
      <c r="BX191" s="8">
        <v>125.37</v>
      </c>
      <c r="BY191" s="8">
        <v>74.36</v>
      </c>
      <c r="BZ191" s="8">
        <v>68.61</v>
      </c>
      <c r="CA191" s="8">
        <v>73.3</v>
      </c>
      <c r="CB191" s="8">
        <v>82.61</v>
      </c>
      <c r="CC191" s="8">
        <v>55.63</v>
      </c>
      <c r="CD191" s="8">
        <v>31.78</v>
      </c>
      <c r="CE191" s="8">
        <v>34.49</v>
      </c>
      <c r="CF191" s="8">
        <v>34.1</v>
      </c>
      <c r="CG191" s="8">
        <v>28.23</v>
      </c>
      <c r="CH191" s="8">
        <v>27.24</v>
      </c>
      <c r="CI191" s="8">
        <v>59.23</v>
      </c>
      <c r="CJ191" s="8">
        <v>57.85</v>
      </c>
      <c r="CK191" s="8">
        <v>67.83</v>
      </c>
      <c r="CL191" s="8">
        <v>21.98</v>
      </c>
      <c r="CM191" s="8">
        <v>20.76</v>
      </c>
      <c r="CN191" s="8">
        <v>31.87</v>
      </c>
      <c r="CO191" s="8">
        <v>49.79</v>
      </c>
      <c r="CP191" s="8">
        <v>50.64</v>
      </c>
      <c r="CQ191" s="8">
        <v>109.41</v>
      </c>
      <c r="CR191" s="8">
        <v>50.81</v>
      </c>
      <c r="CS191" s="8">
        <v>34.979999999999997</v>
      </c>
      <c r="CT191" s="8">
        <v>44.64</v>
      </c>
      <c r="CU191" s="8">
        <v>30.04</v>
      </c>
      <c r="CV191" s="8">
        <v>40.85</v>
      </c>
      <c r="CW191" s="8">
        <v>40.85</v>
      </c>
      <c r="CX191" s="8">
        <v>116.3</v>
      </c>
      <c r="CY191" s="8">
        <v>116.3</v>
      </c>
      <c r="CZ191" s="8">
        <v>36.99</v>
      </c>
      <c r="DA191" s="8">
        <v>123.26</v>
      </c>
      <c r="DB191" s="8">
        <v>62.83</v>
      </c>
      <c r="DC191" s="8">
        <v>321.61</v>
      </c>
      <c r="DD191" s="8">
        <v>1691.45</v>
      </c>
      <c r="DE191" s="8">
        <v>84.92</v>
      </c>
      <c r="DF191" s="8">
        <v>45.61</v>
      </c>
      <c r="DI191" s="8">
        <v>41.88</v>
      </c>
      <c r="DJ191" s="8">
        <v>37.43</v>
      </c>
      <c r="DK191" s="8">
        <v>41.95</v>
      </c>
      <c r="DL191" s="8">
        <v>43.92</v>
      </c>
      <c r="DO191" s="8">
        <v>41.49</v>
      </c>
      <c r="DP191" s="8">
        <v>27.58</v>
      </c>
      <c r="DS191" s="8">
        <v>22.5</v>
      </c>
      <c r="DT191" s="8">
        <v>22.5</v>
      </c>
      <c r="DY191" s="8">
        <v>16.22</v>
      </c>
      <c r="DZ191" s="8">
        <v>16.22</v>
      </c>
      <c r="ED191" s="9">
        <v>0.5</v>
      </c>
      <c r="EE191" s="9">
        <v>0.7</v>
      </c>
      <c r="EF191" s="9">
        <v>0.7</v>
      </c>
      <c r="EG191" s="9">
        <v>0.2</v>
      </c>
      <c r="EH191" s="9">
        <v>1.3</v>
      </c>
      <c r="EI191" s="9">
        <v>1.8</v>
      </c>
      <c r="EJ191" s="9">
        <v>-1.3</v>
      </c>
      <c r="EK191" s="9">
        <v>0.9</v>
      </c>
      <c r="EL191" s="9">
        <v>2.2000000000000002</v>
      </c>
      <c r="EM191" s="9">
        <v>0.5</v>
      </c>
      <c r="EN191" s="9">
        <v>8.6</v>
      </c>
      <c r="EO191" s="9">
        <v>-1.1000000000000001</v>
      </c>
      <c r="EP191" s="9">
        <v>-2.5</v>
      </c>
      <c r="EQ191" s="9">
        <v>-0.8</v>
      </c>
      <c r="ER191" s="9">
        <v>0.4</v>
      </c>
      <c r="ES191" s="9">
        <v>0.9</v>
      </c>
      <c r="ET191" s="9">
        <v>-0.2</v>
      </c>
      <c r="EU191" s="9">
        <v>-0.5</v>
      </c>
      <c r="EV191" s="9">
        <v>1</v>
      </c>
      <c r="EW191" s="9">
        <v>-1.9</v>
      </c>
      <c r="EX191" s="9">
        <v>3.7</v>
      </c>
      <c r="EY191" s="9">
        <v>0.8</v>
      </c>
      <c r="EZ191" s="9">
        <v>2.2000000000000002</v>
      </c>
      <c r="FA191" s="9">
        <v>2.7</v>
      </c>
      <c r="FB191" s="9">
        <v>4.7</v>
      </c>
      <c r="FC191" s="9">
        <v>2.2000000000000002</v>
      </c>
      <c r="FD191" s="9">
        <v>0.8</v>
      </c>
      <c r="FE191" s="9">
        <v>-0.8</v>
      </c>
      <c r="FF191" s="9">
        <v>0.3</v>
      </c>
      <c r="FG191" s="9">
        <v>0.9</v>
      </c>
      <c r="FH191" s="9">
        <v>0.3</v>
      </c>
      <c r="FI191" s="9">
        <v>0.2</v>
      </c>
      <c r="FJ191" s="9">
        <v>0</v>
      </c>
      <c r="FK191" s="9">
        <v>0.3</v>
      </c>
      <c r="FL191" s="9">
        <v>2.2000000000000002</v>
      </c>
      <c r="FM191" s="9">
        <v>1.1000000000000001</v>
      </c>
      <c r="FN191" s="9">
        <v>0.8</v>
      </c>
      <c r="FO191" s="9">
        <v>2.2999999999999998</v>
      </c>
      <c r="FP191" s="9">
        <v>0.9</v>
      </c>
      <c r="FQ191" s="9">
        <v>3.9</v>
      </c>
      <c r="FR191" s="9">
        <v>3.9</v>
      </c>
      <c r="FS191" s="9">
        <v>-0.9</v>
      </c>
      <c r="FT191" s="9">
        <v>-0.8</v>
      </c>
      <c r="FU191" s="9">
        <v>-2.4</v>
      </c>
      <c r="FV191" s="9">
        <v>-0.2</v>
      </c>
      <c r="FW191" s="9">
        <v>-0.6</v>
      </c>
      <c r="FX191" s="9">
        <v>-1.1000000000000001</v>
      </c>
      <c r="FY191" s="9">
        <v>-2.5</v>
      </c>
      <c r="FZ191" s="9">
        <v>-0.6</v>
      </c>
      <c r="GA191" s="9">
        <v>0</v>
      </c>
      <c r="GD191" s="9">
        <v>0.7</v>
      </c>
      <c r="GE191" s="9">
        <v>-0.3</v>
      </c>
      <c r="GF191" s="9">
        <v>0.1</v>
      </c>
      <c r="GG191" s="9">
        <v>0.1</v>
      </c>
      <c r="GK191" s="9">
        <v>1.1000000000000001</v>
      </c>
      <c r="GM191" s="9">
        <v>0.8</v>
      </c>
      <c r="GO191" s="9">
        <v>1.1000000000000001</v>
      </c>
      <c r="GP191" s="9">
        <v>0.1</v>
      </c>
      <c r="GQ191" s="9">
        <v>0.1</v>
      </c>
      <c r="GR191" s="9">
        <v>0.6</v>
      </c>
      <c r="GS191" s="9">
        <v>0.9</v>
      </c>
      <c r="GT191" s="9">
        <v>-0.3</v>
      </c>
      <c r="GU191" s="9">
        <v>-0.1</v>
      </c>
      <c r="GV191" s="9">
        <v>-0.1</v>
      </c>
      <c r="GW191" s="9">
        <v>0.1</v>
      </c>
      <c r="GX191" s="9">
        <v>0.1</v>
      </c>
      <c r="GY191" s="9">
        <v>0.1</v>
      </c>
      <c r="GZ191" s="9">
        <v>-0.2</v>
      </c>
      <c r="HA191" s="9">
        <v>0.8</v>
      </c>
      <c r="HB191" s="9">
        <v>0.8</v>
      </c>
      <c r="HC191" s="9">
        <v>3.8</v>
      </c>
      <c r="HD191" s="9">
        <v>-0.4</v>
      </c>
      <c r="HE191" s="9">
        <v>-1.2</v>
      </c>
      <c r="HF191" s="9">
        <v>1.9</v>
      </c>
      <c r="HG191" s="9">
        <v>-0.3</v>
      </c>
      <c r="HH191" s="9">
        <v>0.9</v>
      </c>
      <c r="HI191" s="9">
        <v>1.8</v>
      </c>
      <c r="HJ191" s="9">
        <v>0</v>
      </c>
      <c r="HK191" s="9">
        <v>-3.6</v>
      </c>
      <c r="HL191" s="9">
        <v>-5.0999999999999996</v>
      </c>
      <c r="HM191" s="9">
        <v>3.2</v>
      </c>
      <c r="HN191" s="9">
        <v>0.9</v>
      </c>
      <c r="HO191" s="9">
        <v>0.9</v>
      </c>
      <c r="HP191" s="9">
        <v>1.1000000000000001</v>
      </c>
      <c r="HQ191" s="9">
        <v>1</v>
      </c>
      <c r="HR191" s="9">
        <v>0.9</v>
      </c>
      <c r="HS191" s="9">
        <v>2.1</v>
      </c>
      <c r="HT191" s="9">
        <v>1.8</v>
      </c>
      <c r="HU191" s="9">
        <v>0.2</v>
      </c>
      <c r="HV191" s="9">
        <v>0.5</v>
      </c>
      <c r="HW191" s="9">
        <v>1</v>
      </c>
      <c r="HX191" s="9">
        <v>1.8</v>
      </c>
      <c r="HY191" s="9">
        <v>1.8</v>
      </c>
      <c r="HZ191" s="9">
        <v>-0.6</v>
      </c>
      <c r="IA191" s="9">
        <v>-0.6</v>
      </c>
      <c r="IB191" s="9">
        <v>0</v>
      </c>
      <c r="IC191" s="9">
        <v>-0.7</v>
      </c>
      <c r="ID191" s="9">
        <v>0.4</v>
      </c>
      <c r="IE191" s="9">
        <v>0.2</v>
      </c>
      <c r="IF191" s="9">
        <v>-0.5</v>
      </c>
      <c r="IG191" s="9">
        <v>0.2</v>
      </c>
      <c r="IH191" s="9">
        <v>0.9</v>
      </c>
      <c r="IK191" s="9">
        <v>0.2</v>
      </c>
      <c r="IL191" s="9">
        <v>1.4</v>
      </c>
      <c r="IM191" s="9">
        <v>-1.3</v>
      </c>
      <c r="IN191" s="9">
        <v>1.8</v>
      </c>
      <c r="IQ191" s="9">
        <v>2.2000000000000002</v>
      </c>
    </row>
    <row r="192" spans="1:251" x14ac:dyDescent="0.2">
      <c r="A192" s="10">
        <v>34304</v>
      </c>
      <c r="B192" s="8">
        <v>42.53</v>
      </c>
      <c r="C192" s="8">
        <v>39.86</v>
      </c>
      <c r="D192" s="8">
        <v>42.76</v>
      </c>
      <c r="E192" s="8">
        <v>36.67</v>
      </c>
      <c r="F192" s="8">
        <v>44.23</v>
      </c>
      <c r="G192" s="8">
        <v>61.95</v>
      </c>
      <c r="H192" s="8">
        <v>51.97</v>
      </c>
      <c r="I192" s="8">
        <v>42.35</v>
      </c>
      <c r="J192" s="8">
        <v>35.29</v>
      </c>
      <c r="K192" s="8">
        <v>45.12</v>
      </c>
      <c r="L192" s="8">
        <v>27.08</v>
      </c>
      <c r="M192" s="8">
        <v>67.23</v>
      </c>
      <c r="N192" s="8">
        <v>36.380000000000003</v>
      </c>
      <c r="O192" s="8">
        <v>47.56</v>
      </c>
      <c r="P192" s="8">
        <v>44.09</v>
      </c>
      <c r="Q192" s="8">
        <v>45.98</v>
      </c>
      <c r="R192" s="8">
        <v>40.97</v>
      </c>
      <c r="S192" s="8">
        <v>46.85</v>
      </c>
      <c r="T192" s="8">
        <v>33.659999999999997</v>
      </c>
      <c r="U192" s="8">
        <v>34.31</v>
      </c>
      <c r="V192" s="8">
        <v>33.130000000000003</v>
      </c>
      <c r="W192" s="8">
        <v>41.39</v>
      </c>
      <c r="X192" s="8">
        <v>32.03</v>
      </c>
      <c r="Y192" s="8">
        <v>46.6</v>
      </c>
      <c r="Z192" s="8">
        <v>58.27</v>
      </c>
      <c r="AA192" s="8">
        <v>31.08</v>
      </c>
      <c r="AB192" s="8">
        <v>39.04</v>
      </c>
      <c r="AC192" s="8">
        <v>55.08</v>
      </c>
      <c r="AD192" s="8">
        <v>46.5</v>
      </c>
      <c r="AE192" s="8">
        <v>45.63</v>
      </c>
      <c r="AF192" s="8">
        <v>45.03</v>
      </c>
      <c r="AG192" s="8">
        <v>37.54</v>
      </c>
      <c r="AH192" s="8">
        <v>37.200000000000003</v>
      </c>
      <c r="AI192" s="8">
        <v>36.97</v>
      </c>
      <c r="AJ192" s="8">
        <v>19.53</v>
      </c>
      <c r="AK192" s="8">
        <v>41.86</v>
      </c>
      <c r="AL192" s="8">
        <v>36.479999999999997</v>
      </c>
      <c r="AM192" s="8">
        <v>63.79</v>
      </c>
      <c r="AN192" s="8">
        <v>32.340000000000003</v>
      </c>
      <c r="AO192" s="8">
        <v>5.7</v>
      </c>
      <c r="AP192" s="8">
        <v>5.7</v>
      </c>
      <c r="AQ192" s="8">
        <v>96.26</v>
      </c>
      <c r="AR192" s="8">
        <v>112.23</v>
      </c>
      <c r="AS192" s="8">
        <v>109.05</v>
      </c>
      <c r="AT192" s="8">
        <v>119.1</v>
      </c>
      <c r="AU192" s="8">
        <v>95.05</v>
      </c>
      <c r="AV192" s="8">
        <v>115.77</v>
      </c>
      <c r="AW192" s="8">
        <v>124.81</v>
      </c>
      <c r="AX192" s="8">
        <v>113.2</v>
      </c>
      <c r="AY192" s="8">
        <v>106.04</v>
      </c>
      <c r="BB192" s="8">
        <v>35.22</v>
      </c>
      <c r="BC192" s="8">
        <v>34.6</v>
      </c>
      <c r="BD192" s="8">
        <v>39.35</v>
      </c>
      <c r="BE192" s="8">
        <v>39.35</v>
      </c>
      <c r="BI192" s="8">
        <v>40.79</v>
      </c>
      <c r="BK192" s="8">
        <v>26.58</v>
      </c>
      <c r="BM192" s="8">
        <v>28.24</v>
      </c>
      <c r="BN192" s="8">
        <v>20.62</v>
      </c>
      <c r="BO192" s="8">
        <v>67.16</v>
      </c>
      <c r="BP192" s="8">
        <v>64.739999999999995</v>
      </c>
      <c r="BQ192" s="8">
        <v>70.760000000000005</v>
      </c>
      <c r="BR192" s="8">
        <v>45.66</v>
      </c>
      <c r="BS192" s="8">
        <v>113.77</v>
      </c>
      <c r="BT192" s="8">
        <v>113.77</v>
      </c>
      <c r="BU192" s="8">
        <v>103.24</v>
      </c>
      <c r="BV192" s="8">
        <v>103.34</v>
      </c>
      <c r="BW192" s="8">
        <v>117.88</v>
      </c>
      <c r="BX192" s="8">
        <v>125.61</v>
      </c>
      <c r="BY192" s="8">
        <v>73.94</v>
      </c>
      <c r="BZ192" s="8">
        <v>68.55</v>
      </c>
      <c r="CA192" s="8">
        <v>72.53</v>
      </c>
      <c r="CB192" s="8">
        <v>83.61</v>
      </c>
      <c r="CC192" s="8">
        <v>55.99</v>
      </c>
      <c r="CD192" s="8">
        <v>31.98</v>
      </c>
      <c r="CE192" s="8">
        <v>34.58</v>
      </c>
      <c r="CF192" s="8">
        <v>34.130000000000003</v>
      </c>
      <c r="CG192" s="8">
        <v>28.41</v>
      </c>
      <c r="CH192" s="8">
        <v>27.32</v>
      </c>
      <c r="CI192" s="8">
        <v>56.54</v>
      </c>
      <c r="CJ192" s="8">
        <v>54.56</v>
      </c>
      <c r="CK192" s="8">
        <v>68.010000000000005</v>
      </c>
      <c r="CL192" s="8">
        <v>22.3</v>
      </c>
      <c r="CM192" s="8">
        <v>21.1</v>
      </c>
      <c r="CN192" s="8">
        <v>32.1</v>
      </c>
      <c r="CO192" s="8">
        <v>49.92</v>
      </c>
      <c r="CP192" s="8">
        <v>50.82</v>
      </c>
      <c r="CQ192" s="8">
        <v>108.45</v>
      </c>
      <c r="CR192" s="8">
        <v>50.66</v>
      </c>
      <c r="CS192" s="8">
        <v>35.26</v>
      </c>
      <c r="CT192" s="8">
        <v>44.96</v>
      </c>
      <c r="CU192" s="8">
        <v>30.18</v>
      </c>
      <c r="CV192" s="8">
        <v>40.909999999999997</v>
      </c>
      <c r="CW192" s="8">
        <v>40.909999999999997</v>
      </c>
      <c r="CX192" s="8">
        <v>116.08</v>
      </c>
      <c r="CY192" s="8">
        <v>116.08</v>
      </c>
      <c r="CZ192" s="8">
        <v>36.99</v>
      </c>
      <c r="DA192" s="8">
        <v>123.02</v>
      </c>
      <c r="DB192" s="8">
        <v>63.64</v>
      </c>
      <c r="DC192" s="8">
        <v>325.33</v>
      </c>
      <c r="DD192" s="8">
        <v>1700.79</v>
      </c>
      <c r="DE192" s="8">
        <v>85.9</v>
      </c>
      <c r="DF192" s="8">
        <v>45.8</v>
      </c>
      <c r="DI192" s="8">
        <v>44.4</v>
      </c>
      <c r="DJ192" s="8">
        <v>38.799999999999997</v>
      </c>
      <c r="DK192" s="8">
        <v>45.71</v>
      </c>
      <c r="DL192" s="8">
        <v>43.96</v>
      </c>
      <c r="DO192" s="8">
        <v>41.38</v>
      </c>
      <c r="DP192" s="8">
        <v>27.82</v>
      </c>
      <c r="DS192" s="8">
        <v>22.5</v>
      </c>
      <c r="DT192" s="8">
        <v>22.5</v>
      </c>
      <c r="DY192" s="8">
        <v>16.36</v>
      </c>
      <c r="DZ192" s="8">
        <v>16.36</v>
      </c>
      <c r="ED192" s="9">
        <v>0.2</v>
      </c>
      <c r="EE192" s="9">
        <v>0.6</v>
      </c>
      <c r="EF192" s="9">
        <v>0.8</v>
      </c>
      <c r="EG192" s="9">
        <v>0.1</v>
      </c>
      <c r="EH192" s="9">
        <v>1.7</v>
      </c>
      <c r="EI192" s="9">
        <v>0.3</v>
      </c>
      <c r="EJ192" s="9">
        <v>1</v>
      </c>
      <c r="EK192" s="9">
        <v>0.6</v>
      </c>
      <c r="EL192" s="9">
        <v>0.8</v>
      </c>
      <c r="EM192" s="9">
        <v>2.2999999999999998</v>
      </c>
      <c r="EN192" s="9">
        <v>-3.9</v>
      </c>
      <c r="EO192" s="9">
        <v>-2</v>
      </c>
      <c r="EP192" s="9">
        <v>2.1</v>
      </c>
      <c r="EQ192" s="9">
        <v>3.4</v>
      </c>
      <c r="ER192" s="9">
        <v>1.1000000000000001</v>
      </c>
      <c r="ES192" s="9">
        <v>0.7</v>
      </c>
      <c r="ET192" s="9">
        <v>1.2</v>
      </c>
      <c r="EU192" s="9">
        <v>2.5</v>
      </c>
      <c r="EV192" s="9">
        <v>2.4</v>
      </c>
      <c r="EW192" s="9">
        <v>0.2</v>
      </c>
      <c r="EX192" s="9">
        <v>4.2</v>
      </c>
      <c r="EY192" s="9">
        <v>1.6</v>
      </c>
      <c r="EZ192" s="9">
        <v>-0.8</v>
      </c>
      <c r="FA192" s="9">
        <v>-0.5</v>
      </c>
      <c r="FB192" s="9">
        <v>0.1</v>
      </c>
      <c r="FC192" s="9">
        <v>-1.1000000000000001</v>
      </c>
      <c r="FD192" s="9">
        <v>1.6</v>
      </c>
      <c r="FE192" s="9">
        <v>2.2000000000000002</v>
      </c>
      <c r="FF192" s="9">
        <v>0.3</v>
      </c>
      <c r="FG192" s="9">
        <v>0.6</v>
      </c>
      <c r="FH192" s="9">
        <v>0.4</v>
      </c>
      <c r="FI192" s="9">
        <v>-0.3</v>
      </c>
      <c r="FJ192" s="9">
        <v>0.1</v>
      </c>
      <c r="FK192" s="9">
        <v>-0.4</v>
      </c>
      <c r="FL192" s="9">
        <v>1.8</v>
      </c>
      <c r="FM192" s="9">
        <v>0.9</v>
      </c>
      <c r="FN192" s="9">
        <v>0.7</v>
      </c>
      <c r="FO192" s="9">
        <v>1.2</v>
      </c>
      <c r="FP192" s="9">
        <v>0.8</v>
      </c>
      <c r="FQ192" s="9">
        <v>3.1</v>
      </c>
      <c r="FR192" s="9">
        <v>3.1</v>
      </c>
      <c r="FS192" s="9">
        <v>-0.3</v>
      </c>
      <c r="FT192" s="9">
        <v>-0.4</v>
      </c>
      <c r="FU192" s="9">
        <v>0.6</v>
      </c>
      <c r="FV192" s="9">
        <v>-0.7</v>
      </c>
      <c r="FW192" s="9">
        <v>-0.7</v>
      </c>
      <c r="FX192" s="9">
        <v>0.2</v>
      </c>
      <c r="FY192" s="9">
        <v>1.7</v>
      </c>
      <c r="FZ192" s="9">
        <v>-1.1000000000000001</v>
      </c>
      <c r="GA192" s="9">
        <v>0.5</v>
      </c>
      <c r="GD192" s="9">
        <v>0.3</v>
      </c>
      <c r="GE192" s="9">
        <v>-1.4</v>
      </c>
      <c r="GF192" s="9">
        <v>0.4</v>
      </c>
      <c r="GG192" s="9">
        <v>0.4</v>
      </c>
      <c r="GK192" s="9">
        <v>0.4</v>
      </c>
      <c r="GM192" s="9">
        <v>0.1</v>
      </c>
      <c r="GO192" s="9">
        <v>0.1</v>
      </c>
      <c r="GP192" s="9">
        <v>0.2</v>
      </c>
      <c r="GQ192" s="9">
        <v>-0.1</v>
      </c>
      <c r="GR192" s="9">
        <v>1.2</v>
      </c>
      <c r="GS192" s="9">
        <v>1.3</v>
      </c>
      <c r="GT192" s="9">
        <v>0.8</v>
      </c>
      <c r="GU192" s="9">
        <v>0.2</v>
      </c>
      <c r="GV192" s="9">
        <v>0.2</v>
      </c>
      <c r="GW192" s="9">
        <v>0.1</v>
      </c>
      <c r="GX192" s="9">
        <v>0.3</v>
      </c>
      <c r="GY192" s="9">
        <v>0.3</v>
      </c>
      <c r="GZ192" s="9">
        <v>0.2</v>
      </c>
      <c r="HA192" s="9">
        <v>-0.6</v>
      </c>
      <c r="HB192" s="9">
        <v>-0.1</v>
      </c>
      <c r="HC192" s="9">
        <v>-1.1000000000000001</v>
      </c>
      <c r="HD192" s="9">
        <v>1.2</v>
      </c>
      <c r="HE192" s="9">
        <v>0.6</v>
      </c>
      <c r="HF192" s="9">
        <v>0.6</v>
      </c>
      <c r="HG192" s="9">
        <v>0.3</v>
      </c>
      <c r="HH192" s="9">
        <v>0.1</v>
      </c>
      <c r="HI192" s="9">
        <v>0.6</v>
      </c>
      <c r="HJ192" s="9">
        <v>0.3</v>
      </c>
      <c r="HK192" s="9">
        <v>-4.5</v>
      </c>
      <c r="HL192" s="9">
        <v>-5.7</v>
      </c>
      <c r="HM192" s="9">
        <v>0.3</v>
      </c>
      <c r="HN192" s="9">
        <v>1.5</v>
      </c>
      <c r="HO192" s="9">
        <v>1.6</v>
      </c>
      <c r="HP192" s="9">
        <v>0.7</v>
      </c>
      <c r="HQ192" s="9">
        <v>0.3</v>
      </c>
      <c r="HR192" s="9">
        <v>0.4</v>
      </c>
      <c r="HS192" s="9">
        <v>-0.9</v>
      </c>
      <c r="HT192" s="9">
        <v>-0.3</v>
      </c>
      <c r="HU192" s="9">
        <v>0.8</v>
      </c>
      <c r="HV192" s="9">
        <v>0.7</v>
      </c>
      <c r="HW192" s="9">
        <v>0.5</v>
      </c>
      <c r="HX192" s="9">
        <v>0.1</v>
      </c>
      <c r="HY192" s="9">
        <v>0.1</v>
      </c>
      <c r="HZ192" s="9">
        <v>-0.2</v>
      </c>
      <c r="IA192" s="9">
        <v>-0.2</v>
      </c>
      <c r="IB192" s="9">
        <v>0</v>
      </c>
      <c r="IC192" s="9">
        <v>-0.2</v>
      </c>
      <c r="ID192" s="9">
        <v>1.3</v>
      </c>
      <c r="IE192" s="9">
        <v>1.2</v>
      </c>
      <c r="IF192" s="9">
        <v>0.6</v>
      </c>
      <c r="IG192" s="9">
        <v>1.2</v>
      </c>
      <c r="IH192" s="9">
        <v>0.4</v>
      </c>
      <c r="IK192" s="9">
        <v>6</v>
      </c>
      <c r="IL192" s="9">
        <v>3.7</v>
      </c>
      <c r="IM192" s="9">
        <v>9</v>
      </c>
      <c r="IN192" s="9">
        <v>0.1</v>
      </c>
      <c r="IQ192" s="9">
        <v>-0.3</v>
      </c>
    </row>
    <row r="193" spans="1:251" x14ac:dyDescent="0.2">
      <c r="A193" s="10">
        <v>34394</v>
      </c>
      <c r="B193" s="8">
        <v>42.68</v>
      </c>
      <c r="C193" s="8">
        <v>39.97</v>
      </c>
      <c r="D193" s="8">
        <v>42.79</v>
      </c>
      <c r="E193" s="8">
        <v>36.479999999999997</v>
      </c>
      <c r="F193" s="8">
        <v>44.04</v>
      </c>
      <c r="G193" s="8">
        <v>62.79</v>
      </c>
      <c r="H193" s="8">
        <v>53.69</v>
      </c>
      <c r="I193" s="8">
        <v>42.26</v>
      </c>
      <c r="J193" s="8">
        <v>35.67</v>
      </c>
      <c r="K193" s="8">
        <v>44.99</v>
      </c>
      <c r="L193" s="8">
        <v>27.2</v>
      </c>
      <c r="M193" s="8">
        <v>64.73</v>
      </c>
      <c r="N193" s="8">
        <v>36.380000000000003</v>
      </c>
      <c r="O193" s="8">
        <v>47.42</v>
      </c>
      <c r="P193" s="8">
        <v>44.39</v>
      </c>
      <c r="Q193" s="8">
        <v>46.48</v>
      </c>
      <c r="R193" s="8">
        <v>41.16</v>
      </c>
      <c r="S193" s="8">
        <v>46.48</v>
      </c>
      <c r="T193" s="8">
        <v>34.340000000000003</v>
      </c>
      <c r="U193" s="8">
        <v>33.65</v>
      </c>
      <c r="V193" s="8">
        <v>34.94</v>
      </c>
      <c r="W193" s="8">
        <v>41.84</v>
      </c>
      <c r="X193" s="8">
        <v>32.159999999999997</v>
      </c>
      <c r="Y193" s="8">
        <v>47.05</v>
      </c>
      <c r="Z193" s="8">
        <v>58.58</v>
      </c>
      <c r="AA193" s="8">
        <v>31.53</v>
      </c>
      <c r="AB193" s="8">
        <v>39.46</v>
      </c>
      <c r="AC193" s="8">
        <v>55.32</v>
      </c>
      <c r="AD193" s="8">
        <v>46.74</v>
      </c>
      <c r="AE193" s="8">
        <v>45.77</v>
      </c>
      <c r="AF193" s="8">
        <v>45.26</v>
      </c>
      <c r="AG193" s="8">
        <v>37.31</v>
      </c>
      <c r="AH193" s="8">
        <v>37.340000000000003</v>
      </c>
      <c r="AI193" s="8">
        <v>36.5</v>
      </c>
      <c r="AJ193" s="8">
        <v>19.73</v>
      </c>
      <c r="AK193" s="8">
        <v>41.97</v>
      </c>
      <c r="AL193" s="8">
        <v>36.42</v>
      </c>
      <c r="AM193" s="8">
        <v>63.96</v>
      </c>
      <c r="AN193" s="8">
        <v>32.51</v>
      </c>
      <c r="AO193" s="8">
        <v>5.83</v>
      </c>
      <c r="AP193" s="8">
        <v>5.83</v>
      </c>
      <c r="AQ193" s="8">
        <v>95.81</v>
      </c>
      <c r="AR193" s="8">
        <v>112.12</v>
      </c>
      <c r="AS193" s="8">
        <v>109.36</v>
      </c>
      <c r="AT193" s="8">
        <v>119.21</v>
      </c>
      <c r="AU193" s="8">
        <v>93.46</v>
      </c>
      <c r="AV193" s="8">
        <v>114.66</v>
      </c>
      <c r="AW193" s="8">
        <v>123.26</v>
      </c>
      <c r="AX193" s="8">
        <v>113.2</v>
      </c>
      <c r="AY193" s="8">
        <v>103.51</v>
      </c>
      <c r="BB193" s="8">
        <v>35.31</v>
      </c>
      <c r="BC193" s="8">
        <v>34.64</v>
      </c>
      <c r="BD193" s="8">
        <v>39.39</v>
      </c>
      <c r="BE193" s="8">
        <v>39.39</v>
      </c>
      <c r="BI193" s="8">
        <v>40.61</v>
      </c>
      <c r="BK193" s="8">
        <v>26.6</v>
      </c>
      <c r="BM193" s="8">
        <v>28.26</v>
      </c>
      <c r="BN193" s="8">
        <v>20.62</v>
      </c>
      <c r="BO193" s="8">
        <v>67.47</v>
      </c>
      <c r="BP193" s="8">
        <v>65.62</v>
      </c>
      <c r="BQ193" s="8">
        <v>71.95</v>
      </c>
      <c r="BR193" s="8">
        <v>45.8</v>
      </c>
      <c r="BS193" s="8">
        <v>113.03</v>
      </c>
      <c r="BT193" s="8">
        <v>113.03</v>
      </c>
      <c r="BU193" s="8">
        <v>103.63</v>
      </c>
      <c r="BV193" s="8">
        <v>103.73</v>
      </c>
      <c r="BW193" s="8">
        <v>118.32</v>
      </c>
      <c r="BX193" s="8">
        <v>126.33</v>
      </c>
      <c r="BY193" s="8">
        <v>74.010000000000005</v>
      </c>
      <c r="BZ193" s="8">
        <v>70.28</v>
      </c>
      <c r="CA193" s="8">
        <v>72.849999999999994</v>
      </c>
      <c r="CB193" s="8">
        <v>84.9</v>
      </c>
      <c r="CC193" s="8">
        <v>57.55</v>
      </c>
      <c r="CD193" s="8">
        <v>31.88</v>
      </c>
      <c r="CE193" s="8">
        <v>36.5</v>
      </c>
      <c r="CF193" s="8">
        <v>34.25</v>
      </c>
      <c r="CG193" s="8">
        <v>28.32</v>
      </c>
      <c r="CH193" s="8">
        <v>28.29</v>
      </c>
      <c r="CI193" s="8">
        <v>63.07</v>
      </c>
      <c r="CJ193" s="8">
        <v>62.38</v>
      </c>
      <c r="CK193" s="8">
        <v>68.31</v>
      </c>
      <c r="CL193" s="8">
        <v>22.69</v>
      </c>
      <c r="CM193" s="8">
        <v>21.49</v>
      </c>
      <c r="CN193" s="8">
        <v>32.44</v>
      </c>
      <c r="CO193" s="8">
        <v>49.79</v>
      </c>
      <c r="CP193" s="8">
        <v>50.6</v>
      </c>
      <c r="CQ193" s="8">
        <v>109.99</v>
      </c>
      <c r="CR193" s="8">
        <v>50.91</v>
      </c>
      <c r="CS193" s="8">
        <v>33.76</v>
      </c>
      <c r="CT193" s="8">
        <v>45.12</v>
      </c>
      <c r="CU193" s="8">
        <v>30.41</v>
      </c>
      <c r="CV193" s="8">
        <v>41.28</v>
      </c>
      <c r="CW193" s="8">
        <v>41.28</v>
      </c>
      <c r="CX193" s="8">
        <v>117.29</v>
      </c>
      <c r="CY193" s="8">
        <v>117.29</v>
      </c>
      <c r="CZ193" s="8">
        <v>36.99</v>
      </c>
      <c r="DA193" s="8">
        <v>124.31</v>
      </c>
      <c r="DB193" s="8">
        <v>63.23</v>
      </c>
      <c r="DC193" s="8">
        <v>326.25</v>
      </c>
      <c r="DD193" s="8">
        <v>1676.5</v>
      </c>
      <c r="DE193" s="8">
        <v>86.15</v>
      </c>
      <c r="DF193" s="8">
        <v>46.32</v>
      </c>
      <c r="DI193" s="8">
        <v>42.83</v>
      </c>
      <c r="DJ193" s="8">
        <v>38.57</v>
      </c>
      <c r="DK193" s="8">
        <v>42.4</v>
      </c>
      <c r="DL193" s="8">
        <v>45.43</v>
      </c>
      <c r="DO193" s="8">
        <v>43.15</v>
      </c>
      <c r="DP193" s="8">
        <v>28.24</v>
      </c>
      <c r="DS193" s="8">
        <v>23.3</v>
      </c>
      <c r="DT193" s="8">
        <v>23.3</v>
      </c>
      <c r="DY193" s="8">
        <v>16.75</v>
      </c>
      <c r="DZ193" s="8">
        <v>16.75</v>
      </c>
      <c r="ED193" s="9">
        <v>0.4</v>
      </c>
      <c r="EE193" s="9">
        <v>0.3</v>
      </c>
      <c r="EF193" s="9">
        <v>0.1</v>
      </c>
      <c r="EG193" s="9">
        <v>-0.5</v>
      </c>
      <c r="EH193" s="9">
        <v>-0.4</v>
      </c>
      <c r="EI193" s="9">
        <v>1.4</v>
      </c>
      <c r="EJ193" s="9">
        <v>3.3</v>
      </c>
      <c r="EK193" s="9">
        <v>-0.2</v>
      </c>
      <c r="EL193" s="9">
        <v>1.1000000000000001</v>
      </c>
      <c r="EM193" s="9">
        <v>-0.3</v>
      </c>
      <c r="EN193" s="9">
        <v>0.4</v>
      </c>
      <c r="EO193" s="9">
        <v>-3.7</v>
      </c>
      <c r="EP193" s="9">
        <v>0</v>
      </c>
      <c r="EQ193" s="9">
        <v>-0.3</v>
      </c>
      <c r="ER193" s="9">
        <v>0.7</v>
      </c>
      <c r="ES193" s="9">
        <v>1.1000000000000001</v>
      </c>
      <c r="ET193" s="9">
        <v>0.5</v>
      </c>
      <c r="EU193" s="9">
        <v>-0.8</v>
      </c>
      <c r="EV193" s="9">
        <v>2</v>
      </c>
      <c r="EW193" s="9">
        <v>-1.9</v>
      </c>
      <c r="EX193" s="9">
        <v>5.5</v>
      </c>
      <c r="EY193" s="9">
        <v>1.1000000000000001</v>
      </c>
      <c r="EZ193" s="9">
        <v>0.4</v>
      </c>
      <c r="FA193" s="9">
        <v>1</v>
      </c>
      <c r="FB193" s="9">
        <v>0.5</v>
      </c>
      <c r="FC193" s="9">
        <v>1.4</v>
      </c>
      <c r="FD193" s="9">
        <v>1.1000000000000001</v>
      </c>
      <c r="FE193" s="9">
        <v>0.4</v>
      </c>
      <c r="FF193" s="9">
        <v>0.5</v>
      </c>
      <c r="FG193" s="9">
        <v>0.3</v>
      </c>
      <c r="FH193" s="9">
        <v>0.5</v>
      </c>
      <c r="FI193" s="9">
        <v>-0.6</v>
      </c>
      <c r="FJ193" s="9">
        <v>0.4</v>
      </c>
      <c r="FK193" s="9">
        <v>-1.3</v>
      </c>
      <c r="FL193" s="9">
        <v>1</v>
      </c>
      <c r="FM193" s="9">
        <v>0.3</v>
      </c>
      <c r="FN193" s="9">
        <v>-0.2</v>
      </c>
      <c r="FO193" s="9">
        <v>0.3</v>
      </c>
      <c r="FP193" s="9">
        <v>0.5</v>
      </c>
      <c r="FQ193" s="9">
        <v>2.2999999999999998</v>
      </c>
      <c r="FR193" s="9">
        <v>2.2999999999999998</v>
      </c>
      <c r="FS193" s="9">
        <v>-0.5</v>
      </c>
      <c r="FT193" s="9">
        <v>-0.1</v>
      </c>
      <c r="FU193" s="9">
        <v>0.3</v>
      </c>
      <c r="FV193" s="9">
        <v>0.1</v>
      </c>
      <c r="FW193" s="9">
        <v>-1.7</v>
      </c>
      <c r="FX193" s="9">
        <v>-1</v>
      </c>
      <c r="FY193" s="9">
        <v>-1.2</v>
      </c>
      <c r="FZ193" s="9">
        <v>0</v>
      </c>
      <c r="GA193" s="9">
        <v>-2.4</v>
      </c>
      <c r="GD193" s="9">
        <v>0.3</v>
      </c>
      <c r="GE193" s="9">
        <v>0.1</v>
      </c>
      <c r="GF193" s="9">
        <v>0.1</v>
      </c>
      <c r="GG193" s="9">
        <v>0.1</v>
      </c>
      <c r="GK193" s="9">
        <v>-0.4</v>
      </c>
      <c r="GM193" s="9">
        <v>0.1</v>
      </c>
      <c r="GO193" s="9">
        <v>0.1</v>
      </c>
      <c r="GP193" s="9">
        <v>0</v>
      </c>
      <c r="GQ193" s="9">
        <v>0.5</v>
      </c>
      <c r="GR193" s="9">
        <v>1.4</v>
      </c>
      <c r="GS193" s="9">
        <v>1.7</v>
      </c>
      <c r="GT193" s="9">
        <v>0.3</v>
      </c>
      <c r="GU193" s="9">
        <v>-0.7</v>
      </c>
      <c r="GV193" s="9">
        <v>-0.7</v>
      </c>
      <c r="GW193" s="9">
        <v>0.4</v>
      </c>
      <c r="GX193" s="9">
        <v>0.4</v>
      </c>
      <c r="GY193" s="9">
        <v>0.4</v>
      </c>
      <c r="GZ193" s="9">
        <v>0.6</v>
      </c>
      <c r="HA193" s="9">
        <v>0.1</v>
      </c>
      <c r="HB193" s="9">
        <v>2.5</v>
      </c>
      <c r="HC193" s="9">
        <v>0.4</v>
      </c>
      <c r="HD193" s="9">
        <v>1.5</v>
      </c>
      <c r="HE193" s="9">
        <v>2.8</v>
      </c>
      <c r="HF193" s="9">
        <v>-0.3</v>
      </c>
      <c r="HG193" s="9">
        <v>5.6</v>
      </c>
      <c r="HH193" s="9">
        <v>0.4</v>
      </c>
      <c r="HI193" s="9">
        <v>-0.3</v>
      </c>
      <c r="HJ193" s="9">
        <v>3.6</v>
      </c>
      <c r="HK193" s="9">
        <v>11.5</v>
      </c>
      <c r="HL193" s="9">
        <v>14.3</v>
      </c>
      <c r="HM193" s="9">
        <v>0.4</v>
      </c>
      <c r="HN193" s="9">
        <v>1.7</v>
      </c>
      <c r="HO193" s="9">
        <v>1.8</v>
      </c>
      <c r="HP193" s="9">
        <v>1.1000000000000001</v>
      </c>
      <c r="HQ193" s="9">
        <v>-0.3</v>
      </c>
      <c r="HR193" s="9">
        <v>-0.4</v>
      </c>
      <c r="HS193" s="9">
        <v>1.4</v>
      </c>
      <c r="HT193" s="9">
        <v>0.5</v>
      </c>
      <c r="HU193" s="9">
        <v>-4.3</v>
      </c>
      <c r="HV193" s="9">
        <v>0.4</v>
      </c>
      <c r="HW193" s="9">
        <v>0.8</v>
      </c>
      <c r="HX193" s="9">
        <v>0.9</v>
      </c>
      <c r="HY193" s="9">
        <v>0.9</v>
      </c>
      <c r="HZ193" s="9">
        <v>1</v>
      </c>
      <c r="IA193" s="9">
        <v>1</v>
      </c>
      <c r="IB193" s="9">
        <v>0</v>
      </c>
      <c r="IC193" s="9">
        <v>1</v>
      </c>
      <c r="ID193" s="9">
        <v>-0.6</v>
      </c>
      <c r="IE193" s="9">
        <v>0.3</v>
      </c>
      <c r="IF193" s="9">
        <v>-1.4</v>
      </c>
      <c r="IG193" s="9">
        <v>0.3</v>
      </c>
      <c r="IH193" s="9">
        <v>1.1000000000000001</v>
      </c>
      <c r="IK193" s="9">
        <v>-3.5</v>
      </c>
      <c r="IL193" s="9">
        <v>-0.6</v>
      </c>
      <c r="IM193" s="9">
        <v>-7.2</v>
      </c>
      <c r="IN193" s="9">
        <v>3.3</v>
      </c>
      <c r="IQ193" s="9">
        <v>4.3</v>
      </c>
    </row>
    <row r="194" spans="1:251" x14ac:dyDescent="0.2">
      <c r="A194" s="10">
        <v>34486</v>
      </c>
      <c r="B194" s="8">
        <v>42.99</v>
      </c>
      <c r="C194" s="8">
        <v>39.86</v>
      </c>
      <c r="D194" s="8">
        <v>42.83</v>
      </c>
      <c r="E194" s="8">
        <v>36.74</v>
      </c>
      <c r="F194" s="8">
        <v>44.08</v>
      </c>
      <c r="G194" s="8">
        <v>62.05</v>
      </c>
      <c r="H194" s="8">
        <v>53.12</v>
      </c>
      <c r="I194" s="8">
        <v>42.26</v>
      </c>
      <c r="J194" s="8">
        <v>36.07</v>
      </c>
      <c r="K194" s="8">
        <v>44.44</v>
      </c>
      <c r="L194" s="8">
        <v>26.88</v>
      </c>
      <c r="M194" s="8">
        <v>65.2</v>
      </c>
      <c r="N194" s="8">
        <v>36.69</v>
      </c>
      <c r="O194" s="8">
        <v>46.71</v>
      </c>
      <c r="P194" s="8">
        <v>44.47</v>
      </c>
      <c r="Q194" s="8">
        <v>46.7</v>
      </c>
      <c r="R194" s="8">
        <v>40.630000000000003</v>
      </c>
      <c r="S194" s="8">
        <v>47.72</v>
      </c>
      <c r="T194" s="8">
        <v>34.49</v>
      </c>
      <c r="U194" s="8">
        <v>35.81</v>
      </c>
      <c r="V194" s="8">
        <v>33.49</v>
      </c>
      <c r="W194" s="8">
        <v>41.98</v>
      </c>
      <c r="X194" s="8">
        <v>32</v>
      </c>
      <c r="Y194" s="8">
        <v>47.05</v>
      </c>
      <c r="Z194" s="8">
        <v>57.75</v>
      </c>
      <c r="AA194" s="8">
        <v>31.47</v>
      </c>
      <c r="AB194" s="8">
        <v>39.590000000000003</v>
      </c>
      <c r="AC194" s="8">
        <v>54.54</v>
      </c>
      <c r="AD194" s="8">
        <v>46.86</v>
      </c>
      <c r="AE194" s="8">
        <v>46.13</v>
      </c>
      <c r="AF194" s="8">
        <v>45.38</v>
      </c>
      <c r="AG194" s="8">
        <v>36.82</v>
      </c>
      <c r="AH194" s="8">
        <v>37.409999999999997</v>
      </c>
      <c r="AI194" s="8">
        <v>35.72</v>
      </c>
      <c r="AJ194" s="8">
        <v>19.98</v>
      </c>
      <c r="AK194" s="8">
        <v>42.43</v>
      </c>
      <c r="AL194" s="8">
        <v>36.75</v>
      </c>
      <c r="AM194" s="8">
        <v>65.41</v>
      </c>
      <c r="AN194" s="8">
        <v>32.75</v>
      </c>
      <c r="AO194" s="8">
        <v>5.92</v>
      </c>
      <c r="AP194" s="8">
        <v>5.92</v>
      </c>
      <c r="AQ194" s="8">
        <v>95.9</v>
      </c>
      <c r="AR194" s="8">
        <v>112.23</v>
      </c>
      <c r="AS194" s="8">
        <v>109.96</v>
      </c>
      <c r="AT194" s="8">
        <v>118.77</v>
      </c>
      <c r="AU194" s="8">
        <v>94.34</v>
      </c>
      <c r="AV194" s="8">
        <v>114.21</v>
      </c>
      <c r="AW194" s="8">
        <v>121.01</v>
      </c>
      <c r="AX194" s="8">
        <v>114.2</v>
      </c>
      <c r="AY194" s="8">
        <v>102.39</v>
      </c>
      <c r="BB194" s="8">
        <v>35.4</v>
      </c>
      <c r="BC194" s="8">
        <v>34.9</v>
      </c>
      <c r="BD194" s="8">
        <v>39.46</v>
      </c>
      <c r="BE194" s="8">
        <v>39.46</v>
      </c>
      <c r="BI194" s="8">
        <v>41.19</v>
      </c>
      <c r="BK194" s="8">
        <v>26.6</v>
      </c>
      <c r="BM194" s="8">
        <v>28.29</v>
      </c>
      <c r="BN194" s="8">
        <v>20.55</v>
      </c>
      <c r="BO194" s="8">
        <v>67.66</v>
      </c>
      <c r="BP194" s="8">
        <v>66.44</v>
      </c>
      <c r="BQ194" s="8">
        <v>72.95</v>
      </c>
      <c r="BR194" s="8">
        <v>45.89</v>
      </c>
      <c r="BS194" s="8">
        <v>113.98</v>
      </c>
      <c r="BT194" s="8">
        <v>113.98</v>
      </c>
      <c r="BU194" s="8">
        <v>103.92</v>
      </c>
      <c r="BV194" s="8">
        <v>103.73</v>
      </c>
      <c r="BW194" s="8">
        <v>118.32</v>
      </c>
      <c r="BX194" s="8">
        <v>126.92</v>
      </c>
      <c r="BY194" s="8">
        <v>74.569999999999993</v>
      </c>
      <c r="BZ194" s="8">
        <v>69.48</v>
      </c>
      <c r="CA194" s="8">
        <v>71.89</v>
      </c>
      <c r="CB194" s="8">
        <v>85.68</v>
      </c>
      <c r="CC194" s="8">
        <v>57.08</v>
      </c>
      <c r="CD194" s="8">
        <v>31.65</v>
      </c>
      <c r="CE194" s="8">
        <v>37.119999999999997</v>
      </c>
      <c r="CF194" s="8">
        <v>34.64</v>
      </c>
      <c r="CG194" s="8">
        <v>28.12</v>
      </c>
      <c r="CH194" s="8">
        <v>28.54</v>
      </c>
      <c r="CI194" s="8">
        <v>62.91</v>
      </c>
      <c r="CJ194" s="8">
        <v>62.18</v>
      </c>
      <c r="CK194" s="8">
        <v>68.25</v>
      </c>
      <c r="CL194" s="8">
        <v>22.96</v>
      </c>
      <c r="CM194" s="8">
        <v>21.74</v>
      </c>
      <c r="CN194" s="8">
        <v>32.86</v>
      </c>
      <c r="CO194" s="8">
        <v>50.67</v>
      </c>
      <c r="CP194" s="8">
        <v>51.59</v>
      </c>
      <c r="CQ194" s="8">
        <v>110.18</v>
      </c>
      <c r="CR194" s="8">
        <v>51.06</v>
      </c>
      <c r="CS194" s="8">
        <v>35.380000000000003</v>
      </c>
      <c r="CT194" s="8">
        <v>45.12</v>
      </c>
      <c r="CU194" s="8">
        <v>30.48</v>
      </c>
      <c r="CV194" s="8">
        <v>41.38</v>
      </c>
      <c r="CW194" s="8">
        <v>41.38</v>
      </c>
      <c r="CX194" s="8">
        <v>117.29</v>
      </c>
      <c r="CY194" s="8">
        <v>117.29</v>
      </c>
      <c r="CZ194" s="8">
        <v>36.99</v>
      </c>
      <c r="DA194" s="8">
        <v>124.31</v>
      </c>
      <c r="DB194" s="8">
        <v>63.81</v>
      </c>
      <c r="DC194" s="8">
        <v>328.42</v>
      </c>
      <c r="DD194" s="8">
        <v>1700.79</v>
      </c>
      <c r="DE194" s="8">
        <v>86.72</v>
      </c>
      <c r="DF194" s="8">
        <v>47.17</v>
      </c>
      <c r="DI194" s="8">
        <v>42.83</v>
      </c>
      <c r="DJ194" s="8">
        <v>37.159999999999997</v>
      </c>
      <c r="DK194" s="8">
        <v>44.55</v>
      </c>
      <c r="DL194" s="8">
        <v>44.94</v>
      </c>
      <c r="DO194" s="8">
        <v>42.5</v>
      </c>
      <c r="DP194" s="8">
        <v>28.21</v>
      </c>
      <c r="DS194" s="8">
        <v>23.3</v>
      </c>
      <c r="DT194" s="8">
        <v>23.3</v>
      </c>
      <c r="DY194" s="8">
        <v>17.02</v>
      </c>
      <c r="DZ194" s="8">
        <v>17.02</v>
      </c>
      <c r="ED194" s="9">
        <v>0.7</v>
      </c>
      <c r="EE194" s="9">
        <v>-0.3</v>
      </c>
      <c r="EF194" s="9">
        <v>0.1</v>
      </c>
      <c r="EG194" s="9">
        <v>0.7</v>
      </c>
      <c r="EH194" s="9">
        <v>0.1</v>
      </c>
      <c r="EI194" s="9">
        <v>-1.2</v>
      </c>
      <c r="EJ194" s="9">
        <v>-1.1000000000000001</v>
      </c>
      <c r="EK194" s="9">
        <v>0</v>
      </c>
      <c r="EL194" s="9">
        <v>1.1000000000000001</v>
      </c>
      <c r="EM194" s="9">
        <v>-1.2</v>
      </c>
      <c r="EN194" s="9">
        <v>-1.2</v>
      </c>
      <c r="EO194" s="9">
        <v>0.7</v>
      </c>
      <c r="EP194" s="9">
        <v>0.9</v>
      </c>
      <c r="EQ194" s="9">
        <v>-1.5</v>
      </c>
      <c r="ER194" s="9">
        <v>0.2</v>
      </c>
      <c r="ES194" s="9">
        <v>0.5</v>
      </c>
      <c r="ET194" s="9">
        <v>-1.3</v>
      </c>
      <c r="EU194" s="9">
        <v>2.7</v>
      </c>
      <c r="EV194" s="9">
        <v>0.4</v>
      </c>
      <c r="EW194" s="9">
        <v>6.4</v>
      </c>
      <c r="EX194" s="9">
        <v>-4.0999999999999996</v>
      </c>
      <c r="EY194" s="9">
        <v>0.3</v>
      </c>
      <c r="EZ194" s="9">
        <v>-0.5</v>
      </c>
      <c r="FA194" s="9">
        <v>0</v>
      </c>
      <c r="FB194" s="9">
        <v>-1.4</v>
      </c>
      <c r="FC194" s="9">
        <v>-0.2</v>
      </c>
      <c r="FD194" s="9">
        <v>0.3</v>
      </c>
      <c r="FE194" s="9">
        <v>-1.4</v>
      </c>
      <c r="FF194" s="9">
        <v>0.3</v>
      </c>
      <c r="FG194" s="9">
        <v>0.8</v>
      </c>
      <c r="FH194" s="9">
        <v>0.3</v>
      </c>
      <c r="FI194" s="9">
        <v>-1.3</v>
      </c>
      <c r="FJ194" s="9">
        <v>0.2</v>
      </c>
      <c r="FK194" s="9">
        <v>-2.1</v>
      </c>
      <c r="FL194" s="9">
        <v>1.3</v>
      </c>
      <c r="FM194" s="9">
        <v>1.1000000000000001</v>
      </c>
      <c r="FN194" s="9">
        <v>0.9</v>
      </c>
      <c r="FO194" s="9">
        <v>2.2999999999999998</v>
      </c>
      <c r="FP194" s="9">
        <v>0.7</v>
      </c>
      <c r="FQ194" s="9">
        <v>1.5</v>
      </c>
      <c r="FR194" s="9">
        <v>1.5</v>
      </c>
      <c r="FS194" s="9">
        <v>0.1</v>
      </c>
      <c r="FT194" s="9">
        <v>0.1</v>
      </c>
      <c r="FU194" s="9">
        <v>0.5</v>
      </c>
      <c r="FV194" s="9">
        <v>-0.4</v>
      </c>
      <c r="FW194" s="9">
        <v>0.9</v>
      </c>
      <c r="FX194" s="9">
        <v>-0.4</v>
      </c>
      <c r="FY194" s="9">
        <v>-1.8</v>
      </c>
      <c r="FZ194" s="9">
        <v>0.9</v>
      </c>
      <c r="GA194" s="9">
        <v>-1.1000000000000001</v>
      </c>
      <c r="GD194" s="9">
        <v>0.3</v>
      </c>
      <c r="GE194" s="9">
        <v>0.8</v>
      </c>
      <c r="GF194" s="9">
        <v>0.2</v>
      </c>
      <c r="GG194" s="9">
        <v>0.2</v>
      </c>
      <c r="GK194" s="9">
        <v>1.4</v>
      </c>
      <c r="GM194" s="9">
        <v>0</v>
      </c>
      <c r="GO194" s="9">
        <v>0.1</v>
      </c>
      <c r="GP194" s="9">
        <v>-0.3</v>
      </c>
      <c r="GQ194" s="9">
        <v>0.3</v>
      </c>
      <c r="GR194" s="9">
        <v>1.2</v>
      </c>
      <c r="GS194" s="9">
        <v>1.4</v>
      </c>
      <c r="GT194" s="9">
        <v>0.2</v>
      </c>
      <c r="GU194" s="9">
        <v>0.8</v>
      </c>
      <c r="GV194" s="9">
        <v>0.8</v>
      </c>
      <c r="GW194" s="9">
        <v>0.3</v>
      </c>
      <c r="GX194" s="9">
        <v>0</v>
      </c>
      <c r="GY194" s="9">
        <v>0</v>
      </c>
      <c r="GZ194" s="9">
        <v>0.5</v>
      </c>
      <c r="HA194" s="9">
        <v>0.8</v>
      </c>
      <c r="HB194" s="9">
        <v>-1.1000000000000001</v>
      </c>
      <c r="HC194" s="9">
        <v>-1.3</v>
      </c>
      <c r="HD194" s="9">
        <v>0.9</v>
      </c>
      <c r="HE194" s="9">
        <v>-0.8</v>
      </c>
      <c r="HF194" s="9">
        <v>-0.7</v>
      </c>
      <c r="HG194" s="9">
        <v>1.7</v>
      </c>
      <c r="HH194" s="9">
        <v>1.1000000000000001</v>
      </c>
      <c r="HI194" s="9">
        <v>-0.7</v>
      </c>
      <c r="HJ194" s="9">
        <v>0.9</v>
      </c>
      <c r="HK194" s="9">
        <v>-0.3</v>
      </c>
      <c r="HL194" s="9">
        <v>-0.3</v>
      </c>
      <c r="HM194" s="9">
        <v>-0.1</v>
      </c>
      <c r="HN194" s="9">
        <v>1.2</v>
      </c>
      <c r="HO194" s="9">
        <v>1.2</v>
      </c>
      <c r="HP194" s="9">
        <v>1.3</v>
      </c>
      <c r="HQ194" s="9">
        <v>1.8</v>
      </c>
      <c r="HR194" s="9">
        <v>2</v>
      </c>
      <c r="HS194" s="9">
        <v>0.2</v>
      </c>
      <c r="HT194" s="9">
        <v>0.3</v>
      </c>
      <c r="HU194" s="9">
        <v>4.8</v>
      </c>
      <c r="HV194" s="9">
        <v>0</v>
      </c>
      <c r="HW194" s="9">
        <v>0.2</v>
      </c>
      <c r="HX194" s="9">
        <v>0.2</v>
      </c>
      <c r="HY194" s="9">
        <v>0.2</v>
      </c>
      <c r="HZ194" s="9">
        <v>0</v>
      </c>
      <c r="IA194" s="9">
        <v>0</v>
      </c>
      <c r="IB194" s="9">
        <v>0</v>
      </c>
      <c r="IC194" s="9">
        <v>0</v>
      </c>
      <c r="ID194" s="9">
        <v>0.9</v>
      </c>
      <c r="IE194" s="9">
        <v>0.7</v>
      </c>
      <c r="IF194" s="9">
        <v>1.4</v>
      </c>
      <c r="IG194" s="9">
        <v>0.7</v>
      </c>
      <c r="IH194" s="9">
        <v>1.8</v>
      </c>
      <c r="IK194" s="9">
        <v>0</v>
      </c>
      <c r="IL194" s="9">
        <v>-3.7</v>
      </c>
      <c r="IM194" s="9">
        <v>5.0999999999999996</v>
      </c>
      <c r="IN194" s="9">
        <v>-1.1000000000000001</v>
      </c>
      <c r="IQ194" s="9">
        <v>-1.5</v>
      </c>
    </row>
    <row r="195" spans="1:251" x14ac:dyDescent="0.2">
      <c r="A195" s="10">
        <v>34578</v>
      </c>
      <c r="B195" s="8">
        <v>43.26</v>
      </c>
      <c r="C195" s="8">
        <v>40.19</v>
      </c>
      <c r="D195" s="8">
        <v>42.76</v>
      </c>
      <c r="E195" s="8">
        <v>37.11</v>
      </c>
      <c r="F195" s="8">
        <v>43.43</v>
      </c>
      <c r="G195" s="8">
        <v>62.37</v>
      </c>
      <c r="H195" s="8">
        <v>52.69</v>
      </c>
      <c r="I195" s="8">
        <v>41.6</v>
      </c>
      <c r="J195" s="8">
        <v>36.11</v>
      </c>
      <c r="K195" s="8">
        <v>43.76</v>
      </c>
      <c r="L195" s="8">
        <v>25.82</v>
      </c>
      <c r="M195" s="8">
        <v>63.72</v>
      </c>
      <c r="N195" s="8">
        <v>35.72</v>
      </c>
      <c r="O195" s="8">
        <v>46.56</v>
      </c>
      <c r="P195" s="8">
        <v>44.96</v>
      </c>
      <c r="Q195" s="8">
        <v>47.23</v>
      </c>
      <c r="R195" s="8">
        <v>41.23</v>
      </c>
      <c r="S195" s="8">
        <v>47.43</v>
      </c>
      <c r="T195" s="8">
        <v>36.840000000000003</v>
      </c>
      <c r="U195" s="8">
        <v>40.25</v>
      </c>
      <c r="V195" s="8">
        <v>34.21</v>
      </c>
      <c r="W195" s="8">
        <v>42.29</v>
      </c>
      <c r="X195" s="8">
        <v>32</v>
      </c>
      <c r="Y195" s="8">
        <v>47.61</v>
      </c>
      <c r="Z195" s="8">
        <v>58.11</v>
      </c>
      <c r="AA195" s="8">
        <v>31.83</v>
      </c>
      <c r="AB195" s="8">
        <v>39.92</v>
      </c>
      <c r="AC195" s="8">
        <v>54.3</v>
      </c>
      <c r="AD195" s="8">
        <v>47.03</v>
      </c>
      <c r="AE195" s="8">
        <v>47.41</v>
      </c>
      <c r="AF195" s="8">
        <v>45.53</v>
      </c>
      <c r="AG195" s="8">
        <v>37.020000000000003</v>
      </c>
      <c r="AH195" s="8">
        <v>37.909999999999997</v>
      </c>
      <c r="AI195" s="8">
        <v>35.75</v>
      </c>
      <c r="AJ195" s="8">
        <v>20.16</v>
      </c>
      <c r="AK195" s="8">
        <v>42.93</v>
      </c>
      <c r="AL195" s="8">
        <v>37.31</v>
      </c>
      <c r="AM195" s="8">
        <v>66.69</v>
      </c>
      <c r="AN195" s="8">
        <v>33</v>
      </c>
      <c r="AO195" s="8">
        <v>5.95</v>
      </c>
      <c r="AP195" s="8">
        <v>5.95</v>
      </c>
      <c r="AQ195" s="8">
        <v>96.08</v>
      </c>
      <c r="AR195" s="8">
        <v>112.54</v>
      </c>
      <c r="AS195" s="8">
        <v>110.47</v>
      </c>
      <c r="AT195" s="8">
        <v>118.88</v>
      </c>
      <c r="AU195" s="8">
        <v>95.14</v>
      </c>
      <c r="AV195" s="8">
        <v>112.42</v>
      </c>
      <c r="AW195" s="8">
        <v>117.09</v>
      </c>
      <c r="AX195" s="8">
        <v>113.87</v>
      </c>
      <c r="AY195" s="8">
        <v>101.17</v>
      </c>
      <c r="BB195" s="8">
        <v>35.700000000000003</v>
      </c>
      <c r="BC195" s="8">
        <v>35.08</v>
      </c>
      <c r="BD195" s="8">
        <v>39.53</v>
      </c>
      <c r="BE195" s="8">
        <v>39.53</v>
      </c>
      <c r="BI195" s="8">
        <v>41.26</v>
      </c>
      <c r="BK195" s="8">
        <v>26.73</v>
      </c>
      <c r="BM195" s="8">
        <v>28.26</v>
      </c>
      <c r="BN195" s="8">
        <v>21.02</v>
      </c>
      <c r="BO195" s="8">
        <v>67.66</v>
      </c>
      <c r="BP195" s="8">
        <v>66.319999999999993</v>
      </c>
      <c r="BQ195" s="8">
        <v>72.510000000000005</v>
      </c>
      <c r="BR195" s="8">
        <v>46.73</v>
      </c>
      <c r="BS195" s="8">
        <v>114.3</v>
      </c>
      <c r="BT195" s="8">
        <v>114.3</v>
      </c>
      <c r="BU195" s="8">
        <v>104.31</v>
      </c>
      <c r="BV195" s="8">
        <v>105</v>
      </c>
      <c r="BW195" s="8">
        <v>119.77</v>
      </c>
      <c r="BX195" s="8">
        <v>125.25</v>
      </c>
      <c r="BY195" s="8">
        <v>74.64</v>
      </c>
      <c r="BZ195" s="8">
        <v>69.42</v>
      </c>
      <c r="CA195" s="8">
        <v>72.47</v>
      </c>
      <c r="CB195" s="8">
        <v>85.61</v>
      </c>
      <c r="CC195" s="8">
        <v>57.39</v>
      </c>
      <c r="CD195" s="8">
        <v>32.020000000000003</v>
      </c>
      <c r="CE195" s="8">
        <v>35.24</v>
      </c>
      <c r="CF195" s="8">
        <v>34.82</v>
      </c>
      <c r="CG195" s="8">
        <v>28.45</v>
      </c>
      <c r="CH195" s="8">
        <v>28.97</v>
      </c>
      <c r="CI195" s="8">
        <v>62.23</v>
      </c>
      <c r="CJ195" s="8">
        <v>61.15</v>
      </c>
      <c r="CK195" s="8">
        <v>69.209999999999994</v>
      </c>
      <c r="CL195" s="8">
        <v>23.47</v>
      </c>
      <c r="CM195" s="8">
        <v>22.27</v>
      </c>
      <c r="CN195" s="8">
        <v>33.200000000000003</v>
      </c>
      <c r="CO195" s="8">
        <v>51.46</v>
      </c>
      <c r="CP195" s="8">
        <v>52.36</v>
      </c>
      <c r="CQ195" s="8">
        <v>112.21</v>
      </c>
      <c r="CR195" s="8">
        <v>51.01</v>
      </c>
      <c r="CS195" s="8">
        <v>35.6</v>
      </c>
      <c r="CT195" s="8">
        <v>45.6</v>
      </c>
      <c r="CU195" s="8">
        <v>30.97</v>
      </c>
      <c r="CV195" s="8">
        <v>42.05</v>
      </c>
      <c r="CW195" s="8">
        <v>42.06</v>
      </c>
      <c r="CX195" s="8">
        <v>117.29</v>
      </c>
      <c r="CY195" s="8">
        <v>117.29</v>
      </c>
      <c r="CZ195" s="8">
        <v>36.99</v>
      </c>
      <c r="DA195" s="8">
        <v>124.31</v>
      </c>
      <c r="DB195" s="8">
        <v>63.87</v>
      </c>
      <c r="DC195" s="8">
        <v>331.82</v>
      </c>
      <c r="DD195" s="8">
        <v>1693.32</v>
      </c>
      <c r="DE195" s="8">
        <v>87.62</v>
      </c>
      <c r="DF195" s="8">
        <v>47.43</v>
      </c>
      <c r="DI195" s="8">
        <v>42.75</v>
      </c>
      <c r="DJ195" s="8">
        <v>37.58</v>
      </c>
      <c r="DK195" s="8">
        <v>43.74</v>
      </c>
      <c r="DL195" s="8">
        <v>44.11</v>
      </c>
      <c r="DO195" s="8">
        <v>41.17</v>
      </c>
      <c r="DP195" s="8">
        <v>28.41</v>
      </c>
      <c r="DS195" s="8">
        <v>23.3</v>
      </c>
      <c r="DT195" s="8">
        <v>23.3</v>
      </c>
      <c r="DY195" s="8">
        <v>17.48</v>
      </c>
      <c r="DZ195" s="8">
        <v>17.48</v>
      </c>
      <c r="ED195" s="9">
        <v>0.6</v>
      </c>
      <c r="EE195" s="9">
        <v>0.8</v>
      </c>
      <c r="EF195" s="9">
        <v>-0.2</v>
      </c>
      <c r="EG195" s="9">
        <v>1</v>
      </c>
      <c r="EH195" s="9">
        <v>-1.5</v>
      </c>
      <c r="EI195" s="9">
        <v>0.5</v>
      </c>
      <c r="EJ195" s="9">
        <v>-0.8</v>
      </c>
      <c r="EK195" s="9">
        <v>-1.6</v>
      </c>
      <c r="EL195" s="9">
        <v>0.1</v>
      </c>
      <c r="EM195" s="9">
        <v>-1.5</v>
      </c>
      <c r="EN195" s="9">
        <v>-3.9</v>
      </c>
      <c r="EO195" s="9">
        <v>-2.2999999999999998</v>
      </c>
      <c r="EP195" s="9">
        <v>-2.6</v>
      </c>
      <c r="EQ195" s="9">
        <v>-0.3</v>
      </c>
      <c r="ER195" s="9">
        <v>1.1000000000000001</v>
      </c>
      <c r="ES195" s="9">
        <v>1.1000000000000001</v>
      </c>
      <c r="ET195" s="9">
        <v>1.5</v>
      </c>
      <c r="EU195" s="9">
        <v>-0.6</v>
      </c>
      <c r="EV195" s="9">
        <v>6.8</v>
      </c>
      <c r="EW195" s="9">
        <v>12.4</v>
      </c>
      <c r="EX195" s="9">
        <v>2.1</v>
      </c>
      <c r="EY195" s="9">
        <v>0.7</v>
      </c>
      <c r="EZ195" s="9">
        <v>0</v>
      </c>
      <c r="FA195" s="9">
        <v>1.2</v>
      </c>
      <c r="FB195" s="9">
        <v>0.6</v>
      </c>
      <c r="FC195" s="9">
        <v>1.1000000000000001</v>
      </c>
      <c r="FD195" s="9">
        <v>0.8</v>
      </c>
      <c r="FE195" s="9">
        <v>-0.4</v>
      </c>
      <c r="FF195" s="9">
        <v>0.4</v>
      </c>
      <c r="FG195" s="9">
        <v>2.8</v>
      </c>
      <c r="FH195" s="9">
        <v>0.3</v>
      </c>
      <c r="FI195" s="9">
        <v>0.5</v>
      </c>
      <c r="FJ195" s="9">
        <v>1.3</v>
      </c>
      <c r="FK195" s="9">
        <v>0.1</v>
      </c>
      <c r="FL195" s="9">
        <v>0.9</v>
      </c>
      <c r="FM195" s="9">
        <v>1.2</v>
      </c>
      <c r="FN195" s="9">
        <v>1.5</v>
      </c>
      <c r="FO195" s="9">
        <v>2</v>
      </c>
      <c r="FP195" s="9">
        <v>0.8</v>
      </c>
      <c r="FQ195" s="9">
        <v>0.5</v>
      </c>
      <c r="FR195" s="9">
        <v>0.5</v>
      </c>
      <c r="FS195" s="9">
        <v>0.2</v>
      </c>
      <c r="FT195" s="9">
        <v>0.3</v>
      </c>
      <c r="FU195" s="9">
        <v>0.5</v>
      </c>
      <c r="FV195" s="9">
        <v>0.1</v>
      </c>
      <c r="FW195" s="9">
        <v>0.8</v>
      </c>
      <c r="FX195" s="9">
        <v>-1.6</v>
      </c>
      <c r="FY195" s="9">
        <v>-3.2</v>
      </c>
      <c r="FZ195" s="9">
        <v>-0.3</v>
      </c>
      <c r="GA195" s="9">
        <v>-1.2</v>
      </c>
      <c r="GD195" s="9">
        <v>0.8</v>
      </c>
      <c r="GE195" s="9">
        <v>0.5</v>
      </c>
      <c r="GF195" s="9">
        <v>0.2</v>
      </c>
      <c r="GG195" s="9">
        <v>0.2</v>
      </c>
      <c r="GK195" s="9">
        <v>0.2</v>
      </c>
      <c r="GM195" s="9">
        <v>0.5</v>
      </c>
      <c r="GO195" s="9">
        <v>-0.1</v>
      </c>
      <c r="GP195" s="9">
        <v>2.2999999999999998</v>
      </c>
      <c r="GQ195" s="9">
        <v>0</v>
      </c>
      <c r="GR195" s="9">
        <v>-0.2</v>
      </c>
      <c r="GS195" s="9">
        <v>-0.6</v>
      </c>
      <c r="GT195" s="9">
        <v>1.8</v>
      </c>
      <c r="GU195" s="9">
        <v>0.3</v>
      </c>
      <c r="GV195" s="9">
        <v>0.3</v>
      </c>
      <c r="GW195" s="9">
        <v>0.4</v>
      </c>
      <c r="GX195" s="9">
        <v>1.2</v>
      </c>
      <c r="GY195" s="9">
        <v>1.2</v>
      </c>
      <c r="GZ195" s="9">
        <v>-1.3</v>
      </c>
      <c r="HA195" s="9">
        <v>0.1</v>
      </c>
      <c r="HB195" s="9">
        <v>-0.1</v>
      </c>
      <c r="HC195" s="9">
        <v>0.8</v>
      </c>
      <c r="HD195" s="9">
        <v>-0.1</v>
      </c>
      <c r="HE195" s="9">
        <v>0.5</v>
      </c>
      <c r="HF195" s="9">
        <v>1.2</v>
      </c>
      <c r="HG195" s="9">
        <v>-5.0999999999999996</v>
      </c>
      <c r="HH195" s="9">
        <v>0.5</v>
      </c>
      <c r="HI195" s="9">
        <v>1.2</v>
      </c>
      <c r="HJ195" s="9">
        <v>1.5</v>
      </c>
      <c r="HK195" s="9">
        <v>-1.1000000000000001</v>
      </c>
      <c r="HL195" s="9">
        <v>-1.7</v>
      </c>
      <c r="HM195" s="9">
        <v>1.4</v>
      </c>
      <c r="HN195" s="9">
        <v>2.2000000000000002</v>
      </c>
      <c r="HO195" s="9">
        <v>2.4</v>
      </c>
      <c r="HP195" s="9">
        <v>1</v>
      </c>
      <c r="HQ195" s="9">
        <v>1.6</v>
      </c>
      <c r="HR195" s="9">
        <v>1.5</v>
      </c>
      <c r="HS195" s="9">
        <v>1.8</v>
      </c>
      <c r="HT195" s="9">
        <v>-0.1</v>
      </c>
      <c r="HU195" s="9">
        <v>0.6</v>
      </c>
      <c r="HV195" s="9">
        <v>1.1000000000000001</v>
      </c>
      <c r="HW195" s="9">
        <v>1.6</v>
      </c>
      <c r="HX195" s="9">
        <v>1.6</v>
      </c>
      <c r="HY195" s="9">
        <v>1.6</v>
      </c>
      <c r="HZ195" s="9">
        <v>0</v>
      </c>
      <c r="IA195" s="9">
        <v>0</v>
      </c>
      <c r="IB195" s="9">
        <v>0</v>
      </c>
      <c r="IC195" s="9">
        <v>0</v>
      </c>
      <c r="ID195" s="9">
        <v>0.1</v>
      </c>
      <c r="IE195" s="9">
        <v>1</v>
      </c>
      <c r="IF195" s="9">
        <v>-0.4</v>
      </c>
      <c r="IG195" s="9">
        <v>1</v>
      </c>
      <c r="IH195" s="9">
        <v>0.6</v>
      </c>
      <c r="IK195" s="9">
        <v>-0.2</v>
      </c>
      <c r="IL195" s="9">
        <v>1.1000000000000001</v>
      </c>
      <c r="IM195" s="9">
        <v>-1.8</v>
      </c>
      <c r="IN195" s="9">
        <v>-1.8</v>
      </c>
      <c r="IQ195" s="9">
        <v>-3.1</v>
      </c>
    </row>
    <row r="196" spans="1:251" x14ac:dyDescent="0.2">
      <c r="A196" s="10">
        <v>34669</v>
      </c>
      <c r="B196" s="8">
        <v>43.61</v>
      </c>
      <c r="C196" s="8">
        <v>40.369999999999997</v>
      </c>
      <c r="D196" s="8">
        <v>43.09</v>
      </c>
      <c r="E196" s="8">
        <v>38.18</v>
      </c>
      <c r="F196" s="8">
        <v>42.79</v>
      </c>
      <c r="G196" s="8">
        <v>61.64</v>
      </c>
      <c r="H196" s="8">
        <v>54.07</v>
      </c>
      <c r="I196" s="8">
        <v>42.01</v>
      </c>
      <c r="J196" s="8">
        <v>35.770000000000003</v>
      </c>
      <c r="K196" s="8">
        <v>44.35</v>
      </c>
      <c r="L196" s="8">
        <v>25.74</v>
      </c>
      <c r="M196" s="8">
        <v>64.5</v>
      </c>
      <c r="N196" s="8">
        <v>36.450000000000003</v>
      </c>
      <c r="O196" s="8">
        <v>48.7</v>
      </c>
      <c r="P196" s="8">
        <v>45.19</v>
      </c>
      <c r="Q196" s="8">
        <v>47.91</v>
      </c>
      <c r="R196" s="8">
        <v>40.78</v>
      </c>
      <c r="S196" s="8">
        <v>47.06</v>
      </c>
      <c r="T196" s="8">
        <v>37.409999999999997</v>
      </c>
      <c r="U196" s="8">
        <v>39.770000000000003</v>
      </c>
      <c r="V196" s="8">
        <v>35.58</v>
      </c>
      <c r="W196" s="8">
        <v>42.5</v>
      </c>
      <c r="X196" s="8">
        <v>31.82</v>
      </c>
      <c r="Y196" s="8">
        <v>47.8</v>
      </c>
      <c r="Z196" s="8">
        <v>58.27</v>
      </c>
      <c r="AA196" s="8">
        <v>32.25</v>
      </c>
      <c r="AB196" s="8">
        <v>40.11</v>
      </c>
      <c r="AC196" s="8">
        <v>54.88</v>
      </c>
      <c r="AD196" s="8">
        <v>46.46</v>
      </c>
      <c r="AE196" s="8">
        <v>50.9</v>
      </c>
      <c r="AF196" s="8">
        <v>44.99</v>
      </c>
      <c r="AG196" s="8">
        <v>36.85</v>
      </c>
      <c r="AH196" s="8">
        <v>37.770000000000003</v>
      </c>
      <c r="AI196" s="8">
        <v>35.56</v>
      </c>
      <c r="AJ196" s="8">
        <v>20.41</v>
      </c>
      <c r="AK196" s="8">
        <v>43.14</v>
      </c>
      <c r="AL196" s="8">
        <v>37.67</v>
      </c>
      <c r="AM196" s="8">
        <v>67.040000000000006</v>
      </c>
      <c r="AN196" s="8">
        <v>33.1</v>
      </c>
      <c r="AO196" s="8">
        <v>6.1</v>
      </c>
      <c r="AP196" s="8">
        <v>6.1</v>
      </c>
      <c r="AQ196" s="8">
        <v>96.26</v>
      </c>
      <c r="AR196" s="8">
        <v>112.54</v>
      </c>
      <c r="AS196" s="8">
        <v>110.47</v>
      </c>
      <c r="AT196" s="8">
        <v>118.88</v>
      </c>
      <c r="AU196" s="8">
        <v>95.41</v>
      </c>
      <c r="AV196" s="8">
        <v>113.09</v>
      </c>
      <c r="AW196" s="8">
        <v>117.57</v>
      </c>
      <c r="AX196" s="8">
        <v>114.75</v>
      </c>
      <c r="AY196" s="8">
        <v>101.38</v>
      </c>
      <c r="BB196" s="8">
        <v>35.700000000000003</v>
      </c>
      <c r="BC196" s="8">
        <v>36.04</v>
      </c>
      <c r="BD196" s="8">
        <v>39.6</v>
      </c>
      <c r="BE196" s="8">
        <v>39.6</v>
      </c>
      <c r="BI196" s="8">
        <v>41.22</v>
      </c>
      <c r="BK196" s="8">
        <v>26.76</v>
      </c>
      <c r="BM196" s="8">
        <v>28.26</v>
      </c>
      <c r="BN196" s="8">
        <v>21.1</v>
      </c>
      <c r="BO196" s="8">
        <v>68.09</v>
      </c>
      <c r="BP196" s="8">
        <v>67.260000000000005</v>
      </c>
      <c r="BQ196" s="8">
        <v>73.89</v>
      </c>
      <c r="BR196" s="8">
        <v>46.37</v>
      </c>
      <c r="BS196" s="8">
        <v>115.46</v>
      </c>
      <c r="BT196" s="8">
        <v>115.46</v>
      </c>
      <c r="BU196" s="8">
        <v>104.7</v>
      </c>
      <c r="BV196" s="8">
        <v>105.88</v>
      </c>
      <c r="BW196" s="8">
        <v>120.78</v>
      </c>
      <c r="BX196" s="8">
        <v>125.37</v>
      </c>
      <c r="BY196" s="8">
        <v>74.290000000000006</v>
      </c>
      <c r="BZ196" s="8">
        <v>69.599999999999994</v>
      </c>
      <c r="CA196" s="8">
        <v>72.150000000000006</v>
      </c>
      <c r="CB196" s="8">
        <v>85.47</v>
      </c>
      <c r="CC196" s="8">
        <v>57.08</v>
      </c>
      <c r="CD196" s="8">
        <v>32.25</v>
      </c>
      <c r="CE196" s="8">
        <v>34.979999999999997</v>
      </c>
      <c r="CF196" s="8">
        <v>35.36</v>
      </c>
      <c r="CG196" s="8">
        <v>28.65</v>
      </c>
      <c r="CH196" s="8">
        <v>29.02</v>
      </c>
      <c r="CI196" s="8">
        <v>59.91</v>
      </c>
      <c r="CJ196" s="8">
        <v>58.37</v>
      </c>
      <c r="CK196" s="8">
        <v>69.39</v>
      </c>
      <c r="CL196" s="8">
        <v>23.71</v>
      </c>
      <c r="CM196" s="8">
        <v>22.52</v>
      </c>
      <c r="CN196" s="8">
        <v>33.409999999999997</v>
      </c>
      <c r="CO196" s="8">
        <v>51.37</v>
      </c>
      <c r="CP196" s="8">
        <v>52.22</v>
      </c>
      <c r="CQ196" s="8">
        <v>113.46</v>
      </c>
      <c r="CR196" s="8">
        <v>51.45</v>
      </c>
      <c r="CS196" s="8">
        <v>34.76</v>
      </c>
      <c r="CT196" s="8">
        <v>45.72</v>
      </c>
      <c r="CU196" s="8">
        <v>31.08</v>
      </c>
      <c r="CV196" s="8">
        <v>42.24</v>
      </c>
      <c r="CW196" s="8">
        <v>42.24</v>
      </c>
      <c r="CX196" s="8">
        <v>118.61</v>
      </c>
      <c r="CY196" s="8">
        <v>118.61</v>
      </c>
      <c r="CZ196" s="8">
        <v>36.99</v>
      </c>
      <c r="DA196" s="8">
        <v>125.95</v>
      </c>
      <c r="DB196" s="8">
        <v>64.739999999999995</v>
      </c>
      <c r="DC196" s="8">
        <v>333.06</v>
      </c>
      <c r="DD196" s="8">
        <v>1704.53</v>
      </c>
      <c r="DE196" s="8">
        <v>87.94</v>
      </c>
      <c r="DF196" s="8">
        <v>47.54</v>
      </c>
      <c r="DI196" s="8">
        <v>44.71</v>
      </c>
      <c r="DJ196" s="8">
        <v>40.21</v>
      </c>
      <c r="DK196" s="8">
        <v>44.41</v>
      </c>
      <c r="DL196" s="8">
        <v>45.24</v>
      </c>
      <c r="DO196" s="8">
        <v>42.61</v>
      </c>
      <c r="DP196" s="8">
        <v>28.61</v>
      </c>
      <c r="DS196" s="8">
        <v>23.3</v>
      </c>
      <c r="DT196" s="8">
        <v>23.3</v>
      </c>
      <c r="DY196" s="8">
        <v>17.61</v>
      </c>
      <c r="DZ196" s="8">
        <v>17.61</v>
      </c>
      <c r="ED196" s="9">
        <v>0.8</v>
      </c>
      <c r="EE196" s="9">
        <v>0.4</v>
      </c>
      <c r="EF196" s="9">
        <v>0.8</v>
      </c>
      <c r="EG196" s="9">
        <v>2.9</v>
      </c>
      <c r="EH196" s="9">
        <v>-1.5</v>
      </c>
      <c r="EI196" s="9">
        <v>-1.2</v>
      </c>
      <c r="EJ196" s="9">
        <v>2.6</v>
      </c>
      <c r="EK196" s="9">
        <v>1</v>
      </c>
      <c r="EL196" s="9">
        <v>-0.9</v>
      </c>
      <c r="EM196" s="9">
        <v>1.3</v>
      </c>
      <c r="EN196" s="9">
        <v>-0.3</v>
      </c>
      <c r="EO196" s="9">
        <v>1.2</v>
      </c>
      <c r="EP196" s="9">
        <v>2</v>
      </c>
      <c r="EQ196" s="9">
        <v>4.5999999999999996</v>
      </c>
      <c r="ER196" s="9">
        <v>0.5</v>
      </c>
      <c r="ES196" s="9">
        <v>1.4</v>
      </c>
      <c r="ET196" s="9">
        <v>-1.1000000000000001</v>
      </c>
      <c r="EU196" s="9">
        <v>-0.8</v>
      </c>
      <c r="EV196" s="9">
        <v>1.5</v>
      </c>
      <c r="EW196" s="9">
        <v>-1.2</v>
      </c>
      <c r="EX196" s="9">
        <v>4</v>
      </c>
      <c r="EY196" s="9">
        <v>0.5</v>
      </c>
      <c r="EZ196" s="9">
        <v>-0.6</v>
      </c>
      <c r="FA196" s="9">
        <v>0.4</v>
      </c>
      <c r="FB196" s="9">
        <v>0.3</v>
      </c>
      <c r="FC196" s="9">
        <v>1.3</v>
      </c>
      <c r="FD196" s="9">
        <v>0.5</v>
      </c>
      <c r="FE196" s="9">
        <v>1.1000000000000001</v>
      </c>
      <c r="FF196" s="9">
        <v>-1.2</v>
      </c>
      <c r="FG196" s="9">
        <v>7.4</v>
      </c>
      <c r="FH196" s="9">
        <v>-1.2</v>
      </c>
      <c r="FI196" s="9">
        <v>-0.5</v>
      </c>
      <c r="FJ196" s="9">
        <v>-0.4</v>
      </c>
      <c r="FK196" s="9">
        <v>-0.5</v>
      </c>
      <c r="FL196" s="9">
        <v>1.2</v>
      </c>
      <c r="FM196" s="9">
        <v>0.5</v>
      </c>
      <c r="FN196" s="9">
        <v>1</v>
      </c>
      <c r="FO196" s="9">
        <v>0.5</v>
      </c>
      <c r="FP196" s="9">
        <v>0.3</v>
      </c>
      <c r="FQ196" s="9">
        <v>2.5</v>
      </c>
      <c r="FR196" s="9">
        <v>2.5</v>
      </c>
      <c r="FS196" s="9">
        <v>0.2</v>
      </c>
      <c r="FT196" s="9">
        <v>0</v>
      </c>
      <c r="FU196" s="9">
        <v>0</v>
      </c>
      <c r="FV196" s="9">
        <v>0</v>
      </c>
      <c r="FW196" s="9">
        <v>0.3</v>
      </c>
      <c r="FX196" s="9">
        <v>0.6</v>
      </c>
      <c r="FY196" s="9">
        <v>0.4</v>
      </c>
      <c r="FZ196" s="9">
        <v>0.8</v>
      </c>
      <c r="GA196" s="9">
        <v>0.2</v>
      </c>
      <c r="GD196" s="9">
        <v>0</v>
      </c>
      <c r="GE196" s="9">
        <v>2.7</v>
      </c>
      <c r="GF196" s="9">
        <v>0.2</v>
      </c>
      <c r="GG196" s="9">
        <v>0.2</v>
      </c>
      <c r="GK196" s="9">
        <v>-0.1</v>
      </c>
      <c r="GM196" s="9">
        <v>0.1</v>
      </c>
      <c r="GO196" s="9">
        <v>0</v>
      </c>
      <c r="GP196" s="9">
        <v>0.4</v>
      </c>
      <c r="GQ196" s="9">
        <v>0.6</v>
      </c>
      <c r="GR196" s="9">
        <v>1.4</v>
      </c>
      <c r="GS196" s="9">
        <v>1.9</v>
      </c>
      <c r="GT196" s="9">
        <v>-0.8</v>
      </c>
      <c r="GU196" s="9">
        <v>1</v>
      </c>
      <c r="GV196" s="9">
        <v>1</v>
      </c>
      <c r="GW196" s="9">
        <v>0.4</v>
      </c>
      <c r="GX196" s="9">
        <v>0.8</v>
      </c>
      <c r="GY196" s="9">
        <v>0.8</v>
      </c>
      <c r="GZ196" s="9">
        <v>0.1</v>
      </c>
      <c r="HA196" s="9">
        <v>-0.5</v>
      </c>
      <c r="HB196" s="9">
        <v>0.3</v>
      </c>
      <c r="HC196" s="9">
        <v>-0.4</v>
      </c>
      <c r="HD196" s="9">
        <v>-0.2</v>
      </c>
      <c r="HE196" s="9">
        <v>-0.5</v>
      </c>
      <c r="HF196" s="9">
        <v>0.7</v>
      </c>
      <c r="HG196" s="9">
        <v>-0.7</v>
      </c>
      <c r="HH196" s="9">
        <v>1.6</v>
      </c>
      <c r="HI196" s="9">
        <v>0.7</v>
      </c>
      <c r="HJ196" s="9">
        <v>0.2</v>
      </c>
      <c r="HK196" s="9">
        <v>-3.7</v>
      </c>
      <c r="HL196" s="9">
        <v>-4.5</v>
      </c>
      <c r="HM196" s="9">
        <v>0.3</v>
      </c>
      <c r="HN196" s="9">
        <v>1</v>
      </c>
      <c r="HO196" s="9">
        <v>1.1000000000000001</v>
      </c>
      <c r="HP196" s="9">
        <v>0.6</v>
      </c>
      <c r="HQ196" s="9">
        <v>-0.2</v>
      </c>
      <c r="HR196" s="9">
        <v>-0.3</v>
      </c>
      <c r="HS196" s="9">
        <v>1.1000000000000001</v>
      </c>
      <c r="HT196" s="9">
        <v>0.9</v>
      </c>
      <c r="HU196" s="9">
        <v>-2.4</v>
      </c>
      <c r="HV196" s="9">
        <v>0.3</v>
      </c>
      <c r="HW196" s="9">
        <v>0.4</v>
      </c>
      <c r="HX196" s="9">
        <v>0.5</v>
      </c>
      <c r="HY196" s="9">
        <v>0.4</v>
      </c>
      <c r="HZ196" s="9">
        <v>1.1000000000000001</v>
      </c>
      <c r="IA196" s="9">
        <v>1.1000000000000001</v>
      </c>
      <c r="IB196" s="9">
        <v>0</v>
      </c>
      <c r="IC196" s="9">
        <v>1.3</v>
      </c>
      <c r="ID196" s="9">
        <v>1.4</v>
      </c>
      <c r="IE196" s="9">
        <v>0.4</v>
      </c>
      <c r="IF196" s="9">
        <v>0.7</v>
      </c>
      <c r="IG196" s="9">
        <v>0.4</v>
      </c>
      <c r="IH196" s="9">
        <v>0.2</v>
      </c>
      <c r="IK196" s="9">
        <v>4.5999999999999996</v>
      </c>
      <c r="IL196" s="9">
        <v>7</v>
      </c>
      <c r="IM196" s="9">
        <v>1.5</v>
      </c>
      <c r="IN196" s="9">
        <v>2.6</v>
      </c>
      <c r="IQ196" s="9">
        <v>3.5</v>
      </c>
    </row>
    <row r="197" spans="1:251" x14ac:dyDescent="0.2">
      <c r="A197" s="10">
        <v>34759</v>
      </c>
      <c r="B197" s="8">
        <v>44.34</v>
      </c>
      <c r="C197" s="8">
        <v>41.21</v>
      </c>
      <c r="D197" s="8">
        <v>44.38</v>
      </c>
      <c r="E197" s="8">
        <v>39.619999999999997</v>
      </c>
      <c r="F197" s="8">
        <v>43.93</v>
      </c>
      <c r="G197" s="8">
        <v>62.16</v>
      </c>
      <c r="H197" s="8">
        <v>55.65</v>
      </c>
      <c r="I197" s="8">
        <v>42.84</v>
      </c>
      <c r="J197" s="8">
        <v>35.700000000000003</v>
      </c>
      <c r="K197" s="8">
        <v>44.78</v>
      </c>
      <c r="L197" s="8">
        <v>26.78</v>
      </c>
      <c r="M197" s="8">
        <v>69.41</v>
      </c>
      <c r="N197" s="8">
        <v>37.14</v>
      </c>
      <c r="O197" s="8">
        <v>48.56</v>
      </c>
      <c r="P197" s="8">
        <v>45.38</v>
      </c>
      <c r="Q197" s="8">
        <v>48.67</v>
      </c>
      <c r="R197" s="8">
        <v>40.409999999999997</v>
      </c>
      <c r="S197" s="8">
        <v>46.53</v>
      </c>
      <c r="T197" s="8">
        <v>40.68</v>
      </c>
      <c r="U197" s="8">
        <v>41.16</v>
      </c>
      <c r="V197" s="8">
        <v>40.36</v>
      </c>
      <c r="W197" s="8">
        <v>43.12</v>
      </c>
      <c r="X197" s="8">
        <v>32.89</v>
      </c>
      <c r="Y197" s="8">
        <v>48.63</v>
      </c>
      <c r="Z197" s="8">
        <v>58.32</v>
      </c>
      <c r="AA197" s="8">
        <v>32.159999999999997</v>
      </c>
      <c r="AB197" s="8">
        <v>40.729999999999997</v>
      </c>
      <c r="AC197" s="8">
        <v>55.66</v>
      </c>
      <c r="AD197" s="8">
        <v>46.5</v>
      </c>
      <c r="AE197" s="8">
        <v>53.94</v>
      </c>
      <c r="AF197" s="8">
        <v>45.03</v>
      </c>
      <c r="AG197" s="8">
        <v>37.08</v>
      </c>
      <c r="AH197" s="8">
        <v>38.01</v>
      </c>
      <c r="AI197" s="8">
        <v>35.75</v>
      </c>
      <c r="AJ197" s="8">
        <v>20.7</v>
      </c>
      <c r="AK197" s="8">
        <v>43.5</v>
      </c>
      <c r="AL197" s="8">
        <v>37.880000000000003</v>
      </c>
      <c r="AM197" s="8">
        <v>67.27</v>
      </c>
      <c r="AN197" s="8">
        <v>33.43</v>
      </c>
      <c r="AO197" s="8">
        <v>6.25</v>
      </c>
      <c r="AP197" s="8">
        <v>6.25</v>
      </c>
      <c r="AQ197" s="8">
        <v>95.72</v>
      </c>
      <c r="AR197" s="8">
        <v>112.33</v>
      </c>
      <c r="AS197" s="8">
        <v>110.06</v>
      </c>
      <c r="AT197" s="8">
        <v>118.65</v>
      </c>
      <c r="AU197" s="8">
        <v>95.41</v>
      </c>
      <c r="AV197" s="8">
        <v>110.52</v>
      </c>
      <c r="AW197" s="8">
        <v>116.74</v>
      </c>
      <c r="AX197" s="8">
        <v>111.55</v>
      </c>
      <c r="AY197" s="8">
        <v>97.93</v>
      </c>
      <c r="BB197" s="8">
        <v>35.75</v>
      </c>
      <c r="BC197" s="8">
        <v>38</v>
      </c>
      <c r="BD197" s="8">
        <v>39.71</v>
      </c>
      <c r="BE197" s="8">
        <v>39.71</v>
      </c>
      <c r="BI197" s="8">
        <v>41.11</v>
      </c>
      <c r="BK197" s="8">
        <v>26.8</v>
      </c>
      <c r="BM197" s="8">
        <v>28.26</v>
      </c>
      <c r="BN197" s="8">
        <v>21.24</v>
      </c>
      <c r="BO197" s="8">
        <v>68.34</v>
      </c>
      <c r="BP197" s="8">
        <v>66.67</v>
      </c>
      <c r="BQ197" s="8">
        <v>73.010000000000005</v>
      </c>
      <c r="BR197" s="8">
        <v>46.73</v>
      </c>
      <c r="BS197" s="8">
        <v>115.57</v>
      </c>
      <c r="BT197" s="8">
        <v>115.57</v>
      </c>
      <c r="BU197" s="8">
        <v>104.41</v>
      </c>
      <c r="BV197" s="8">
        <v>105.88</v>
      </c>
      <c r="BW197" s="8">
        <v>120.78</v>
      </c>
      <c r="BX197" s="8">
        <v>123.94</v>
      </c>
      <c r="BY197" s="8">
        <v>74.150000000000006</v>
      </c>
      <c r="BZ197" s="8">
        <v>69.97</v>
      </c>
      <c r="CA197" s="8">
        <v>72.66</v>
      </c>
      <c r="CB197" s="8">
        <v>86.32</v>
      </c>
      <c r="CC197" s="8">
        <v>57.45</v>
      </c>
      <c r="CD197" s="8">
        <v>33.07</v>
      </c>
      <c r="CE197" s="8">
        <v>36.020000000000003</v>
      </c>
      <c r="CF197" s="8">
        <v>35.700000000000003</v>
      </c>
      <c r="CG197" s="8">
        <v>29.38</v>
      </c>
      <c r="CH197" s="8">
        <v>29.76</v>
      </c>
      <c r="CI197" s="8">
        <v>64.44</v>
      </c>
      <c r="CJ197" s="8">
        <v>63.87</v>
      </c>
      <c r="CK197" s="8">
        <v>69.209999999999994</v>
      </c>
      <c r="CL197" s="8">
        <v>24.04</v>
      </c>
      <c r="CM197" s="8">
        <v>22.82</v>
      </c>
      <c r="CN197" s="8">
        <v>33.880000000000003</v>
      </c>
      <c r="CO197" s="8">
        <v>51.59</v>
      </c>
      <c r="CP197" s="8">
        <v>52.45</v>
      </c>
      <c r="CQ197" s="8">
        <v>113.07</v>
      </c>
      <c r="CR197" s="8">
        <v>51.75</v>
      </c>
      <c r="CS197" s="8">
        <v>35.450000000000003</v>
      </c>
      <c r="CT197" s="8">
        <v>45.6</v>
      </c>
      <c r="CU197" s="8">
        <v>31.18</v>
      </c>
      <c r="CV197" s="8">
        <v>42.52</v>
      </c>
      <c r="CW197" s="8">
        <v>42.52</v>
      </c>
      <c r="CX197" s="8">
        <v>118.61</v>
      </c>
      <c r="CY197" s="8">
        <v>118.61</v>
      </c>
      <c r="CZ197" s="8">
        <v>36.99</v>
      </c>
      <c r="DA197" s="8">
        <v>125.95</v>
      </c>
      <c r="DB197" s="8">
        <v>64.97</v>
      </c>
      <c r="DC197" s="8">
        <v>332.75</v>
      </c>
      <c r="DD197" s="8">
        <v>1687.71</v>
      </c>
      <c r="DE197" s="8">
        <v>87.86</v>
      </c>
      <c r="DF197" s="8">
        <v>47.87</v>
      </c>
      <c r="DI197" s="8">
        <v>44.62</v>
      </c>
      <c r="DJ197" s="8">
        <v>40.94</v>
      </c>
      <c r="DK197" s="8">
        <v>43.12</v>
      </c>
      <c r="DL197" s="8">
        <v>45.47</v>
      </c>
      <c r="DO197" s="8">
        <v>42.65</v>
      </c>
      <c r="DP197" s="8">
        <v>29</v>
      </c>
      <c r="DS197" s="8">
        <v>24.34</v>
      </c>
      <c r="DT197" s="8">
        <v>24.34</v>
      </c>
      <c r="DY197" s="8">
        <v>17.79</v>
      </c>
      <c r="DZ197" s="8">
        <v>17.79</v>
      </c>
      <c r="ED197" s="9">
        <v>1.7</v>
      </c>
      <c r="EE197" s="9">
        <v>2.1</v>
      </c>
      <c r="EF197" s="9">
        <v>3</v>
      </c>
      <c r="EG197" s="9">
        <v>3.8</v>
      </c>
      <c r="EH197" s="9">
        <v>2.7</v>
      </c>
      <c r="EI197" s="9">
        <v>0.8</v>
      </c>
      <c r="EJ197" s="9">
        <v>2.9</v>
      </c>
      <c r="EK197" s="9">
        <v>2</v>
      </c>
      <c r="EL197" s="9">
        <v>-0.2</v>
      </c>
      <c r="EM197" s="9">
        <v>1</v>
      </c>
      <c r="EN197" s="9">
        <v>4</v>
      </c>
      <c r="EO197" s="9">
        <v>7.6</v>
      </c>
      <c r="EP197" s="9">
        <v>1.9</v>
      </c>
      <c r="EQ197" s="9">
        <v>-0.3</v>
      </c>
      <c r="ER197" s="9">
        <v>0.4</v>
      </c>
      <c r="ES197" s="9">
        <v>1.6</v>
      </c>
      <c r="ET197" s="9">
        <v>-0.9</v>
      </c>
      <c r="EU197" s="9">
        <v>-1.1000000000000001</v>
      </c>
      <c r="EV197" s="9">
        <v>8.6999999999999993</v>
      </c>
      <c r="EW197" s="9">
        <v>3.5</v>
      </c>
      <c r="EX197" s="9">
        <v>13.4</v>
      </c>
      <c r="EY197" s="9">
        <v>1.5</v>
      </c>
      <c r="EZ197" s="9">
        <v>3.4</v>
      </c>
      <c r="FA197" s="9">
        <v>1.7</v>
      </c>
      <c r="FB197" s="9">
        <v>0.1</v>
      </c>
      <c r="FC197" s="9">
        <v>-0.3</v>
      </c>
      <c r="FD197" s="9">
        <v>1.5</v>
      </c>
      <c r="FE197" s="9">
        <v>1.4</v>
      </c>
      <c r="FF197" s="9">
        <v>0.1</v>
      </c>
      <c r="FG197" s="9">
        <v>6</v>
      </c>
      <c r="FH197" s="9">
        <v>0.1</v>
      </c>
      <c r="FI197" s="9">
        <v>0.6</v>
      </c>
      <c r="FJ197" s="9">
        <v>0.6</v>
      </c>
      <c r="FK197" s="9">
        <v>0.5</v>
      </c>
      <c r="FL197" s="9">
        <v>1.4</v>
      </c>
      <c r="FM197" s="9">
        <v>0.8</v>
      </c>
      <c r="FN197" s="9">
        <v>0.6</v>
      </c>
      <c r="FO197" s="9">
        <v>0.3</v>
      </c>
      <c r="FP197" s="9">
        <v>1</v>
      </c>
      <c r="FQ197" s="9">
        <v>2.5</v>
      </c>
      <c r="FR197" s="9">
        <v>2.5</v>
      </c>
      <c r="FS197" s="9">
        <v>-0.6</v>
      </c>
      <c r="FT197" s="9">
        <v>-0.2</v>
      </c>
      <c r="FU197" s="9">
        <v>-0.4</v>
      </c>
      <c r="FV197" s="9">
        <v>-0.2</v>
      </c>
      <c r="FW197" s="9">
        <v>0</v>
      </c>
      <c r="FX197" s="9">
        <v>-2.2999999999999998</v>
      </c>
      <c r="FY197" s="9">
        <v>-0.7</v>
      </c>
      <c r="FZ197" s="9">
        <v>-2.8</v>
      </c>
      <c r="GA197" s="9">
        <v>-3.4</v>
      </c>
      <c r="GD197" s="9">
        <v>0.1</v>
      </c>
      <c r="GE197" s="9">
        <v>5.4</v>
      </c>
      <c r="GF197" s="9">
        <v>0.3</v>
      </c>
      <c r="GG197" s="9">
        <v>0.3</v>
      </c>
      <c r="GK197" s="9">
        <v>-0.3</v>
      </c>
      <c r="GM197" s="9">
        <v>0.1</v>
      </c>
      <c r="GO197" s="9">
        <v>0</v>
      </c>
      <c r="GP197" s="9">
        <v>0.7</v>
      </c>
      <c r="GQ197" s="9">
        <v>0.4</v>
      </c>
      <c r="GR197" s="9">
        <v>-0.9</v>
      </c>
      <c r="GS197" s="9">
        <v>-1.2</v>
      </c>
      <c r="GT197" s="9">
        <v>0.8</v>
      </c>
      <c r="GU197" s="9">
        <v>0.1</v>
      </c>
      <c r="GV197" s="9">
        <v>0.1</v>
      </c>
      <c r="GW197" s="9">
        <v>-0.3</v>
      </c>
      <c r="GX197" s="9">
        <v>0</v>
      </c>
      <c r="GY197" s="9">
        <v>0</v>
      </c>
      <c r="GZ197" s="9">
        <v>-1.1000000000000001</v>
      </c>
      <c r="HA197" s="9">
        <v>-0.2</v>
      </c>
      <c r="HB197" s="9">
        <v>0.5</v>
      </c>
      <c r="HC197" s="9">
        <v>0.7</v>
      </c>
      <c r="HD197" s="9">
        <v>1</v>
      </c>
      <c r="HE197" s="9">
        <v>0.6</v>
      </c>
      <c r="HF197" s="9">
        <v>2.5</v>
      </c>
      <c r="HG197" s="9">
        <v>3</v>
      </c>
      <c r="HH197" s="9">
        <v>1</v>
      </c>
      <c r="HI197" s="9">
        <v>2.5</v>
      </c>
      <c r="HJ197" s="9">
        <v>2.5</v>
      </c>
      <c r="HK197" s="9">
        <v>7.6</v>
      </c>
      <c r="HL197" s="9">
        <v>9.4</v>
      </c>
      <c r="HM197" s="9">
        <v>-0.3</v>
      </c>
      <c r="HN197" s="9">
        <v>1.4</v>
      </c>
      <c r="HO197" s="9">
        <v>1.3</v>
      </c>
      <c r="HP197" s="9">
        <v>1.4</v>
      </c>
      <c r="HQ197" s="9">
        <v>0.4</v>
      </c>
      <c r="HR197" s="9">
        <v>0.4</v>
      </c>
      <c r="HS197" s="9">
        <v>-0.3</v>
      </c>
      <c r="HT197" s="9">
        <v>0.6</v>
      </c>
      <c r="HU197" s="9">
        <v>2</v>
      </c>
      <c r="HV197" s="9">
        <v>-0.3</v>
      </c>
      <c r="HW197" s="9">
        <v>0.3</v>
      </c>
      <c r="HX197" s="9">
        <v>0.7</v>
      </c>
      <c r="HY197" s="9">
        <v>0.7</v>
      </c>
      <c r="HZ197" s="9">
        <v>0</v>
      </c>
      <c r="IA197" s="9">
        <v>0</v>
      </c>
      <c r="IB197" s="9">
        <v>0</v>
      </c>
      <c r="IC197" s="9">
        <v>0</v>
      </c>
      <c r="ID197" s="9">
        <v>0.4</v>
      </c>
      <c r="IE197" s="9">
        <v>-0.1</v>
      </c>
      <c r="IF197" s="9">
        <v>-1</v>
      </c>
      <c r="IG197" s="9">
        <v>-0.1</v>
      </c>
      <c r="IH197" s="9">
        <v>0.7</v>
      </c>
      <c r="IK197" s="9">
        <v>-0.2</v>
      </c>
      <c r="IL197" s="9">
        <v>1.8</v>
      </c>
      <c r="IM197" s="9">
        <v>-2.9</v>
      </c>
      <c r="IN197" s="9">
        <v>0.5</v>
      </c>
      <c r="IQ197" s="9">
        <v>0.1</v>
      </c>
    </row>
    <row r="198" spans="1:251" x14ac:dyDescent="0.2">
      <c r="A198" s="10">
        <v>34851</v>
      </c>
      <c r="B198" s="8">
        <v>44.92</v>
      </c>
      <c r="C198" s="8">
        <v>41.39</v>
      </c>
      <c r="D198" s="8">
        <v>45.19</v>
      </c>
      <c r="E198" s="8">
        <v>40.69</v>
      </c>
      <c r="F198" s="8">
        <v>43.97</v>
      </c>
      <c r="G198" s="8">
        <v>64.569999999999993</v>
      </c>
      <c r="H198" s="8">
        <v>56.94</v>
      </c>
      <c r="I198" s="8">
        <v>43.17</v>
      </c>
      <c r="J198" s="8">
        <v>36.07</v>
      </c>
      <c r="K198" s="8">
        <v>44.52</v>
      </c>
      <c r="L198" s="8">
        <v>28.17</v>
      </c>
      <c r="M198" s="8">
        <v>69.099999999999994</v>
      </c>
      <c r="N198" s="8">
        <v>37.479999999999997</v>
      </c>
      <c r="O198" s="8">
        <v>47.99</v>
      </c>
      <c r="P198" s="8">
        <v>45.96</v>
      </c>
      <c r="Q198" s="8">
        <v>49.43</v>
      </c>
      <c r="R198" s="8">
        <v>40.450000000000003</v>
      </c>
      <c r="S198" s="8">
        <v>47.6</v>
      </c>
      <c r="T198" s="8">
        <v>38.32</v>
      </c>
      <c r="U198" s="8">
        <v>37.159999999999997</v>
      </c>
      <c r="V198" s="8">
        <v>39.31</v>
      </c>
      <c r="W198" s="8">
        <v>43.19</v>
      </c>
      <c r="X198" s="8">
        <v>34.43</v>
      </c>
      <c r="Y198" s="8">
        <v>48.93</v>
      </c>
      <c r="Z198" s="8">
        <v>58.74</v>
      </c>
      <c r="AA198" s="8">
        <v>33.4</v>
      </c>
      <c r="AB198" s="8">
        <v>40.79</v>
      </c>
      <c r="AC198" s="8">
        <v>54.3</v>
      </c>
      <c r="AD198" s="8">
        <v>47.43</v>
      </c>
      <c r="AE198" s="8">
        <v>54.17</v>
      </c>
      <c r="AF198" s="8">
        <v>45.92</v>
      </c>
      <c r="AG198" s="8">
        <v>37.67</v>
      </c>
      <c r="AH198" s="8">
        <v>38.78</v>
      </c>
      <c r="AI198" s="8">
        <v>36.25</v>
      </c>
      <c r="AJ198" s="8">
        <v>21.48</v>
      </c>
      <c r="AK198" s="8">
        <v>44.07</v>
      </c>
      <c r="AL198" s="8">
        <v>37.909999999999997</v>
      </c>
      <c r="AM198" s="8">
        <v>68.319999999999993</v>
      </c>
      <c r="AN198" s="8">
        <v>34.03</v>
      </c>
      <c r="AO198" s="8">
        <v>6.71</v>
      </c>
      <c r="AP198" s="8">
        <v>6.71</v>
      </c>
      <c r="AQ198" s="8">
        <v>96.62</v>
      </c>
      <c r="AR198" s="8">
        <v>113.27</v>
      </c>
      <c r="AS198" s="8">
        <v>111.28</v>
      </c>
      <c r="AT198" s="8">
        <v>119.55</v>
      </c>
      <c r="AU198" s="8">
        <v>96.29</v>
      </c>
      <c r="AV198" s="8">
        <v>110.97</v>
      </c>
      <c r="AW198" s="8">
        <v>116.86</v>
      </c>
      <c r="AX198" s="8">
        <v>111.77</v>
      </c>
      <c r="AY198" s="8">
        <v>99.25</v>
      </c>
      <c r="BB198" s="8">
        <v>36.29</v>
      </c>
      <c r="BC198" s="8">
        <v>38.71</v>
      </c>
      <c r="BD198" s="8">
        <v>40.04</v>
      </c>
      <c r="BE198" s="8">
        <v>40.04</v>
      </c>
      <c r="BI198" s="8">
        <v>41.19</v>
      </c>
      <c r="BK198" s="8">
        <v>26.82</v>
      </c>
      <c r="BM198" s="8">
        <v>28.26</v>
      </c>
      <c r="BN198" s="8">
        <v>21.28</v>
      </c>
      <c r="BO198" s="8">
        <v>68.91</v>
      </c>
      <c r="BP198" s="8">
        <v>67.14</v>
      </c>
      <c r="BQ198" s="8">
        <v>73.58</v>
      </c>
      <c r="BR198" s="8">
        <v>46.82</v>
      </c>
      <c r="BS198" s="8">
        <v>118.11</v>
      </c>
      <c r="BT198" s="8">
        <v>118.11</v>
      </c>
      <c r="BU198" s="8">
        <v>104.21</v>
      </c>
      <c r="BV198" s="8">
        <v>105.1</v>
      </c>
      <c r="BW198" s="8">
        <v>119.89</v>
      </c>
      <c r="BX198" s="8">
        <v>124.54</v>
      </c>
      <c r="BY198" s="8">
        <v>74.5</v>
      </c>
      <c r="BZ198" s="8">
        <v>71.28</v>
      </c>
      <c r="CA198" s="8">
        <v>73.94</v>
      </c>
      <c r="CB198" s="8">
        <v>86.97</v>
      </c>
      <c r="CC198" s="8">
        <v>58.79</v>
      </c>
      <c r="CD198" s="8">
        <v>33.47</v>
      </c>
      <c r="CE198" s="8">
        <v>36.409999999999997</v>
      </c>
      <c r="CF198" s="8">
        <v>36.03</v>
      </c>
      <c r="CG198" s="8">
        <v>29.73</v>
      </c>
      <c r="CH198" s="8">
        <v>30.28</v>
      </c>
      <c r="CI198" s="8">
        <v>64.599999999999994</v>
      </c>
      <c r="CJ198" s="8">
        <v>63.98</v>
      </c>
      <c r="CK198" s="8">
        <v>69.63</v>
      </c>
      <c r="CL198" s="8">
        <v>24.54</v>
      </c>
      <c r="CM198" s="8">
        <v>23.33</v>
      </c>
      <c r="CN198" s="8">
        <v>34.4</v>
      </c>
      <c r="CO198" s="8">
        <v>52.25</v>
      </c>
      <c r="CP198" s="8">
        <v>53.17</v>
      </c>
      <c r="CQ198" s="8">
        <v>115.58</v>
      </c>
      <c r="CR198" s="8">
        <v>52.24</v>
      </c>
      <c r="CS198" s="8">
        <v>36.07</v>
      </c>
      <c r="CT198" s="8">
        <v>45.64</v>
      </c>
      <c r="CU198" s="8">
        <v>31.27</v>
      </c>
      <c r="CV198" s="8">
        <v>42.61</v>
      </c>
      <c r="CW198" s="8">
        <v>42.61</v>
      </c>
      <c r="CX198" s="8">
        <v>118.39</v>
      </c>
      <c r="CY198" s="8">
        <v>118.39</v>
      </c>
      <c r="CZ198" s="8">
        <v>36.99</v>
      </c>
      <c r="DA198" s="8">
        <v>125.72</v>
      </c>
      <c r="DB198" s="8">
        <v>65.38</v>
      </c>
      <c r="DC198" s="8">
        <v>332.44</v>
      </c>
      <c r="DD198" s="8">
        <v>1648.46</v>
      </c>
      <c r="DE198" s="8">
        <v>87.78</v>
      </c>
      <c r="DF198" s="8">
        <v>47.99</v>
      </c>
      <c r="DI198" s="8">
        <v>44.62</v>
      </c>
      <c r="DJ198" s="8">
        <v>38.909999999999997</v>
      </c>
      <c r="DK198" s="8">
        <v>46.02</v>
      </c>
      <c r="DL198" s="8">
        <v>45.77</v>
      </c>
      <c r="DO198" s="8">
        <v>42.94</v>
      </c>
      <c r="DP198" s="8">
        <v>29.26</v>
      </c>
      <c r="DS198" s="8">
        <v>24.34</v>
      </c>
      <c r="DT198" s="8">
        <v>24.34</v>
      </c>
      <c r="DY198" s="8">
        <v>17.989999999999998</v>
      </c>
      <c r="DZ198" s="8">
        <v>17.989999999999998</v>
      </c>
      <c r="ED198" s="9">
        <v>1.3</v>
      </c>
      <c r="EE198" s="9">
        <v>0.4</v>
      </c>
      <c r="EF198" s="9">
        <v>1.8</v>
      </c>
      <c r="EG198" s="9">
        <v>2.7</v>
      </c>
      <c r="EH198" s="9">
        <v>0.1</v>
      </c>
      <c r="EI198" s="9">
        <v>3.9</v>
      </c>
      <c r="EJ198" s="9">
        <v>2.2999999999999998</v>
      </c>
      <c r="EK198" s="9">
        <v>0.8</v>
      </c>
      <c r="EL198" s="9">
        <v>1</v>
      </c>
      <c r="EM198" s="9">
        <v>-0.6</v>
      </c>
      <c r="EN198" s="9">
        <v>5.2</v>
      </c>
      <c r="EO198" s="9">
        <v>-0.4</v>
      </c>
      <c r="EP198" s="9">
        <v>0.9</v>
      </c>
      <c r="EQ198" s="9">
        <v>-1.2</v>
      </c>
      <c r="ER198" s="9">
        <v>1.3</v>
      </c>
      <c r="ES198" s="9">
        <v>1.6</v>
      </c>
      <c r="ET198" s="9">
        <v>0.1</v>
      </c>
      <c r="EU198" s="9">
        <v>2.2999999999999998</v>
      </c>
      <c r="EV198" s="9">
        <v>-5.8</v>
      </c>
      <c r="EW198" s="9">
        <v>-9.6999999999999993</v>
      </c>
      <c r="EX198" s="9">
        <v>-2.6</v>
      </c>
      <c r="EY198" s="9">
        <v>0.2</v>
      </c>
      <c r="EZ198" s="9">
        <v>4.7</v>
      </c>
      <c r="FA198" s="9">
        <v>0.6</v>
      </c>
      <c r="FB198" s="9">
        <v>0.7</v>
      </c>
      <c r="FC198" s="9">
        <v>3.9</v>
      </c>
      <c r="FD198" s="9">
        <v>0.1</v>
      </c>
      <c r="FE198" s="9">
        <v>-2.4</v>
      </c>
      <c r="FF198" s="9">
        <v>2</v>
      </c>
      <c r="FG198" s="9">
        <v>0.4</v>
      </c>
      <c r="FH198" s="9">
        <v>2</v>
      </c>
      <c r="FI198" s="9">
        <v>1.6</v>
      </c>
      <c r="FJ198" s="9">
        <v>2</v>
      </c>
      <c r="FK198" s="9">
        <v>1.4</v>
      </c>
      <c r="FL198" s="9">
        <v>3.8</v>
      </c>
      <c r="FM198" s="9">
        <v>1.3</v>
      </c>
      <c r="FN198" s="9">
        <v>0.1</v>
      </c>
      <c r="FO198" s="9">
        <v>1.6</v>
      </c>
      <c r="FP198" s="9">
        <v>1.8</v>
      </c>
      <c r="FQ198" s="9">
        <v>7.4</v>
      </c>
      <c r="FR198" s="9">
        <v>7.4</v>
      </c>
      <c r="FS198" s="9">
        <v>0.9</v>
      </c>
      <c r="FT198" s="9">
        <v>0.8</v>
      </c>
      <c r="FU198" s="9">
        <v>1.1000000000000001</v>
      </c>
      <c r="FV198" s="9">
        <v>0.8</v>
      </c>
      <c r="FW198" s="9">
        <v>0.9</v>
      </c>
      <c r="FX198" s="9">
        <v>0.4</v>
      </c>
      <c r="FY198" s="9">
        <v>0.1</v>
      </c>
      <c r="FZ198" s="9">
        <v>0.2</v>
      </c>
      <c r="GA198" s="9">
        <v>1.3</v>
      </c>
      <c r="GD198" s="9">
        <v>1.5</v>
      </c>
      <c r="GE198" s="9">
        <v>1.9</v>
      </c>
      <c r="GF198" s="9">
        <v>0.8</v>
      </c>
      <c r="GG198" s="9">
        <v>0.8</v>
      </c>
      <c r="GK198" s="9">
        <v>0.2</v>
      </c>
      <c r="GM198" s="9">
        <v>0.1</v>
      </c>
      <c r="GO198" s="9">
        <v>0</v>
      </c>
      <c r="GP198" s="9">
        <v>0.2</v>
      </c>
      <c r="GQ198" s="9">
        <v>0.8</v>
      </c>
      <c r="GR198" s="9">
        <v>0.7</v>
      </c>
      <c r="GS198" s="9">
        <v>0.8</v>
      </c>
      <c r="GT198" s="9">
        <v>0.2</v>
      </c>
      <c r="GU198" s="9">
        <v>2.2000000000000002</v>
      </c>
      <c r="GV198" s="9">
        <v>2.2000000000000002</v>
      </c>
      <c r="GW198" s="9">
        <v>-0.2</v>
      </c>
      <c r="GX198" s="9">
        <v>-0.7</v>
      </c>
      <c r="GY198" s="9">
        <v>-0.7</v>
      </c>
      <c r="GZ198" s="9">
        <v>0.5</v>
      </c>
      <c r="HA198" s="9">
        <v>0.5</v>
      </c>
      <c r="HB198" s="9">
        <v>1.9</v>
      </c>
      <c r="HC198" s="9">
        <v>1.8</v>
      </c>
      <c r="HD198" s="9">
        <v>0.8</v>
      </c>
      <c r="HE198" s="9">
        <v>2.2999999999999998</v>
      </c>
      <c r="HF198" s="9">
        <v>1.2</v>
      </c>
      <c r="HG198" s="9">
        <v>1.1000000000000001</v>
      </c>
      <c r="HH198" s="9">
        <v>0.9</v>
      </c>
      <c r="HI198" s="9">
        <v>1.2</v>
      </c>
      <c r="HJ198" s="9">
        <v>1.7</v>
      </c>
      <c r="HK198" s="9">
        <v>0.2</v>
      </c>
      <c r="HL198" s="9">
        <v>0.2</v>
      </c>
      <c r="HM198" s="9">
        <v>0.6</v>
      </c>
      <c r="HN198" s="9">
        <v>2.1</v>
      </c>
      <c r="HO198" s="9">
        <v>2.2000000000000002</v>
      </c>
      <c r="HP198" s="9">
        <v>1.5</v>
      </c>
      <c r="HQ198" s="9">
        <v>1.3</v>
      </c>
      <c r="HR198" s="9">
        <v>1.4</v>
      </c>
      <c r="HS198" s="9">
        <v>2.2000000000000002</v>
      </c>
      <c r="HT198" s="9">
        <v>0.9</v>
      </c>
      <c r="HU198" s="9">
        <v>1.7</v>
      </c>
      <c r="HV198" s="9">
        <v>0.1</v>
      </c>
      <c r="HW198" s="9">
        <v>0.3</v>
      </c>
      <c r="HX198" s="9">
        <v>0.2</v>
      </c>
      <c r="HY198" s="9">
        <v>0.2</v>
      </c>
      <c r="HZ198" s="9">
        <v>-0.2</v>
      </c>
      <c r="IA198" s="9">
        <v>-0.2</v>
      </c>
      <c r="IB198" s="9">
        <v>0</v>
      </c>
      <c r="IC198" s="9">
        <v>-0.2</v>
      </c>
      <c r="ID198" s="9">
        <v>0.6</v>
      </c>
      <c r="IE198" s="9">
        <v>-0.1</v>
      </c>
      <c r="IF198" s="9">
        <v>-2.2999999999999998</v>
      </c>
      <c r="IG198" s="9">
        <v>-0.1</v>
      </c>
      <c r="IH198" s="9">
        <v>0.3</v>
      </c>
      <c r="IK198" s="9">
        <v>0</v>
      </c>
      <c r="IL198" s="9">
        <v>-5</v>
      </c>
      <c r="IM198" s="9">
        <v>6.7</v>
      </c>
      <c r="IN198" s="9">
        <v>0.7</v>
      </c>
      <c r="IQ198" s="9">
        <v>0.7</v>
      </c>
    </row>
    <row r="199" spans="1:251" x14ac:dyDescent="0.2">
      <c r="A199" s="10">
        <v>34943</v>
      </c>
      <c r="B199" s="8">
        <v>45.46</v>
      </c>
      <c r="C199" s="8">
        <v>42.01</v>
      </c>
      <c r="D199" s="8">
        <v>46.07</v>
      </c>
      <c r="E199" s="8">
        <v>41.13</v>
      </c>
      <c r="F199" s="8">
        <v>45.83</v>
      </c>
      <c r="G199" s="8">
        <v>65.45</v>
      </c>
      <c r="H199" s="8">
        <v>56.22</v>
      </c>
      <c r="I199" s="8">
        <v>43.91</v>
      </c>
      <c r="J199" s="8">
        <v>36.89</v>
      </c>
      <c r="K199" s="8">
        <v>45.12</v>
      </c>
      <c r="L199" s="8">
        <v>30.08</v>
      </c>
      <c r="M199" s="8">
        <v>67.849999999999994</v>
      </c>
      <c r="N199" s="8">
        <v>37.72</v>
      </c>
      <c r="O199" s="8">
        <v>48.04</v>
      </c>
      <c r="P199" s="8">
        <v>46.64</v>
      </c>
      <c r="Q199" s="8">
        <v>50.34</v>
      </c>
      <c r="R199" s="8">
        <v>40.590000000000003</v>
      </c>
      <c r="S199" s="8">
        <v>47.88</v>
      </c>
      <c r="T199" s="8">
        <v>39.200000000000003</v>
      </c>
      <c r="U199" s="8">
        <v>39.11</v>
      </c>
      <c r="V199" s="8">
        <v>39.31</v>
      </c>
      <c r="W199" s="8">
        <v>43.91</v>
      </c>
      <c r="X199" s="8">
        <v>38.64</v>
      </c>
      <c r="Y199" s="8">
        <v>48.82</v>
      </c>
      <c r="Z199" s="8">
        <v>58.68</v>
      </c>
      <c r="AA199" s="8">
        <v>34.36</v>
      </c>
      <c r="AB199" s="8">
        <v>41.51</v>
      </c>
      <c r="AC199" s="8">
        <v>55.51</v>
      </c>
      <c r="AD199" s="8">
        <v>48.55</v>
      </c>
      <c r="AE199" s="8">
        <v>54.44</v>
      </c>
      <c r="AF199" s="8">
        <v>47.01</v>
      </c>
      <c r="AG199" s="8">
        <v>37.700000000000003</v>
      </c>
      <c r="AH199" s="8">
        <v>39.08</v>
      </c>
      <c r="AI199" s="8">
        <v>36.130000000000003</v>
      </c>
      <c r="AJ199" s="8">
        <v>22.21</v>
      </c>
      <c r="AK199" s="8">
        <v>44.67</v>
      </c>
      <c r="AL199" s="8">
        <v>38.24</v>
      </c>
      <c r="AM199" s="8">
        <v>68.900000000000006</v>
      </c>
      <c r="AN199" s="8">
        <v>34.630000000000003</v>
      </c>
      <c r="AO199" s="8">
        <v>7.13</v>
      </c>
      <c r="AP199" s="8">
        <v>7.13</v>
      </c>
      <c r="AQ199" s="8">
        <v>96.17</v>
      </c>
      <c r="AR199" s="8">
        <v>113.27</v>
      </c>
      <c r="AS199" s="8">
        <v>111.28</v>
      </c>
      <c r="AT199" s="8">
        <v>119.55</v>
      </c>
      <c r="AU199" s="8">
        <v>96.38</v>
      </c>
      <c r="AV199" s="8">
        <v>109.3</v>
      </c>
      <c r="AW199" s="8">
        <v>116.26</v>
      </c>
      <c r="AX199" s="8">
        <v>109.89</v>
      </c>
      <c r="AY199" s="8">
        <v>96.71</v>
      </c>
      <c r="BB199" s="8">
        <v>36.64</v>
      </c>
      <c r="BC199" s="8">
        <v>38.96</v>
      </c>
      <c r="BD199" s="8">
        <v>40.299999999999997</v>
      </c>
      <c r="BE199" s="8">
        <v>40.299999999999997</v>
      </c>
      <c r="BI199" s="8">
        <v>41.26</v>
      </c>
      <c r="BK199" s="8">
        <v>26.94</v>
      </c>
      <c r="BM199" s="8">
        <v>28.34</v>
      </c>
      <c r="BN199" s="8">
        <v>21.48</v>
      </c>
      <c r="BO199" s="8">
        <v>69.41</v>
      </c>
      <c r="BP199" s="8">
        <v>67.08</v>
      </c>
      <c r="BQ199" s="8">
        <v>73.260000000000005</v>
      </c>
      <c r="BR199" s="8">
        <v>47.48</v>
      </c>
      <c r="BS199" s="8">
        <v>118.96</v>
      </c>
      <c r="BT199" s="8">
        <v>118.96</v>
      </c>
      <c r="BU199" s="8">
        <v>104.89</v>
      </c>
      <c r="BV199" s="8">
        <v>106.08</v>
      </c>
      <c r="BW199" s="8">
        <v>121</v>
      </c>
      <c r="BX199" s="8">
        <v>124.78</v>
      </c>
      <c r="BY199" s="8">
        <v>74.989999999999995</v>
      </c>
      <c r="BZ199" s="8">
        <v>73.13</v>
      </c>
      <c r="CA199" s="8">
        <v>75.290000000000006</v>
      </c>
      <c r="CB199" s="8">
        <v>87.68</v>
      </c>
      <c r="CC199" s="8">
        <v>60.66</v>
      </c>
      <c r="CD199" s="8">
        <v>33.619999999999997</v>
      </c>
      <c r="CE199" s="8">
        <v>36.76</v>
      </c>
      <c r="CF199" s="8">
        <v>36.15</v>
      </c>
      <c r="CG199" s="8">
        <v>29.86</v>
      </c>
      <c r="CH199" s="8">
        <v>30.36</v>
      </c>
      <c r="CI199" s="8">
        <v>63.34</v>
      </c>
      <c r="CJ199" s="8">
        <v>62.28</v>
      </c>
      <c r="CK199" s="8">
        <v>70.47</v>
      </c>
      <c r="CL199" s="8">
        <v>24.75</v>
      </c>
      <c r="CM199" s="8">
        <v>23.54</v>
      </c>
      <c r="CN199" s="8">
        <v>34.61</v>
      </c>
      <c r="CO199" s="8">
        <v>53.66</v>
      </c>
      <c r="CP199" s="8">
        <v>54.62</v>
      </c>
      <c r="CQ199" s="8">
        <v>117.41</v>
      </c>
      <c r="CR199" s="8">
        <v>52.63</v>
      </c>
      <c r="CS199" s="8">
        <v>37.409999999999997</v>
      </c>
      <c r="CT199" s="8">
        <v>46.24</v>
      </c>
      <c r="CU199" s="8">
        <v>31.81</v>
      </c>
      <c r="CV199" s="8">
        <v>43.75</v>
      </c>
      <c r="CW199" s="8">
        <v>43.76</v>
      </c>
      <c r="CX199" s="8">
        <v>118.5</v>
      </c>
      <c r="CY199" s="8">
        <v>118.5</v>
      </c>
      <c r="CZ199" s="8">
        <v>37.130000000000003</v>
      </c>
      <c r="DA199" s="8">
        <v>125.72</v>
      </c>
      <c r="DB199" s="8">
        <v>65.5</v>
      </c>
      <c r="DC199" s="8">
        <v>332.44</v>
      </c>
      <c r="DD199" s="8">
        <v>1601.74</v>
      </c>
      <c r="DE199" s="8">
        <v>87.86</v>
      </c>
      <c r="DF199" s="8">
        <v>48.21</v>
      </c>
      <c r="DI199" s="8">
        <v>44.58</v>
      </c>
      <c r="DJ199" s="8">
        <v>38.950000000000003</v>
      </c>
      <c r="DK199" s="8">
        <v>45.94</v>
      </c>
      <c r="DL199" s="8">
        <v>46.49</v>
      </c>
      <c r="DO199" s="8">
        <v>43.87</v>
      </c>
      <c r="DP199" s="8">
        <v>29.44</v>
      </c>
      <c r="DS199" s="8">
        <v>24.34</v>
      </c>
      <c r="DT199" s="8">
        <v>24.34</v>
      </c>
      <c r="DY199" s="8">
        <v>18.68</v>
      </c>
      <c r="DZ199" s="8">
        <v>18.68</v>
      </c>
      <c r="ED199" s="9">
        <v>1.2</v>
      </c>
      <c r="EE199" s="9">
        <v>1.5</v>
      </c>
      <c r="EF199" s="9">
        <v>1.9</v>
      </c>
      <c r="EG199" s="9">
        <v>1.1000000000000001</v>
      </c>
      <c r="EH199" s="9">
        <v>4.2</v>
      </c>
      <c r="EI199" s="9">
        <v>1.4</v>
      </c>
      <c r="EJ199" s="9">
        <v>-1.3</v>
      </c>
      <c r="EK199" s="9">
        <v>1.7</v>
      </c>
      <c r="EL199" s="9">
        <v>2.2999999999999998</v>
      </c>
      <c r="EM199" s="9">
        <v>1.3</v>
      </c>
      <c r="EN199" s="9">
        <v>6.8</v>
      </c>
      <c r="EO199" s="9">
        <v>-1.8</v>
      </c>
      <c r="EP199" s="9">
        <v>0.6</v>
      </c>
      <c r="EQ199" s="9">
        <v>0.1</v>
      </c>
      <c r="ER199" s="9">
        <v>1.5</v>
      </c>
      <c r="ES199" s="9">
        <v>1.8</v>
      </c>
      <c r="ET199" s="9">
        <v>0.3</v>
      </c>
      <c r="EU199" s="9">
        <v>0.6</v>
      </c>
      <c r="EV199" s="9">
        <v>2.2999999999999998</v>
      </c>
      <c r="EW199" s="9">
        <v>5.2</v>
      </c>
      <c r="EX199" s="9">
        <v>0</v>
      </c>
      <c r="EY199" s="9">
        <v>1.7</v>
      </c>
      <c r="EZ199" s="9">
        <v>12.2</v>
      </c>
      <c r="FA199" s="9">
        <v>-0.2</v>
      </c>
      <c r="FB199" s="9">
        <v>-0.1</v>
      </c>
      <c r="FC199" s="9">
        <v>2.9</v>
      </c>
      <c r="FD199" s="9">
        <v>1.8</v>
      </c>
      <c r="FE199" s="9">
        <v>2.2000000000000002</v>
      </c>
      <c r="FF199" s="9">
        <v>2.4</v>
      </c>
      <c r="FG199" s="9">
        <v>0.5</v>
      </c>
      <c r="FH199" s="9">
        <v>2.4</v>
      </c>
      <c r="FI199" s="9">
        <v>0.1</v>
      </c>
      <c r="FJ199" s="9">
        <v>0.8</v>
      </c>
      <c r="FK199" s="9">
        <v>-0.3</v>
      </c>
      <c r="FL199" s="9">
        <v>3.4</v>
      </c>
      <c r="FM199" s="9">
        <v>1.4</v>
      </c>
      <c r="FN199" s="9">
        <v>0.9</v>
      </c>
      <c r="FO199" s="9">
        <v>0.8</v>
      </c>
      <c r="FP199" s="9">
        <v>1.8</v>
      </c>
      <c r="FQ199" s="9">
        <v>6.3</v>
      </c>
      <c r="FR199" s="9">
        <v>6.3</v>
      </c>
      <c r="FS199" s="9">
        <v>-0.5</v>
      </c>
      <c r="FT199" s="9">
        <v>0</v>
      </c>
      <c r="FU199" s="9">
        <v>0</v>
      </c>
      <c r="FV199" s="9">
        <v>0</v>
      </c>
      <c r="FW199" s="9">
        <v>0.1</v>
      </c>
      <c r="FX199" s="9">
        <v>-1.5</v>
      </c>
      <c r="FY199" s="9">
        <v>-0.5</v>
      </c>
      <c r="FZ199" s="9">
        <v>-1.7</v>
      </c>
      <c r="GA199" s="9">
        <v>-2.6</v>
      </c>
      <c r="GD199" s="9">
        <v>1</v>
      </c>
      <c r="GE199" s="9">
        <v>0.6</v>
      </c>
      <c r="GF199" s="9">
        <v>0.6</v>
      </c>
      <c r="GG199" s="9">
        <v>0.6</v>
      </c>
      <c r="GK199" s="9">
        <v>0.2</v>
      </c>
      <c r="GM199" s="9">
        <v>0.4</v>
      </c>
      <c r="GO199" s="9">
        <v>0.3</v>
      </c>
      <c r="GP199" s="9">
        <v>0.9</v>
      </c>
      <c r="GQ199" s="9">
        <v>0.7</v>
      </c>
      <c r="GR199" s="9">
        <v>-0.1</v>
      </c>
      <c r="GS199" s="9">
        <v>-0.4</v>
      </c>
      <c r="GT199" s="9">
        <v>1.4</v>
      </c>
      <c r="GU199" s="9">
        <v>0.7</v>
      </c>
      <c r="GV199" s="9">
        <v>0.7</v>
      </c>
      <c r="GW199" s="9">
        <v>0.7</v>
      </c>
      <c r="GX199" s="9">
        <v>0.9</v>
      </c>
      <c r="GY199" s="9">
        <v>0.9</v>
      </c>
      <c r="GZ199" s="9">
        <v>0.2</v>
      </c>
      <c r="HA199" s="9">
        <v>0.7</v>
      </c>
      <c r="HB199" s="9">
        <v>2.6</v>
      </c>
      <c r="HC199" s="9">
        <v>1.8</v>
      </c>
      <c r="HD199" s="9">
        <v>0.8</v>
      </c>
      <c r="HE199" s="9">
        <v>3.2</v>
      </c>
      <c r="HF199" s="9">
        <v>0.4</v>
      </c>
      <c r="HG199" s="9">
        <v>1</v>
      </c>
      <c r="HH199" s="9">
        <v>0.3</v>
      </c>
      <c r="HI199" s="9">
        <v>0.4</v>
      </c>
      <c r="HJ199" s="9">
        <v>0.3</v>
      </c>
      <c r="HK199" s="9">
        <v>-2</v>
      </c>
      <c r="HL199" s="9">
        <v>-2.7</v>
      </c>
      <c r="HM199" s="9">
        <v>1.2</v>
      </c>
      <c r="HN199" s="9">
        <v>0.9</v>
      </c>
      <c r="HO199" s="9">
        <v>0.9</v>
      </c>
      <c r="HP199" s="9">
        <v>0.6</v>
      </c>
      <c r="HQ199" s="9">
        <v>2.7</v>
      </c>
      <c r="HR199" s="9">
        <v>2.7</v>
      </c>
      <c r="HS199" s="9">
        <v>1.6</v>
      </c>
      <c r="HT199" s="9">
        <v>0.7</v>
      </c>
      <c r="HU199" s="9">
        <v>3.7</v>
      </c>
      <c r="HV199" s="9">
        <v>1.3</v>
      </c>
      <c r="HW199" s="9">
        <v>1.7</v>
      </c>
      <c r="HX199" s="9">
        <v>2.7</v>
      </c>
      <c r="HY199" s="9">
        <v>2.7</v>
      </c>
      <c r="HZ199" s="9">
        <v>0.1</v>
      </c>
      <c r="IA199" s="9">
        <v>0.1</v>
      </c>
      <c r="IB199" s="9">
        <v>0.4</v>
      </c>
      <c r="IC199" s="9">
        <v>0</v>
      </c>
      <c r="ID199" s="9">
        <v>0.2</v>
      </c>
      <c r="IE199" s="9">
        <v>0</v>
      </c>
      <c r="IF199" s="9">
        <v>-2.8</v>
      </c>
      <c r="IG199" s="9">
        <v>0.1</v>
      </c>
      <c r="IH199" s="9">
        <v>0.5</v>
      </c>
      <c r="IK199" s="9">
        <v>-0.1</v>
      </c>
      <c r="IL199" s="9">
        <v>0.1</v>
      </c>
      <c r="IM199" s="9">
        <v>-0.2</v>
      </c>
      <c r="IN199" s="9">
        <v>1.6</v>
      </c>
      <c r="IQ199" s="9">
        <v>2.2000000000000002</v>
      </c>
    </row>
    <row r="200" spans="1:251" x14ac:dyDescent="0.2">
      <c r="A200" s="10">
        <v>35034</v>
      </c>
      <c r="B200" s="8">
        <v>45.81</v>
      </c>
      <c r="C200" s="8">
        <v>42.12</v>
      </c>
      <c r="D200" s="8">
        <v>46.66</v>
      </c>
      <c r="E200" s="8">
        <v>41.63</v>
      </c>
      <c r="F200" s="8">
        <v>46.63</v>
      </c>
      <c r="G200" s="8">
        <v>65.349999999999994</v>
      </c>
      <c r="H200" s="8">
        <v>56.6</v>
      </c>
      <c r="I200" s="8">
        <v>43.58</v>
      </c>
      <c r="J200" s="8">
        <v>36.479999999999997</v>
      </c>
      <c r="K200" s="8">
        <v>45.33</v>
      </c>
      <c r="L200" s="8">
        <v>28.22</v>
      </c>
      <c r="M200" s="8">
        <v>70.66</v>
      </c>
      <c r="N200" s="8">
        <v>37.14</v>
      </c>
      <c r="O200" s="8">
        <v>49.13</v>
      </c>
      <c r="P200" s="8">
        <v>47.14</v>
      </c>
      <c r="Q200" s="8">
        <v>50.76</v>
      </c>
      <c r="R200" s="8">
        <v>41.53</v>
      </c>
      <c r="S200" s="8">
        <v>47.06</v>
      </c>
      <c r="T200" s="8">
        <v>38.97</v>
      </c>
      <c r="U200" s="8">
        <v>38.590000000000003</v>
      </c>
      <c r="V200" s="8">
        <v>39.35</v>
      </c>
      <c r="W200" s="8">
        <v>44.5</v>
      </c>
      <c r="X200" s="8">
        <v>39.619999999999997</v>
      </c>
      <c r="Y200" s="8">
        <v>49.16</v>
      </c>
      <c r="Z200" s="8">
        <v>58.53</v>
      </c>
      <c r="AA200" s="8">
        <v>33.880000000000003</v>
      </c>
      <c r="AB200" s="8">
        <v>42.06</v>
      </c>
      <c r="AC200" s="8">
        <v>56.19</v>
      </c>
      <c r="AD200" s="8">
        <v>48.51</v>
      </c>
      <c r="AE200" s="8">
        <v>55.9</v>
      </c>
      <c r="AF200" s="8">
        <v>46.97</v>
      </c>
      <c r="AG200" s="8">
        <v>37.799999999999997</v>
      </c>
      <c r="AH200" s="8">
        <v>39.29</v>
      </c>
      <c r="AI200" s="8">
        <v>36.159999999999997</v>
      </c>
      <c r="AJ200" s="8">
        <v>22.78</v>
      </c>
      <c r="AK200" s="8">
        <v>45.06</v>
      </c>
      <c r="AL200" s="8">
        <v>38.409999999999997</v>
      </c>
      <c r="AM200" s="8">
        <v>70.12</v>
      </c>
      <c r="AN200" s="8">
        <v>34.869999999999997</v>
      </c>
      <c r="AO200" s="8">
        <v>7.49</v>
      </c>
      <c r="AP200" s="8">
        <v>7.49</v>
      </c>
      <c r="AQ200" s="8">
        <v>96.53</v>
      </c>
      <c r="AR200" s="8">
        <v>113.06</v>
      </c>
      <c r="AS200" s="8">
        <v>111.58</v>
      </c>
      <c r="AT200" s="8">
        <v>118.88</v>
      </c>
      <c r="AU200" s="8">
        <v>96.65</v>
      </c>
      <c r="AV200" s="8">
        <v>111.19</v>
      </c>
      <c r="AW200" s="8">
        <v>116.62</v>
      </c>
      <c r="AX200" s="8">
        <v>112.21</v>
      </c>
      <c r="AY200" s="8">
        <v>99.45</v>
      </c>
      <c r="BB200" s="8">
        <v>37.47</v>
      </c>
      <c r="BC200" s="8">
        <v>39.22</v>
      </c>
      <c r="BD200" s="8">
        <v>40.549999999999997</v>
      </c>
      <c r="BE200" s="8">
        <v>40.549999999999997</v>
      </c>
      <c r="BI200" s="8">
        <v>41.83</v>
      </c>
      <c r="BK200" s="8">
        <v>26.94</v>
      </c>
      <c r="BM200" s="8">
        <v>28.34</v>
      </c>
      <c r="BN200" s="8">
        <v>21.48</v>
      </c>
      <c r="BO200" s="8">
        <v>69.78</v>
      </c>
      <c r="BP200" s="8">
        <v>67.84</v>
      </c>
      <c r="BQ200" s="8">
        <v>74.260000000000005</v>
      </c>
      <c r="BR200" s="8">
        <v>47.44</v>
      </c>
      <c r="BS200" s="8">
        <v>121.29</v>
      </c>
      <c r="BT200" s="8">
        <v>121.29</v>
      </c>
      <c r="BU200" s="8">
        <v>104.6</v>
      </c>
      <c r="BV200" s="8">
        <v>105.79</v>
      </c>
      <c r="BW200" s="8">
        <v>120.67</v>
      </c>
      <c r="BX200" s="8">
        <v>123.47</v>
      </c>
      <c r="BY200" s="8">
        <v>75.680000000000007</v>
      </c>
      <c r="BZ200" s="8">
        <v>73.010000000000005</v>
      </c>
      <c r="CA200" s="8">
        <v>76.319999999999993</v>
      </c>
      <c r="CB200" s="8">
        <v>88.47</v>
      </c>
      <c r="CC200" s="8">
        <v>60.14</v>
      </c>
      <c r="CD200" s="8">
        <v>34.06</v>
      </c>
      <c r="CE200" s="8">
        <v>36.89</v>
      </c>
      <c r="CF200" s="8">
        <v>36.299999999999997</v>
      </c>
      <c r="CG200" s="8">
        <v>30.26</v>
      </c>
      <c r="CH200" s="8">
        <v>30.81</v>
      </c>
      <c r="CI200" s="8">
        <v>61.55</v>
      </c>
      <c r="CJ200" s="8">
        <v>60.01</v>
      </c>
      <c r="CK200" s="8">
        <v>71.010000000000005</v>
      </c>
      <c r="CL200" s="8">
        <v>25.37</v>
      </c>
      <c r="CM200" s="8">
        <v>24.18</v>
      </c>
      <c r="CN200" s="8">
        <v>35.03</v>
      </c>
      <c r="CO200" s="8">
        <v>53.79</v>
      </c>
      <c r="CP200" s="8">
        <v>54.71</v>
      </c>
      <c r="CQ200" s="8">
        <v>117.51</v>
      </c>
      <c r="CR200" s="8">
        <v>52.34</v>
      </c>
      <c r="CS200" s="8">
        <v>36.880000000000003</v>
      </c>
      <c r="CT200" s="8">
        <v>46.68</v>
      </c>
      <c r="CU200" s="8">
        <v>32.11</v>
      </c>
      <c r="CV200" s="8">
        <v>43.82</v>
      </c>
      <c r="CW200" s="8">
        <v>43.82</v>
      </c>
      <c r="CX200" s="8">
        <v>118.5</v>
      </c>
      <c r="CY200" s="8">
        <v>118.5</v>
      </c>
      <c r="CZ200" s="8">
        <v>37.130000000000003</v>
      </c>
      <c r="DA200" s="8">
        <v>125.72</v>
      </c>
      <c r="DB200" s="8">
        <v>66.31</v>
      </c>
      <c r="DC200" s="8">
        <v>333.06</v>
      </c>
      <c r="DD200" s="8">
        <v>1571.83</v>
      </c>
      <c r="DE200" s="8">
        <v>88.02</v>
      </c>
      <c r="DF200" s="8">
        <v>48.88</v>
      </c>
      <c r="DI200" s="8">
        <v>46.14</v>
      </c>
      <c r="DJ200" s="8">
        <v>41.36</v>
      </c>
      <c r="DK200" s="8">
        <v>46.02</v>
      </c>
      <c r="DL200" s="8">
        <v>46.6</v>
      </c>
      <c r="DO200" s="8">
        <v>43.84</v>
      </c>
      <c r="DP200" s="8">
        <v>29.59</v>
      </c>
      <c r="DS200" s="8">
        <v>24.34</v>
      </c>
      <c r="DT200" s="8">
        <v>24.34</v>
      </c>
      <c r="DY200" s="8">
        <v>19.170000000000002</v>
      </c>
      <c r="DZ200" s="8">
        <v>19.170000000000002</v>
      </c>
      <c r="ED200" s="9">
        <v>0.8</v>
      </c>
      <c r="EE200" s="9">
        <v>0.3</v>
      </c>
      <c r="EF200" s="9">
        <v>1.3</v>
      </c>
      <c r="EG200" s="9">
        <v>1.2</v>
      </c>
      <c r="EH200" s="9">
        <v>1.7</v>
      </c>
      <c r="EI200" s="9">
        <v>-0.2</v>
      </c>
      <c r="EJ200" s="9">
        <v>0.7</v>
      </c>
      <c r="EK200" s="9">
        <v>-0.8</v>
      </c>
      <c r="EL200" s="9">
        <v>-1.1000000000000001</v>
      </c>
      <c r="EM200" s="9">
        <v>0.5</v>
      </c>
      <c r="EN200" s="9">
        <v>-6.2</v>
      </c>
      <c r="EO200" s="9">
        <v>4.0999999999999996</v>
      </c>
      <c r="EP200" s="9">
        <v>-1.5</v>
      </c>
      <c r="EQ200" s="9">
        <v>2.2999999999999998</v>
      </c>
      <c r="ER200" s="9">
        <v>1.1000000000000001</v>
      </c>
      <c r="ES200" s="9">
        <v>0.8</v>
      </c>
      <c r="ET200" s="9">
        <v>2.2999999999999998</v>
      </c>
      <c r="EU200" s="9">
        <v>-1.7</v>
      </c>
      <c r="EV200" s="9">
        <v>-0.6</v>
      </c>
      <c r="EW200" s="9">
        <v>-1.3</v>
      </c>
      <c r="EX200" s="9">
        <v>0.1</v>
      </c>
      <c r="EY200" s="9">
        <v>1.3</v>
      </c>
      <c r="EZ200" s="9">
        <v>2.5</v>
      </c>
      <c r="FA200" s="9">
        <v>0.7</v>
      </c>
      <c r="FB200" s="9">
        <v>-0.3</v>
      </c>
      <c r="FC200" s="9">
        <v>-1.4</v>
      </c>
      <c r="FD200" s="9">
        <v>1.3</v>
      </c>
      <c r="FE200" s="9">
        <v>1.2</v>
      </c>
      <c r="FF200" s="9">
        <v>-0.1</v>
      </c>
      <c r="FG200" s="9">
        <v>2.7</v>
      </c>
      <c r="FH200" s="9">
        <v>-0.1</v>
      </c>
      <c r="FI200" s="9">
        <v>0.3</v>
      </c>
      <c r="FJ200" s="9">
        <v>0.5</v>
      </c>
      <c r="FK200" s="9">
        <v>0.1</v>
      </c>
      <c r="FL200" s="9">
        <v>2.6</v>
      </c>
      <c r="FM200" s="9">
        <v>0.9</v>
      </c>
      <c r="FN200" s="9">
        <v>0.4</v>
      </c>
      <c r="FO200" s="9">
        <v>1.8</v>
      </c>
      <c r="FP200" s="9">
        <v>0.7</v>
      </c>
      <c r="FQ200" s="9">
        <v>5</v>
      </c>
      <c r="FR200" s="9">
        <v>5</v>
      </c>
      <c r="FS200" s="9">
        <v>0.4</v>
      </c>
      <c r="FT200" s="9">
        <v>-0.2</v>
      </c>
      <c r="FU200" s="9">
        <v>0.3</v>
      </c>
      <c r="FV200" s="9">
        <v>-0.6</v>
      </c>
      <c r="FW200" s="9">
        <v>0.3</v>
      </c>
      <c r="FX200" s="9">
        <v>1.7</v>
      </c>
      <c r="FY200" s="9">
        <v>0.3</v>
      </c>
      <c r="FZ200" s="9">
        <v>2.1</v>
      </c>
      <c r="GA200" s="9">
        <v>2.8</v>
      </c>
      <c r="GD200" s="9">
        <v>2.2999999999999998</v>
      </c>
      <c r="GE200" s="9">
        <v>0.7</v>
      </c>
      <c r="GF200" s="9">
        <v>0.6</v>
      </c>
      <c r="GG200" s="9">
        <v>0.6</v>
      </c>
      <c r="GK200" s="9">
        <v>1.4</v>
      </c>
      <c r="GM200" s="9">
        <v>0</v>
      </c>
      <c r="GO200" s="9">
        <v>0</v>
      </c>
      <c r="GP200" s="9">
        <v>0</v>
      </c>
      <c r="GQ200" s="9">
        <v>0.5</v>
      </c>
      <c r="GR200" s="9">
        <v>1.1000000000000001</v>
      </c>
      <c r="GS200" s="9">
        <v>1.4</v>
      </c>
      <c r="GT200" s="9">
        <v>-0.1</v>
      </c>
      <c r="GU200" s="9">
        <v>2</v>
      </c>
      <c r="GV200" s="9">
        <v>2</v>
      </c>
      <c r="GW200" s="9">
        <v>-0.3</v>
      </c>
      <c r="GX200" s="9">
        <v>-0.3</v>
      </c>
      <c r="GY200" s="9">
        <v>-0.3</v>
      </c>
      <c r="GZ200" s="9">
        <v>-1</v>
      </c>
      <c r="HA200" s="9">
        <v>0.9</v>
      </c>
      <c r="HB200" s="9">
        <v>-0.2</v>
      </c>
      <c r="HC200" s="9">
        <v>1.4</v>
      </c>
      <c r="HD200" s="9">
        <v>0.9</v>
      </c>
      <c r="HE200" s="9">
        <v>-0.9</v>
      </c>
      <c r="HF200" s="9">
        <v>1.3</v>
      </c>
      <c r="HG200" s="9">
        <v>0.4</v>
      </c>
      <c r="HH200" s="9">
        <v>0.4</v>
      </c>
      <c r="HI200" s="9">
        <v>1.3</v>
      </c>
      <c r="HJ200" s="9">
        <v>1.5</v>
      </c>
      <c r="HK200" s="9">
        <v>-2.8</v>
      </c>
      <c r="HL200" s="9">
        <v>-3.6</v>
      </c>
      <c r="HM200" s="9">
        <v>0.8</v>
      </c>
      <c r="HN200" s="9">
        <v>2.5</v>
      </c>
      <c r="HO200" s="9">
        <v>2.7</v>
      </c>
      <c r="HP200" s="9">
        <v>1.2</v>
      </c>
      <c r="HQ200" s="9">
        <v>0.2</v>
      </c>
      <c r="HR200" s="9">
        <v>0.2</v>
      </c>
      <c r="HS200" s="9">
        <v>0.1</v>
      </c>
      <c r="HT200" s="9">
        <v>-0.6</v>
      </c>
      <c r="HU200" s="9">
        <v>-1.4</v>
      </c>
      <c r="HV200" s="9">
        <v>1</v>
      </c>
      <c r="HW200" s="9">
        <v>0.9</v>
      </c>
      <c r="HX200" s="9">
        <v>0.2</v>
      </c>
      <c r="HY200" s="9">
        <v>0.1</v>
      </c>
      <c r="HZ200" s="9">
        <v>0</v>
      </c>
      <c r="IA200" s="9">
        <v>0</v>
      </c>
      <c r="IB200" s="9">
        <v>0</v>
      </c>
      <c r="IC200" s="9">
        <v>0</v>
      </c>
      <c r="ID200" s="9">
        <v>1.2</v>
      </c>
      <c r="IE200" s="9">
        <v>0.2</v>
      </c>
      <c r="IF200" s="9">
        <v>-1.9</v>
      </c>
      <c r="IG200" s="9">
        <v>0.2</v>
      </c>
      <c r="IH200" s="9">
        <v>1.4</v>
      </c>
      <c r="IK200" s="9">
        <v>3.5</v>
      </c>
      <c r="IL200" s="9">
        <v>6.2</v>
      </c>
      <c r="IM200" s="9">
        <v>0.2</v>
      </c>
      <c r="IN200" s="9">
        <v>0.2</v>
      </c>
      <c r="IQ200" s="9">
        <v>-0.1</v>
      </c>
    </row>
    <row r="201" spans="1:251" x14ac:dyDescent="0.2">
      <c r="A201" s="10">
        <v>35125</v>
      </c>
      <c r="B201" s="8">
        <v>46</v>
      </c>
      <c r="C201" s="8">
        <v>42.19</v>
      </c>
      <c r="D201" s="8">
        <v>46.62</v>
      </c>
      <c r="E201" s="8">
        <v>41.82</v>
      </c>
      <c r="F201" s="8">
        <v>46.21</v>
      </c>
      <c r="G201" s="8">
        <v>65.819999999999993</v>
      </c>
      <c r="H201" s="8">
        <v>56.84</v>
      </c>
      <c r="I201" s="8">
        <v>44.33</v>
      </c>
      <c r="J201" s="8">
        <v>36.35</v>
      </c>
      <c r="K201" s="8">
        <v>45.8</v>
      </c>
      <c r="L201" s="8">
        <v>30.74</v>
      </c>
      <c r="M201" s="8">
        <v>71.52</v>
      </c>
      <c r="N201" s="8">
        <v>37.58</v>
      </c>
      <c r="O201" s="8">
        <v>48.94</v>
      </c>
      <c r="P201" s="8">
        <v>47.71</v>
      </c>
      <c r="Q201" s="8">
        <v>51.63</v>
      </c>
      <c r="R201" s="8">
        <v>41.72</v>
      </c>
      <c r="S201" s="8">
        <v>47.51</v>
      </c>
      <c r="T201" s="8">
        <v>37.72</v>
      </c>
      <c r="U201" s="8">
        <v>39.840000000000003</v>
      </c>
      <c r="V201" s="8">
        <v>36.06</v>
      </c>
      <c r="W201" s="8">
        <v>44.71</v>
      </c>
      <c r="X201" s="8">
        <v>40.049999999999997</v>
      </c>
      <c r="Y201" s="8">
        <v>49.72</v>
      </c>
      <c r="Z201" s="8">
        <v>58.27</v>
      </c>
      <c r="AA201" s="8">
        <v>34.450000000000003</v>
      </c>
      <c r="AB201" s="8">
        <v>42.25</v>
      </c>
      <c r="AC201" s="8">
        <v>56.44</v>
      </c>
      <c r="AD201" s="8">
        <v>48.87</v>
      </c>
      <c r="AE201" s="8">
        <v>54.31</v>
      </c>
      <c r="AF201" s="8">
        <v>47.32</v>
      </c>
      <c r="AG201" s="8">
        <v>37.93</v>
      </c>
      <c r="AH201" s="8">
        <v>39.520000000000003</v>
      </c>
      <c r="AI201" s="8">
        <v>36.22</v>
      </c>
      <c r="AJ201" s="8">
        <v>23.15</v>
      </c>
      <c r="AK201" s="8">
        <v>45.74</v>
      </c>
      <c r="AL201" s="8">
        <v>38.799999999999997</v>
      </c>
      <c r="AM201" s="8">
        <v>71.45</v>
      </c>
      <c r="AN201" s="8">
        <v>35.39</v>
      </c>
      <c r="AO201" s="8">
        <v>7.63</v>
      </c>
      <c r="AP201" s="8">
        <v>7.63</v>
      </c>
      <c r="AQ201" s="8">
        <v>96.26</v>
      </c>
      <c r="AR201" s="8">
        <v>112.96</v>
      </c>
      <c r="AS201" s="8">
        <v>111.38</v>
      </c>
      <c r="AT201" s="8">
        <v>118.77</v>
      </c>
      <c r="AU201" s="8">
        <v>96.83</v>
      </c>
      <c r="AV201" s="8">
        <v>109.63</v>
      </c>
      <c r="AW201" s="8">
        <v>113.65</v>
      </c>
      <c r="AX201" s="8">
        <v>111</v>
      </c>
      <c r="AY201" s="8">
        <v>99.05</v>
      </c>
      <c r="BB201" s="8">
        <v>37.590000000000003</v>
      </c>
      <c r="BC201" s="8">
        <v>39.08</v>
      </c>
      <c r="BD201" s="8">
        <v>40.880000000000003</v>
      </c>
      <c r="BE201" s="8">
        <v>40.880000000000003</v>
      </c>
      <c r="BI201" s="8">
        <v>41.62</v>
      </c>
      <c r="BK201" s="8">
        <v>26.96</v>
      </c>
      <c r="BM201" s="8">
        <v>28.34</v>
      </c>
      <c r="BN201" s="8">
        <v>21.54</v>
      </c>
      <c r="BO201" s="8">
        <v>69.78</v>
      </c>
      <c r="BP201" s="8">
        <v>67.31</v>
      </c>
      <c r="BQ201" s="8">
        <v>73.510000000000005</v>
      </c>
      <c r="BR201" s="8">
        <v>47.57</v>
      </c>
      <c r="BS201" s="8">
        <v>122.35</v>
      </c>
      <c r="BT201" s="8">
        <v>122.35</v>
      </c>
      <c r="BU201" s="8">
        <v>104.8</v>
      </c>
      <c r="BV201" s="8">
        <v>106.08</v>
      </c>
      <c r="BW201" s="8">
        <v>121</v>
      </c>
      <c r="BX201" s="8">
        <v>123.82</v>
      </c>
      <c r="BY201" s="8">
        <v>75.27</v>
      </c>
      <c r="BZ201" s="8">
        <v>73.69</v>
      </c>
      <c r="CA201" s="8">
        <v>77.53</v>
      </c>
      <c r="CB201" s="8">
        <v>88.89</v>
      </c>
      <c r="CC201" s="8">
        <v>60.09</v>
      </c>
      <c r="CD201" s="8">
        <v>34.31</v>
      </c>
      <c r="CE201" s="8">
        <v>38.46</v>
      </c>
      <c r="CF201" s="8">
        <v>36.93</v>
      </c>
      <c r="CG201" s="8">
        <v>30.48</v>
      </c>
      <c r="CH201" s="8">
        <v>31.54</v>
      </c>
      <c r="CI201" s="8">
        <v>66.489999999999995</v>
      </c>
      <c r="CJ201" s="8">
        <v>65.88</v>
      </c>
      <c r="CK201" s="8">
        <v>71.430000000000007</v>
      </c>
      <c r="CL201" s="8">
        <v>25.64</v>
      </c>
      <c r="CM201" s="8">
        <v>24.43</v>
      </c>
      <c r="CN201" s="8">
        <v>35.450000000000003</v>
      </c>
      <c r="CO201" s="8">
        <v>53.83</v>
      </c>
      <c r="CP201" s="8">
        <v>54.8</v>
      </c>
      <c r="CQ201" s="8">
        <v>117.32</v>
      </c>
      <c r="CR201" s="8">
        <v>51.99</v>
      </c>
      <c r="CS201" s="8">
        <v>36.69</v>
      </c>
      <c r="CT201" s="8">
        <v>46.88</v>
      </c>
      <c r="CU201" s="8">
        <v>32.32</v>
      </c>
      <c r="CV201" s="8">
        <v>43.97</v>
      </c>
      <c r="CW201" s="8">
        <v>43.97</v>
      </c>
      <c r="CX201" s="8">
        <v>117.4</v>
      </c>
      <c r="CY201" s="8">
        <v>117.4</v>
      </c>
      <c r="CZ201" s="8">
        <v>37.130000000000003</v>
      </c>
      <c r="DA201" s="8">
        <v>124.43</v>
      </c>
      <c r="DB201" s="8">
        <v>66.77</v>
      </c>
      <c r="DC201" s="8">
        <v>335.84</v>
      </c>
      <c r="DD201" s="8">
        <v>1553.14</v>
      </c>
      <c r="DE201" s="8">
        <v>88.76</v>
      </c>
      <c r="DF201" s="8">
        <v>49.43</v>
      </c>
      <c r="DI201" s="8">
        <v>46.36</v>
      </c>
      <c r="DJ201" s="8">
        <v>41.66</v>
      </c>
      <c r="DK201" s="8">
        <v>46.07</v>
      </c>
      <c r="DL201" s="8">
        <v>47.4</v>
      </c>
      <c r="DO201" s="8">
        <v>44.81</v>
      </c>
      <c r="DP201" s="8">
        <v>30.01</v>
      </c>
      <c r="DS201" s="8">
        <v>25.74</v>
      </c>
      <c r="DT201" s="8">
        <v>25.74</v>
      </c>
      <c r="DY201" s="8">
        <v>19.37</v>
      </c>
      <c r="DZ201" s="8">
        <v>19.37</v>
      </c>
      <c r="ED201" s="9">
        <v>0.4</v>
      </c>
      <c r="EE201" s="9">
        <v>0.2</v>
      </c>
      <c r="EF201" s="9">
        <v>-0.1</v>
      </c>
      <c r="EG201" s="9">
        <v>0.5</v>
      </c>
      <c r="EH201" s="9">
        <v>-0.9</v>
      </c>
      <c r="EI201" s="9">
        <v>0.7</v>
      </c>
      <c r="EJ201" s="9">
        <v>0.4</v>
      </c>
      <c r="EK201" s="9">
        <v>1.7</v>
      </c>
      <c r="EL201" s="9">
        <v>-0.4</v>
      </c>
      <c r="EM201" s="9">
        <v>1</v>
      </c>
      <c r="EN201" s="9">
        <v>8.9</v>
      </c>
      <c r="EO201" s="9">
        <v>1.2</v>
      </c>
      <c r="EP201" s="9">
        <v>1.2</v>
      </c>
      <c r="EQ201" s="9">
        <v>-0.4</v>
      </c>
      <c r="ER201" s="9">
        <v>1.2</v>
      </c>
      <c r="ES201" s="9">
        <v>1.7</v>
      </c>
      <c r="ET201" s="9">
        <v>0.5</v>
      </c>
      <c r="EU201" s="9">
        <v>1</v>
      </c>
      <c r="EV201" s="9">
        <v>-3.2</v>
      </c>
      <c r="EW201" s="9">
        <v>3.2</v>
      </c>
      <c r="EX201" s="9">
        <v>-8.4</v>
      </c>
      <c r="EY201" s="9">
        <v>0.5</v>
      </c>
      <c r="EZ201" s="9">
        <v>1.1000000000000001</v>
      </c>
      <c r="FA201" s="9">
        <v>1.1000000000000001</v>
      </c>
      <c r="FB201" s="9">
        <v>-0.4</v>
      </c>
      <c r="FC201" s="9">
        <v>1.7</v>
      </c>
      <c r="FD201" s="9">
        <v>0.5</v>
      </c>
      <c r="FE201" s="9">
        <v>0.4</v>
      </c>
      <c r="FF201" s="9">
        <v>0.7</v>
      </c>
      <c r="FG201" s="9">
        <v>-2.8</v>
      </c>
      <c r="FH201" s="9">
        <v>0.7</v>
      </c>
      <c r="FI201" s="9">
        <v>0.3</v>
      </c>
      <c r="FJ201" s="9">
        <v>0.6</v>
      </c>
      <c r="FK201" s="9">
        <v>0.2</v>
      </c>
      <c r="FL201" s="9">
        <v>1.6</v>
      </c>
      <c r="FM201" s="9">
        <v>1.5</v>
      </c>
      <c r="FN201" s="9">
        <v>1</v>
      </c>
      <c r="FO201" s="9">
        <v>1.9</v>
      </c>
      <c r="FP201" s="9">
        <v>1.5</v>
      </c>
      <c r="FQ201" s="9">
        <v>1.9</v>
      </c>
      <c r="FR201" s="9">
        <v>1.9</v>
      </c>
      <c r="FS201" s="9">
        <v>-0.3</v>
      </c>
      <c r="FT201" s="9">
        <v>-0.1</v>
      </c>
      <c r="FU201" s="9">
        <v>-0.2</v>
      </c>
      <c r="FV201" s="9">
        <v>-0.1</v>
      </c>
      <c r="FW201" s="9">
        <v>0.2</v>
      </c>
      <c r="FX201" s="9">
        <v>-1.4</v>
      </c>
      <c r="FY201" s="9">
        <v>-2.5</v>
      </c>
      <c r="FZ201" s="9">
        <v>-1.1000000000000001</v>
      </c>
      <c r="GA201" s="9">
        <v>-0.4</v>
      </c>
      <c r="GD201" s="9">
        <v>0.3</v>
      </c>
      <c r="GE201" s="9">
        <v>-0.4</v>
      </c>
      <c r="GF201" s="9">
        <v>0.8</v>
      </c>
      <c r="GG201" s="9">
        <v>0.8</v>
      </c>
      <c r="GK201" s="9">
        <v>-0.5</v>
      </c>
      <c r="GM201" s="9">
        <v>0.1</v>
      </c>
      <c r="GO201" s="9">
        <v>0</v>
      </c>
      <c r="GP201" s="9">
        <v>0.3</v>
      </c>
      <c r="GQ201" s="9">
        <v>0</v>
      </c>
      <c r="GR201" s="9">
        <v>-0.8</v>
      </c>
      <c r="GS201" s="9">
        <v>-1</v>
      </c>
      <c r="GT201" s="9">
        <v>0.3</v>
      </c>
      <c r="GU201" s="9">
        <v>0.9</v>
      </c>
      <c r="GV201" s="9">
        <v>0.9</v>
      </c>
      <c r="GW201" s="9">
        <v>0.2</v>
      </c>
      <c r="GX201" s="9">
        <v>0.3</v>
      </c>
      <c r="GY201" s="9">
        <v>0.3</v>
      </c>
      <c r="GZ201" s="9">
        <v>0.3</v>
      </c>
      <c r="HA201" s="9">
        <v>-0.5</v>
      </c>
      <c r="HB201" s="9">
        <v>0.9</v>
      </c>
      <c r="HC201" s="9">
        <v>1.6</v>
      </c>
      <c r="HD201" s="9">
        <v>0.5</v>
      </c>
      <c r="HE201" s="9">
        <v>-0.1</v>
      </c>
      <c r="HF201" s="9">
        <v>0.7</v>
      </c>
      <c r="HG201" s="9">
        <v>4.3</v>
      </c>
      <c r="HH201" s="9">
        <v>1.7</v>
      </c>
      <c r="HI201" s="9">
        <v>0.7</v>
      </c>
      <c r="HJ201" s="9">
        <v>2.4</v>
      </c>
      <c r="HK201" s="9">
        <v>8</v>
      </c>
      <c r="HL201" s="9">
        <v>9.8000000000000007</v>
      </c>
      <c r="HM201" s="9">
        <v>0.6</v>
      </c>
      <c r="HN201" s="9">
        <v>1.1000000000000001</v>
      </c>
      <c r="HO201" s="9">
        <v>1</v>
      </c>
      <c r="HP201" s="9">
        <v>1.2</v>
      </c>
      <c r="HQ201" s="9">
        <v>0.1</v>
      </c>
      <c r="HR201" s="9">
        <v>0.2</v>
      </c>
      <c r="HS201" s="9">
        <v>-0.2</v>
      </c>
      <c r="HT201" s="9">
        <v>-0.7</v>
      </c>
      <c r="HU201" s="9">
        <v>-0.5</v>
      </c>
      <c r="HV201" s="9">
        <v>0.4</v>
      </c>
      <c r="HW201" s="9">
        <v>0.7</v>
      </c>
      <c r="HX201" s="9">
        <v>0.3</v>
      </c>
      <c r="HY201" s="9">
        <v>0.3</v>
      </c>
      <c r="HZ201" s="9">
        <v>-0.9</v>
      </c>
      <c r="IA201" s="9">
        <v>-0.9</v>
      </c>
      <c r="IB201" s="9">
        <v>0</v>
      </c>
      <c r="IC201" s="9">
        <v>-1</v>
      </c>
      <c r="ID201" s="9">
        <v>0.7</v>
      </c>
      <c r="IE201" s="9">
        <v>0.8</v>
      </c>
      <c r="IF201" s="9">
        <v>-1.2</v>
      </c>
      <c r="IG201" s="9">
        <v>0.8</v>
      </c>
      <c r="IH201" s="9">
        <v>1.1000000000000001</v>
      </c>
      <c r="IK201" s="9">
        <v>0.5</v>
      </c>
      <c r="IL201" s="9">
        <v>0.7</v>
      </c>
      <c r="IM201" s="9">
        <v>0.1</v>
      </c>
      <c r="IN201" s="9">
        <v>1.7</v>
      </c>
      <c r="IQ201" s="9">
        <v>2.2000000000000002</v>
      </c>
    </row>
    <row r="202" spans="1:251" x14ac:dyDescent="0.2">
      <c r="A202" s="10">
        <v>35217</v>
      </c>
      <c r="B202" s="8">
        <v>46.31</v>
      </c>
      <c r="C202" s="8">
        <v>42.63</v>
      </c>
      <c r="D202" s="8">
        <v>47.51</v>
      </c>
      <c r="E202" s="8">
        <v>43.2</v>
      </c>
      <c r="F202" s="8">
        <v>46.55</v>
      </c>
      <c r="G202" s="8">
        <v>65.930000000000007</v>
      </c>
      <c r="H202" s="8">
        <v>57.37</v>
      </c>
      <c r="I202" s="8">
        <v>44.7</v>
      </c>
      <c r="J202" s="8">
        <v>35.909999999999997</v>
      </c>
      <c r="K202" s="8">
        <v>46.86</v>
      </c>
      <c r="L202" s="8">
        <v>30.77</v>
      </c>
      <c r="M202" s="8">
        <v>72.84</v>
      </c>
      <c r="N202" s="8">
        <v>38.619999999999997</v>
      </c>
      <c r="O202" s="8">
        <v>48.56</v>
      </c>
      <c r="P202" s="8">
        <v>48.36</v>
      </c>
      <c r="Q202" s="8">
        <v>52.04</v>
      </c>
      <c r="R202" s="8">
        <v>42.43</v>
      </c>
      <c r="S202" s="8">
        <v>48.87</v>
      </c>
      <c r="T202" s="8">
        <v>37.64</v>
      </c>
      <c r="U202" s="8">
        <v>39.380000000000003</v>
      </c>
      <c r="V202" s="8">
        <v>36.299999999999997</v>
      </c>
      <c r="W202" s="8">
        <v>45.06</v>
      </c>
      <c r="X202" s="8">
        <v>41.59</v>
      </c>
      <c r="Y202" s="8">
        <v>50.51</v>
      </c>
      <c r="Z202" s="8">
        <v>57.75</v>
      </c>
      <c r="AA202" s="8">
        <v>33.94</v>
      </c>
      <c r="AB202" s="8">
        <v>42.58</v>
      </c>
      <c r="AC202" s="8">
        <v>57.84</v>
      </c>
      <c r="AD202" s="8">
        <v>49.11</v>
      </c>
      <c r="AE202" s="8">
        <v>54.4</v>
      </c>
      <c r="AF202" s="8">
        <v>47.55</v>
      </c>
      <c r="AG202" s="8">
        <v>38.479999999999997</v>
      </c>
      <c r="AH202" s="8">
        <v>39.79</v>
      </c>
      <c r="AI202" s="8">
        <v>36.9</v>
      </c>
      <c r="AJ202" s="8">
        <v>23.44</v>
      </c>
      <c r="AK202" s="8">
        <v>46.52</v>
      </c>
      <c r="AL202" s="8">
        <v>39.46</v>
      </c>
      <c r="AM202" s="8">
        <v>72.84</v>
      </c>
      <c r="AN202" s="8">
        <v>35.96</v>
      </c>
      <c r="AO202" s="8">
        <v>7.68</v>
      </c>
      <c r="AP202" s="8">
        <v>7.68</v>
      </c>
      <c r="AQ202" s="8">
        <v>96.8</v>
      </c>
      <c r="AR202" s="8">
        <v>113.38</v>
      </c>
      <c r="AS202" s="8">
        <v>112.29</v>
      </c>
      <c r="AT202" s="8">
        <v>118.77</v>
      </c>
      <c r="AU202" s="8">
        <v>97.8</v>
      </c>
      <c r="AV202" s="8">
        <v>111.75</v>
      </c>
      <c r="AW202" s="8">
        <v>115.43</v>
      </c>
      <c r="AX202" s="8">
        <v>114.2</v>
      </c>
      <c r="AY202" s="8">
        <v>99.86</v>
      </c>
      <c r="BB202" s="8">
        <v>37.950000000000003</v>
      </c>
      <c r="BC202" s="8">
        <v>39.299999999999997</v>
      </c>
      <c r="BD202" s="8">
        <v>41.21</v>
      </c>
      <c r="BE202" s="8">
        <v>41.21</v>
      </c>
      <c r="BI202" s="8">
        <v>41.87</v>
      </c>
      <c r="BK202" s="8">
        <v>26.96</v>
      </c>
      <c r="BM202" s="8">
        <v>28.34</v>
      </c>
      <c r="BN202" s="8">
        <v>21.55</v>
      </c>
      <c r="BO202" s="8">
        <v>70.349999999999994</v>
      </c>
      <c r="BP202" s="8">
        <v>68.540000000000006</v>
      </c>
      <c r="BQ202" s="8">
        <v>75.02</v>
      </c>
      <c r="BR202" s="8">
        <v>47.97</v>
      </c>
      <c r="BS202" s="8">
        <v>121.82</v>
      </c>
      <c r="BT202" s="8">
        <v>121.82</v>
      </c>
      <c r="BU202" s="8">
        <v>105.48</v>
      </c>
      <c r="BV202" s="8">
        <v>107.16</v>
      </c>
      <c r="BW202" s="8">
        <v>122.23</v>
      </c>
      <c r="BX202" s="8">
        <v>123.35</v>
      </c>
      <c r="BY202" s="8">
        <v>76.03</v>
      </c>
      <c r="BZ202" s="8">
        <v>73.75</v>
      </c>
      <c r="CA202" s="8">
        <v>78.430000000000007</v>
      </c>
      <c r="CB202" s="8">
        <v>89.47</v>
      </c>
      <c r="CC202" s="8">
        <v>60.14</v>
      </c>
      <c r="CD202" s="8">
        <v>34.76</v>
      </c>
      <c r="CE202" s="8">
        <v>38.78</v>
      </c>
      <c r="CF202" s="8">
        <v>36.96</v>
      </c>
      <c r="CG202" s="8">
        <v>30.88</v>
      </c>
      <c r="CH202" s="8">
        <v>31.56</v>
      </c>
      <c r="CI202" s="8">
        <v>66.39</v>
      </c>
      <c r="CJ202" s="8">
        <v>66.040000000000006</v>
      </c>
      <c r="CK202" s="8">
        <v>69.87</v>
      </c>
      <c r="CL202" s="8">
        <v>25.67</v>
      </c>
      <c r="CM202" s="8">
        <v>24.4</v>
      </c>
      <c r="CN202" s="8">
        <v>35.950000000000003</v>
      </c>
      <c r="CO202" s="8">
        <v>54.45</v>
      </c>
      <c r="CP202" s="8">
        <v>55.47</v>
      </c>
      <c r="CQ202" s="8">
        <v>117.32</v>
      </c>
      <c r="CR202" s="8">
        <v>51.7</v>
      </c>
      <c r="CS202" s="8">
        <v>37.82</v>
      </c>
      <c r="CT202" s="8">
        <v>47.4</v>
      </c>
      <c r="CU202" s="8">
        <v>32.53</v>
      </c>
      <c r="CV202" s="8">
        <v>44.25</v>
      </c>
      <c r="CW202" s="8">
        <v>44.25</v>
      </c>
      <c r="CX202" s="8">
        <v>117.29</v>
      </c>
      <c r="CY202" s="8">
        <v>117.29</v>
      </c>
      <c r="CZ202" s="8">
        <v>37.130000000000003</v>
      </c>
      <c r="DA202" s="8">
        <v>124.43</v>
      </c>
      <c r="DB202" s="8">
        <v>66.069999999999993</v>
      </c>
      <c r="DC202" s="8">
        <v>335.22</v>
      </c>
      <c r="DD202" s="8">
        <v>1519.5</v>
      </c>
      <c r="DE202" s="8">
        <v>88.6</v>
      </c>
      <c r="DF202" s="8">
        <v>50.25</v>
      </c>
      <c r="DI202" s="8">
        <v>44.75</v>
      </c>
      <c r="DJ202" s="8">
        <v>38.99</v>
      </c>
      <c r="DK202" s="8">
        <v>46.25</v>
      </c>
      <c r="DL202" s="8">
        <v>47.21</v>
      </c>
      <c r="DO202" s="8">
        <v>44.27</v>
      </c>
      <c r="DP202" s="8">
        <v>30.18</v>
      </c>
      <c r="DS202" s="8">
        <v>25.74</v>
      </c>
      <c r="DT202" s="8">
        <v>25.74</v>
      </c>
      <c r="DY202" s="8">
        <v>19.5</v>
      </c>
      <c r="DZ202" s="8">
        <v>19.5</v>
      </c>
      <c r="ED202" s="9">
        <v>0.7</v>
      </c>
      <c r="EE202" s="9">
        <v>1</v>
      </c>
      <c r="EF202" s="9">
        <v>1.9</v>
      </c>
      <c r="EG202" s="9">
        <v>3.3</v>
      </c>
      <c r="EH202" s="9">
        <v>0.7</v>
      </c>
      <c r="EI202" s="9">
        <v>0.2</v>
      </c>
      <c r="EJ202" s="9">
        <v>0.9</v>
      </c>
      <c r="EK202" s="9">
        <v>0.8</v>
      </c>
      <c r="EL202" s="9">
        <v>-1.2</v>
      </c>
      <c r="EM202" s="9">
        <v>2.2999999999999998</v>
      </c>
      <c r="EN202" s="9">
        <v>0.1</v>
      </c>
      <c r="EO202" s="9">
        <v>1.8</v>
      </c>
      <c r="EP202" s="9">
        <v>2.8</v>
      </c>
      <c r="EQ202" s="9">
        <v>-0.8</v>
      </c>
      <c r="ER202" s="9">
        <v>1.4</v>
      </c>
      <c r="ES202" s="9">
        <v>0.8</v>
      </c>
      <c r="ET202" s="9">
        <v>1.7</v>
      </c>
      <c r="EU202" s="9">
        <v>2.9</v>
      </c>
      <c r="EV202" s="9">
        <v>-0.2</v>
      </c>
      <c r="EW202" s="9">
        <v>-1.2</v>
      </c>
      <c r="EX202" s="9">
        <v>0.7</v>
      </c>
      <c r="EY202" s="9">
        <v>0.8</v>
      </c>
      <c r="EZ202" s="9">
        <v>3.8</v>
      </c>
      <c r="FA202" s="9">
        <v>1.6</v>
      </c>
      <c r="FB202" s="9">
        <v>-0.9</v>
      </c>
      <c r="FC202" s="9">
        <v>-1.5</v>
      </c>
      <c r="FD202" s="9">
        <v>0.8</v>
      </c>
      <c r="FE202" s="9">
        <v>2.5</v>
      </c>
      <c r="FF202" s="9">
        <v>0.5</v>
      </c>
      <c r="FG202" s="9">
        <v>0.2</v>
      </c>
      <c r="FH202" s="9">
        <v>0.5</v>
      </c>
      <c r="FI202" s="9">
        <v>1.5</v>
      </c>
      <c r="FJ202" s="9">
        <v>0.7</v>
      </c>
      <c r="FK202" s="9">
        <v>1.9</v>
      </c>
      <c r="FL202" s="9">
        <v>1.3</v>
      </c>
      <c r="FM202" s="9">
        <v>1.7</v>
      </c>
      <c r="FN202" s="9">
        <v>1.7</v>
      </c>
      <c r="FO202" s="9">
        <v>1.9</v>
      </c>
      <c r="FP202" s="9">
        <v>1.6</v>
      </c>
      <c r="FQ202" s="9">
        <v>0.7</v>
      </c>
      <c r="FR202" s="9">
        <v>0.7</v>
      </c>
      <c r="FS202" s="9">
        <v>0.6</v>
      </c>
      <c r="FT202" s="9">
        <v>0.4</v>
      </c>
      <c r="FU202" s="9">
        <v>0.8</v>
      </c>
      <c r="FV202" s="9">
        <v>0</v>
      </c>
      <c r="FW202" s="9">
        <v>1</v>
      </c>
      <c r="FX202" s="9">
        <v>1.9</v>
      </c>
      <c r="FY202" s="9">
        <v>1.6</v>
      </c>
      <c r="FZ202" s="9">
        <v>2.9</v>
      </c>
      <c r="GA202" s="9">
        <v>0.8</v>
      </c>
      <c r="GD202" s="9">
        <v>1</v>
      </c>
      <c r="GE202" s="9">
        <v>0.6</v>
      </c>
      <c r="GF202" s="9">
        <v>0.8</v>
      </c>
      <c r="GG202" s="9">
        <v>0.8</v>
      </c>
      <c r="GK202" s="9">
        <v>0.6</v>
      </c>
      <c r="GM202" s="9">
        <v>0</v>
      </c>
      <c r="GO202" s="9">
        <v>0</v>
      </c>
      <c r="GP202" s="9">
        <v>0</v>
      </c>
      <c r="GQ202" s="9">
        <v>0.8</v>
      </c>
      <c r="GR202" s="9">
        <v>1.8</v>
      </c>
      <c r="GS202" s="9">
        <v>2.1</v>
      </c>
      <c r="GT202" s="9">
        <v>0.8</v>
      </c>
      <c r="GU202" s="9">
        <v>-0.4</v>
      </c>
      <c r="GV202" s="9">
        <v>-0.4</v>
      </c>
      <c r="GW202" s="9">
        <v>0.6</v>
      </c>
      <c r="GX202" s="9">
        <v>1</v>
      </c>
      <c r="GY202" s="9">
        <v>1</v>
      </c>
      <c r="GZ202" s="9">
        <v>-0.4</v>
      </c>
      <c r="HA202" s="9">
        <v>1</v>
      </c>
      <c r="HB202" s="9">
        <v>0.1</v>
      </c>
      <c r="HC202" s="9">
        <v>1.2</v>
      </c>
      <c r="HD202" s="9">
        <v>0.7</v>
      </c>
      <c r="HE202" s="9">
        <v>0.1</v>
      </c>
      <c r="HF202" s="9">
        <v>1.3</v>
      </c>
      <c r="HG202" s="9">
        <v>0.8</v>
      </c>
      <c r="HH202" s="9">
        <v>0.1</v>
      </c>
      <c r="HI202" s="9">
        <v>1.3</v>
      </c>
      <c r="HJ202" s="9">
        <v>0.1</v>
      </c>
      <c r="HK202" s="9">
        <v>-0.2</v>
      </c>
      <c r="HL202" s="9">
        <v>0.2</v>
      </c>
      <c r="HM202" s="9">
        <v>-2.2000000000000002</v>
      </c>
      <c r="HN202" s="9">
        <v>0.1</v>
      </c>
      <c r="HO202" s="9">
        <v>-0.1</v>
      </c>
      <c r="HP202" s="9">
        <v>1.4</v>
      </c>
      <c r="HQ202" s="9">
        <v>1.2</v>
      </c>
      <c r="HR202" s="9">
        <v>1.2</v>
      </c>
      <c r="HS202" s="9">
        <v>0</v>
      </c>
      <c r="HT202" s="9">
        <v>-0.6</v>
      </c>
      <c r="HU202" s="9">
        <v>3.1</v>
      </c>
      <c r="HV202" s="9">
        <v>1.1000000000000001</v>
      </c>
      <c r="HW202" s="9">
        <v>0.6</v>
      </c>
      <c r="HX202" s="9">
        <v>0.6</v>
      </c>
      <c r="HY202" s="9">
        <v>0.6</v>
      </c>
      <c r="HZ202" s="9">
        <v>-0.1</v>
      </c>
      <c r="IA202" s="9">
        <v>-0.1</v>
      </c>
      <c r="IB202" s="9">
        <v>0</v>
      </c>
      <c r="IC202" s="9">
        <v>0</v>
      </c>
      <c r="ID202" s="9">
        <v>-1</v>
      </c>
      <c r="IE202" s="9">
        <v>-0.2</v>
      </c>
      <c r="IF202" s="9">
        <v>-2.2000000000000002</v>
      </c>
      <c r="IG202" s="9">
        <v>-0.2</v>
      </c>
      <c r="IH202" s="9">
        <v>1.7</v>
      </c>
      <c r="IK202" s="9">
        <v>-3.5</v>
      </c>
      <c r="IL202" s="9">
        <v>-6.4</v>
      </c>
      <c r="IM202" s="9">
        <v>0.4</v>
      </c>
      <c r="IN202" s="9">
        <v>-0.4</v>
      </c>
      <c r="IQ202" s="9">
        <v>-1.2</v>
      </c>
    </row>
    <row r="203" spans="1:251" x14ac:dyDescent="0.2">
      <c r="A203" s="10">
        <v>35309</v>
      </c>
      <c r="B203" s="8">
        <v>46.43</v>
      </c>
      <c r="C203" s="8">
        <v>43.07</v>
      </c>
      <c r="D203" s="8">
        <v>48.39</v>
      </c>
      <c r="E203" s="8">
        <v>44.73</v>
      </c>
      <c r="F203" s="8">
        <v>46.89</v>
      </c>
      <c r="G203" s="8">
        <v>66.14</v>
      </c>
      <c r="H203" s="8">
        <v>57.65</v>
      </c>
      <c r="I203" s="8">
        <v>44.78</v>
      </c>
      <c r="J203" s="8">
        <v>35.229999999999997</v>
      </c>
      <c r="K203" s="8">
        <v>47.49</v>
      </c>
      <c r="L203" s="8">
        <v>30.94</v>
      </c>
      <c r="M203" s="8">
        <v>74.17</v>
      </c>
      <c r="N203" s="8">
        <v>38.93</v>
      </c>
      <c r="O203" s="8">
        <v>47.94</v>
      </c>
      <c r="P203" s="8">
        <v>48.82</v>
      </c>
      <c r="Q203" s="8">
        <v>52.88</v>
      </c>
      <c r="R203" s="8">
        <v>41.83</v>
      </c>
      <c r="S203" s="8">
        <v>49.53</v>
      </c>
      <c r="T203" s="8">
        <v>38.89</v>
      </c>
      <c r="U203" s="8">
        <v>42.75</v>
      </c>
      <c r="V203" s="8">
        <v>35.86</v>
      </c>
      <c r="W203" s="8">
        <v>45.51</v>
      </c>
      <c r="X203" s="8">
        <v>43.06</v>
      </c>
      <c r="Y203" s="8">
        <v>50.36</v>
      </c>
      <c r="Z203" s="8">
        <v>58.48</v>
      </c>
      <c r="AA203" s="8">
        <v>34.39</v>
      </c>
      <c r="AB203" s="8">
        <v>43.03</v>
      </c>
      <c r="AC203" s="8">
        <v>57.5</v>
      </c>
      <c r="AD203" s="8">
        <v>49.59</v>
      </c>
      <c r="AE203" s="8">
        <v>55.08</v>
      </c>
      <c r="AF203" s="8">
        <v>48.02</v>
      </c>
      <c r="AG203" s="8">
        <v>38.58</v>
      </c>
      <c r="AH203" s="8">
        <v>39.99</v>
      </c>
      <c r="AI203" s="8">
        <v>36.97</v>
      </c>
      <c r="AJ203" s="8">
        <v>23.53</v>
      </c>
      <c r="AK203" s="8">
        <v>46.59</v>
      </c>
      <c r="AL203" s="8">
        <v>39.85</v>
      </c>
      <c r="AM203" s="8">
        <v>72.319999999999993</v>
      </c>
      <c r="AN203" s="8">
        <v>36.020000000000003</v>
      </c>
      <c r="AO203" s="8">
        <v>7.73</v>
      </c>
      <c r="AP203" s="8">
        <v>7.73</v>
      </c>
      <c r="AQ203" s="8">
        <v>96.62</v>
      </c>
      <c r="AR203" s="8">
        <v>113.38</v>
      </c>
      <c r="AS203" s="8">
        <v>111.48</v>
      </c>
      <c r="AT203" s="8">
        <v>118.99</v>
      </c>
      <c r="AU203" s="8">
        <v>98.16</v>
      </c>
      <c r="AV203" s="8">
        <v>109.86</v>
      </c>
      <c r="AW203" s="8">
        <v>114.37</v>
      </c>
      <c r="AX203" s="8">
        <v>112.76</v>
      </c>
      <c r="AY203" s="8">
        <v>96.31</v>
      </c>
      <c r="BB203" s="8">
        <v>38.18</v>
      </c>
      <c r="BC203" s="8">
        <v>39.22</v>
      </c>
      <c r="BD203" s="8">
        <v>41.54</v>
      </c>
      <c r="BE203" s="8">
        <v>41.54</v>
      </c>
      <c r="BI203" s="8">
        <v>42.4</v>
      </c>
      <c r="BK203" s="8">
        <v>27.3</v>
      </c>
      <c r="BM203" s="8">
        <v>28.7</v>
      </c>
      <c r="BN203" s="8">
        <v>21.85</v>
      </c>
      <c r="BO203" s="8">
        <v>70.72</v>
      </c>
      <c r="BP203" s="8">
        <v>68.13</v>
      </c>
      <c r="BQ203" s="8">
        <v>74.39</v>
      </c>
      <c r="BR203" s="8">
        <v>48.19</v>
      </c>
      <c r="BS203" s="8">
        <v>122.66</v>
      </c>
      <c r="BT203" s="8">
        <v>122.66</v>
      </c>
      <c r="BU203" s="8">
        <v>105.67</v>
      </c>
      <c r="BV203" s="8">
        <v>107.74</v>
      </c>
      <c r="BW203" s="8">
        <v>122.9</v>
      </c>
      <c r="BX203" s="8">
        <v>123.11</v>
      </c>
      <c r="BY203" s="8">
        <v>75.959999999999994</v>
      </c>
      <c r="BZ203" s="8">
        <v>75.37</v>
      </c>
      <c r="CA203" s="8">
        <v>79.650000000000006</v>
      </c>
      <c r="CB203" s="8">
        <v>89.89</v>
      </c>
      <c r="CC203" s="8">
        <v>61.23</v>
      </c>
      <c r="CD203" s="8">
        <v>34.93</v>
      </c>
      <c r="CE203" s="8">
        <v>38.880000000000003</v>
      </c>
      <c r="CF203" s="8">
        <v>37.11</v>
      </c>
      <c r="CG203" s="8">
        <v>31.03</v>
      </c>
      <c r="CH203" s="8">
        <v>31.87</v>
      </c>
      <c r="CI203" s="8">
        <v>66.39</v>
      </c>
      <c r="CJ203" s="8">
        <v>65.73</v>
      </c>
      <c r="CK203" s="8">
        <v>71.430000000000007</v>
      </c>
      <c r="CL203" s="8">
        <v>25.98</v>
      </c>
      <c r="CM203" s="8">
        <v>24.72</v>
      </c>
      <c r="CN203" s="8">
        <v>36.29</v>
      </c>
      <c r="CO203" s="8">
        <v>54.27</v>
      </c>
      <c r="CP203" s="8">
        <v>55.07</v>
      </c>
      <c r="CQ203" s="8">
        <v>115.1</v>
      </c>
      <c r="CR203" s="8">
        <v>52.04</v>
      </c>
      <c r="CS203" s="8">
        <v>37.04</v>
      </c>
      <c r="CT203" s="8">
        <v>47.64</v>
      </c>
      <c r="CU203" s="8">
        <v>33.28</v>
      </c>
      <c r="CV203" s="8">
        <v>45.7</v>
      </c>
      <c r="CW203" s="8">
        <v>45.71</v>
      </c>
      <c r="CX203" s="8">
        <v>117.29</v>
      </c>
      <c r="CY203" s="8">
        <v>117.29</v>
      </c>
      <c r="CZ203" s="8">
        <v>37.130000000000003</v>
      </c>
      <c r="DA203" s="8">
        <v>124.43</v>
      </c>
      <c r="DB203" s="8">
        <v>66.069999999999993</v>
      </c>
      <c r="DC203" s="8">
        <v>332.75</v>
      </c>
      <c r="DD203" s="8">
        <v>1504.55</v>
      </c>
      <c r="DE203" s="8">
        <v>87.94</v>
      </c>
      <c r="DF203" s="8">
        <v>50.32</v>
      </c>
      <c r="DI203" s="8">
        <v>44.45</v>
      </c>
      <c r="DJ203" s="8">
        <v>38.76</v>
      </c>
      <c r="DK203" s="8">
        <v>45.89</v>
      </c>
      <c r="DL203" s="8">
        <v>48.57</v>
      </c>
      <c r="DO203" s="8">
        <v>46.04</v>
      </c>
      <c r="DP203" s="8">
        <v>30.53</v>
      </c>
      <c r="DS203" s="8">
        <v>25.74</v>
      </c>
      <c r="DT203" s="8">
        <v>25.74</v>
      </c>
      <c r="DY203" s="8">
        <v>19.739999999999998</v>
      </c>
      <c r="DZ203" s="8">
        <v>19.739999999999998</v>
      </c>
      <c r="ED203" s="9">
        <v>0.3</v>
      </c>
      <c r="EE203" s="9">
        <v>1</v>
      </c>
      <c r="EF203" s="9">
        <v>1.9</v>
      </c>
      <c r="EG203" s="9">
        <v>3.5</v>
      </c>
      <c r="EH203" s="9">
        <v>0.7</v>
      </c>
      <c r="EI203" s="9">
        <v>0.3</v>
      </c>
      <c r="EJ203" s="9">
        <v>0.5</v>
      </c>
      <c r="EK203" s="9">
        <v>0.2</v>
      </c>
      <c r="EL203" s="9">
        <v>-1.9</v>
      </c>
      <c r="EM203" s="9">
        <v>1.3</v>
      </c>
      <c r="EN203" s="9">
        <v>0.6</v>
      </c>
      <c r="EO203" s="9">
        <v>1.8</v>
      </c>
      <c r="EP203" s="9">
        <v>0.8</v>
      </c>
      <c r="EQ203" s="9">
        <v>-1.3</v>
      </c>
      <c r="ER203" s="9">
        <v>1</v>
      </c>
      <c r="ES203" s="9">
        <v>1.6</v>
      </c>
      <c r="ET203" s="9">
        <v>-1.4</v>
      </c>
      <c r="EU203" s="9">
        <v>1.4</v>
      </c>
      <c r="EV203" s="9">
        <v>3.3</v>
      </c>
      <c r="EW203" s="9">
        <v>8.6</v>
      </c>
      <c r="EX203" s="9">
        <v>-1.2</v>
      </c>
      <c r="EY203" s="9">
        <v>1</v>
      </c>
      <c r="EZ203" s="9">
        <v>3.5</v>
      </c>
      <c r="FA203" s="9">
        <v>-0.3</v>
      </c>
      <c r="FB203" s="9">
        <v>1.3</v>
      </c>
      <c r="FC203" s="9">
        <v>1.3</v>
      </c>
      <c r="FD203" s="9">
        <v>1.1000000000000001</v>
      </c>
      <c r="FE203" s="9">
        <v>-0.6</v>
      </c>
      <c r="FF203" s="9">
        <v>1</v>
      </c>
      <c r="FG203" s="9">
        <v>1.3</v>
      </c>
      <c r="FH203" s="9">
        <v>1</v>
      </c>
      <c r="FI203" s="9">
        <v>0.3</v>
      </c>
      <c r="FJ203" s="9">
        <v>0.5</v>
      </c>
      <c r="FK203" s="9">
        <v>0.2</v>
      </c>
      <c r="FL203" s="9">
        <v>0.4</v>
      </c>
      <c r="FM203" s="9">
        <v>0.2</v>
      </c>
      <c r="FN203" s="9">
        <v>1</v>
      </c>
      <c r="FO203" s="9">
        <v>-0.7</v>
      </c>
      <c r="FP203" s="9">
        <v>0.2</v>
      </c>
      <c r="FQ203" s="9">
        <v>0.7</v>
      </c>
      <c r="FR203" s="9">
        <v>0.7</v>
      </c>
      <c r="FS203" s="9">
        <v>-0.2</v>
      </c>
      <c r="FT203" s="9">
        <v>0</v>
      </c>
      <c r="FU203" s="9">
        <v>-0.7</v>
      </c>
      <c r="FV203" s="9">
        <v>0.2</v>
      </c>
      <c r="FW203" s="9">
        <v>0.4</v>
      </c>
      <c r="FX203" s="9">
        <v>-1.7</v>
      </c>
      <c r="FY203" s="9">
        <v>-0.9</v>
      </c>
      <c r="FZ203" s="9">
        <v>-1.3</v>
      </c>
      <c r="GA203" s="9">
        <v>-3.6</v>
      </c>
      <c r="GD203" s="9">
        <v>0.6</v>
      </c>
      <c r="GE203" s="9">
        <v>-0.2</v>
      </c>
      <c r="GF203" s="9">
        <v>0.8</v>
      </c>
      <c r="GG203" s="9">
        <v>0.8</v>
      </c>
      <c r="GK203" s="9">
        <v>1.3</v>
      </c>
      <c r="GM203" s="9">
        <v>1.3</v>
      </c>
      <c r="GO203" s="9">
        <v>1.3</v>
      </c>
      <c r="GP203" s="9">
        <v>1.4</v>
      </c>
      <c r="GQ203" s="9">
        <v>0.5</v>
      </c>
      <c r="GR203" s="9">
        <v>-0.6</v>
      </c>
      <c r="GS203" s="9">
        <v>-0.8</v>
      </c>
      <c r="GT203" s="9">
        <v>0.5</v>
      </c>
      <c r="GU203" s="9">
        <v>0.7</v>
      </c>
      <c r="GV203" s="9">
        <v>0.7</v>
      </c>
      <c r="GW203" s="9">
        <v>0.2</v>
      </c>
      <c r="GX203" s="9">
        <v>0.5</v>
      </c>
      <c r="GY203" s="9">
        <v>0.5</v>
      </c>
      <c r="GZ203" s="9">
        <v>-0.2</v>
      </c>
      <c r="HA203" s="9">
        <v>-0.1</v>
      </c>
      <c r="HB203" s="9">
        <v>2.2000000000000002</v>
      </c>
      <c r="HC203" s="9">
        <v>1.6</v>
      </c>
      <c r="HD203" s="9">
        <v>0.5</v>
      </c>
      <c r="HE203" s="9">
        <v>1.8</v>
      </c>
      <c r="HF203" s="9">
        <v>0.5</v>
      </c>
      <c r="HG203" s="9">
        <v>0.3</v>
      </c>
      <c r="HH203" s="9">
        <v>0.4</v>
      </c>
      <c r="HI203" s="9">
        <v>0.5</v>
      </c>
      <c r="HJ203" s="9">
        <v>1</v>
      </c>
      <c r="HK203" s="9">
        <v>0</v>
      </c>
      <c r="HL203" s="9">
        <v>-0.5</v>
      </c>
      <c r="HM203" s="9">
        <v>2.2000000000000002</v>
      </c>
      <c r="HN203" s="9">
        <v>1.2</v>
      </c>
      <c r="HO203" s="9">
        <v>1.3</v>
      </c>
      <c r="HP203" s="9">
        <v>0.9</v>
      </c>
      <c r="HQ203" s="9">
        <v>-0.3</v>
      </c>
      <c r="HR203" s="9">
        <v>-0.7</v>
      </c>
      <c r="HS203" s="9">
        <v>-1.9</v>
      </c>
      <c r="HT203" s="9">
        <v>0.7</v>
      </c>
      <c r="HU203" s="9">
        <v>-2.1</v>
      </c>
      <c r="HV203" s="9">
        <v>0.5</v>
      </c>
      <c r="HW203" s="9">
        <v>2.2999999999999998</v>
      </c>
      <c r="HX203" s="9">
        <v>3.3</v>
      </c>
      <c r="HY203" s="9">
        <v>3.3</v>
      </c>
      <c r="HZ203" s="9">
        <v>0</v>
      </c>
      <c r="IA203" s="9">
        <v>0</v>
      </c>
      <c r="IB203" s="9">
        <v>0</v>
      </c>
      <c r="IC203" s="9">
        <v>0</v>
      </c>
      <c r="ID203" s="9">
        <v>0</v>
      </c>
      <c r="IE203" s="9">
        <v>-0.7</v>
      </c>
      <c r="IF203" s="9">
        <v>-1</v>
      </c>
      <c r="IG203" s="9">
        <v>-0.7</v>
      </c>
      <c r="IH203" s="9">
        <v>0.1</v>
      </c>
      <c r="IK203" s="9">
        <v>-0.7</v>
      </c>
      <c r="IL203" s="9">
        <v>-0.6</v>
      </c>
      <c r="IM203" s="9">
        <v>-0.8</v>
      </c>
      <c r="IN203" s="9">
        <v>2.9</v>
      </c>
      <c r="IQ203" s="9">
        <v>4</v>
      </c>
    </row>
    <row r="204" spans="1:251" x14ac:dyDescent="0.2">
      <c r="A204" s="10">
        <v>35400</v>
      </c>
      <c r="B204" s="8">
        <v>46.51</v>
      </c>
      <c r="C204" s="8">
        <v>43.47</v>
      </c>
      <c r="D204" s="8">
        <v>49.16</v>
      </c>
      <c r="E204" s="8">
        <v>45.8</v>
      </c>
      <c r="F204" s="8">
        <v>47.27</v>
      </c>
      <c r="G204" s="8">
        <v>66.97</v>
      </c>
      <c r="H204" s="8">
        <v>58.37</v>
      </c>
      <c r="I204" s="8">
        <v>44.95</v>
      </c>
      <c r="J204" s="8">
        <v>35.229999999999997</v>
      </c>
      <c r="K204" s="8">
        <v>48.51</v>
      </c>
      <c r="L204" s="8">
        <v>30.1</v>
      </c>
      <c r="M204" s="8">
        <v>75.489999999999995</v>
      </c>
      <c r="N204" s="8">
        <v>38.96</v>
      </c>
      <c r="O204" s="8">
        <v>48.75</v>
      </c>
      <c r="P204" s="8">
        <v>49.23</v>
      </c>
      <c r="Q204" s="8">
        <v>53.26</v>
      </c>
      <c r="R204" s="8">
        <v>42.09</v>
      </c>
      <c r="S204" s="8">
        <v>50.68</v>
      </c>
      <c r="T204" s="8">
        <v>40.6</v>
      </c>
      <c r="U204" s="8">
        <v>44.18</v>
      </c>
      <c r="V204" s="8">
        <v>37.79</v>
      </c>
      <c r="W204" s="8">
        <v>45.57</v>
      </c>
      <c r="X204" s="8">
        <v>43.18</v>
      </c>
      <c r="Y204" s="8">
        <v>51.03</v>
      </c>
      <c r="Z204" s="8">
        <v>58.43</v>
      </c>
      <c r="AA204" s="8">
        <v>34.33</v>
      </c>
      <c r="AB204" s="8">
        <v>43.1</v>
      </c>
      <c r="AC204" s="8">
        <v>57.79</v>
      </c>
      <c r="AD204" s="8">
        <v>49.63</v>
      </c>
      <c r="AE204" s="8">
        <v>54.99</v>
      </c>
      <c r="AF204" s="8">
        <v>48.06</v>
      </c>
      <c r="AG204" s="8">
        <v>38.81</v>
      </c>
      <c r="AH204" s="8">
        <v>40.53</v>
      </c>
      <c r="AI204" s="8">
        <v>37</v>
      </c>
      <c r="AJ204" s="8">
        <v>23.65</v>
      </c>
      <c r="AK204" s="8">
        <v>46.56</v>
      </c>
      <c r="AL204" s="8">
        <v>39.85</v>
      </c>
      <c r="AM204" s="8">
        <v>71.34</v>
      </c>
      <c r="AN204" s="8">
        <v>36.15</v>
      </c>
      <c r="AO204" s="8">
        <v>7.82</v>
      </c>
      <c r="AP204" s="8">
        <v>7.82</v>
      </c>
      <c r="AQ204" s="8">
        <v>96.89</v>
      </c>
      <c r="AR204" s="8">
        <v>113.48</v>
      </c>
      <c r="AS204" s="8">
        <v>111.68</v>
      </c>
      <c r="AT204" s="8">
        <v>118.88</v>
      </c>
      <c r="AU204" s="8">
        <v>98.95</v>
      </c>
      <c r="AV204" s="8">
        <v>111.75</v>
      </c>
      <c r="AW204" s="8">
        <v>116.86</v>
      </c>
      <c r="AX204" s="8">
        <v>114.09</v>
      </c>
      <c r="AY204" s="8">
        <v>98.34</v>
      </c>
      <c r="BB204" s="8">
        <v>38.36</v>
      </c>
      <c r="BC204" s="8">
        <v>38.15</v>
      </c>
      <c r="BD204" s="8">
        <v>41.83</v>
      </c>
      <c r="BE204" s="8">
        <v>41.83</v>
      </c>
      <c r="BI204" s="8">
        <v>42.33</v>
      </c>
      <c r="BK204" s="8">
        <v>27.34</v>
      </c>
      <c r="BM204" s="8">
        <v>28.7</v>
      </c>
      <c r="BN204" s="8">
        <v>21.95</v>
      </c>
      <c r="BO204" s="8">
        <v>71.03</v>
      </c>
      <c r="BP204" s="8">
        <v>68.900000000000006</v>
      </c>
      <c r="BQ204" s="8">
        <v>75.39</v>
      </c>
      <c r="BR204" s="8">
        <v>48.41</v>
      </c>
      <c r="BS204" s="8">
        <v>124.89</v>
      </c>
      <c r="BT204" s="8">
        <v>124.89</v>
      </c>
      <c r="BU204" s="8">
        <v>105.19</v>
      </c>
      <c r="BV204" s="8">
        <v>107.35</v>
      </c>
      <c r="BW204" s="8">
        <v>122.45</v>
      </c>
      <c r="BX204" s="8">
        <v>122.87</v>
      </c>
      <c r="BY204" s="8">
        <v>74.92</v>
      </c>
      <c r="BZ204" s="8">
        <v>75.239999999999995</v>
      </c>
      <c r="CA204" s="8">
        <v>80.040000000000006</v>
      </c>
      <c r="CB204" s="8">
        <v>90.11</v>
      </c>
      <c r="CC204" s="8">
        <v>61.08</v>
      </c>
      <c r="CD204" s="8">
        <v>35.26</v>
      </c>
      <c r="CE204" s="8">
        <v>38.94</v>
      </c>
      <c r="CF204" s="8">
        <v>37.44</v>
      </c>
      <c r="CG204" s="8">
        <v>31.32</v>
      </c>
      <c r="CH204" s="8">
        <v>32.340000000000003</v>
      </c>
      <c r="CI204" s="8">
        <v>64.86</v>
      </c>
      <c r="CJ204" s="8">
        <v>63.77</v>
      </c>
      <c r="CK204" s="8">
        <v>72.09</v>
      </c>
      <c r="CL204" s="8">
        <v>26.6</v>
      </c>
      <c r="CM204" s="8">
        <v>25.39</v>
      </c>
      <c r="CN204" s="8">
        <v>36.44</v>
      </c>
      <c r="CO204" s="8">
        <v>54.76</v>
      </c>
      <c r="CP204" s="8">
        <v>55.61</v>
      </c>
      <c r="CQ204" s="8">
        <v>114.33</v>
      </c>
      <c r="CR204" s="8">
        <v>52.58</v>
      </c>
      <c r="CS204" s="8">
        <v>38.03</v>
      </c>
      <c r="CT204" s="8">
        <v>47.76</v>
      </c>
      <c r="CU204" s="8">
        <v>33.35</v>
      </c>
      <c r="CV204" s="8">
        <v>46.07</v>
      </c>
      <c r="CW204" s="8">
        <v>46.08</v>
      </c>
      <c r="CX204" s="8">
        <v>116.85</v>
      </c>
      <c r="CY204" s="8">
        <v>116.85</v>
      </c>
      <c r="CZ204" s="8">
        <v>37.130000000000003</v>
      </c>
      <c r="DA204" s="8">
        <v>123.84</v>
      </c>
      <c r="DB204" s="8">
        <v>66.48</v>
      </c>
      <c r="DC204" s="8">
        <v>328.42</v>
      </c>
      <c r="DD204" s="8">
        <v>1489.6</v>
      </c>
      <c r="DE204" s="8">
        <v>86.8</v>
      </c>
      <c r="DF204" s="8">
        <v>50.84</v>
      </c>
      <c r="DI204" s="8">
        <v>45.23</v>
      </c>
      <c r="DJ204" s="8">
        <v>40.520000000000003</v>
      </c>
      <c r="DK204" s="8">
        <v>45.17</v>
      </c>
      <c r="DL204" s="8">
        <v>48.45</v>
      </c>
      <c r="DO204" s="8">
        <v>45.79</v>
      </c>
      <c r="DP204" s="8">
        <v>30.58</v>
      </c>
      <c r="DS204" s="8">
        <v>25.74</v>
      </c>
      <c r="DT204" s="8">
        <v>25.74</v>
      </c>
      <c r="DY204" s="8">
        <v>20.04</v>
      </c>
      <c r="DZ204" s="8">
        <v>20.04</v>
      </c>
      <c r="ED204" s="9">
        <v>0.2</v>
      </c>
      <c r="EE204" s="9">
        <v>0.9</v>
      </c>
      <c r="EF204" s="9">
        <v>1.6</v>
      </c>
      <c r="EG204" s="9">
        <v>2.4</v>
      </c>
      <c r="EH204" s="9">
        <v>0.8</v>
      </c>
      <c r="EI204" s="9">
        <v>1.3</v>
      </c>
      <c r="EJ204" s="9">
        <v>1.2</v>
      </c>
      <c r="EK204" s="9">
        <v>0.4</v>
      </c>
      <c r="EL204" s="9">
        <v>0</v>
      </c>
      <c r="EM204" s="9">
        <v>2.1</v>
      </c>
      <c r="EN204" s="9">
        <v>-2.7</v>
      </c>
      <c r="EO204" s="9">
        <v>1.8</v>
      </c>
      <c r="EP204" s="9">
        <v>0.1</v>
      </c>
      <c r="EQ204" s="9">
        <v>1.7</v>
      </c>
      <c r="ER204" s="9">
        <v>0.8</v>
      </c>
      <c r="ES204" s="9">
        <v>0.7</v>
      </c>
      <c r="ET204" s="9">
        <v>0.6</v>
      </c>
      <c r="EU204" s="9">
        <v>2.2999999999999998</v>
      </c>
      <c r="EV204" s="9">
        <v>4.4000000000000004</v>
      </c>
      <c r="EW204" s="9">
        <v>3.3</v>
      </c>
      <c r="EX204" s="9">
        <v>5.4</v>
      </c>
      <c r="EY204" s="9">
        <v>0.1</v>
      </c>
      <c r="EZ204" s="9">
        <v>0.3</v>
      </c>
      <c r="FA204" s="9">
        <v>1.3</v>
      </c>
      <c r="FB204" s="9">
        <v>-0.1</v>
      </c>
      <c r="FC204" s="9">
        <v>-0.2</v>
      </c>
      <c r="FD204" s="9">
        <v>0.2</v>
      </c>
      <c r="FE204" s="9">
        <v>0.5</v>
      </c>
      <c r="FF204" s="9">
        <v>0.1</v>
      </c>
      <c r="FG204" s="9">
        <v>-0.2</v>
      </c>
      <c r="FH204" s="9">
        <v>0.1</v>
      </c>
      <c r="FI204" s="9">
        <v>0.6</v>
      </c>
      <c r="FJ204" s="9">
        <v>1.4</v>
      </c>
      <c r="FK204" s="9">
        <v>0.1</v>
      </c>
      <c r="FL204" s="9">
        <v>0.5</v>
      </c>
      <c r="FM204" s="9">
        <v>-0.1</v>
      </c>
      <c r="FN204" s="9">
        <v>0</v>
      </c>
      <c r="FO204" s="9">
        <v>-1.4</v>
      </c>
      <c r="FP204" s="9">
        <v>0.4</v>
      </c>
      <c r="FQ204" s="9">
        <v>1.2</v>
      </c>
      <c r="FR204" s="9">
        <v>1.2</v>
      </c>
      <c r="FS204" s="9">
        <v>0.3</v>
      </c>
      <c r="FT204" s="9">
        <v>0.1</v>
      </c>
      <c r="FU204" s="9">
        <v>0.2</v>
      </c>
      <c r="FV204" s="9">
        <v>-0.1</v>
      </c>
      <c r="FW204" s="9">
        <v>0.8</v>
      </c>
      <c r="FX204" s="9">
        <v>1.7</v>
      </c>
      <c r="FY204" s="9">
        <v>2.2000000000000002</v>
      </c>
      <c r="FZ204" s="9">
        <v>1.2</v>
      </c>
      <c r="GA204" s="9">
        <v>2.1</v>
      </c>
      <c r="GD204" s="9">
        <v>0.5</v>
      </c>
      <c r="GE204" s="9">
        <v>-2.7</v>
      </c>
      <c r="GF204" s="9">
        <v>0.7</v>
      </c>
      <c r="GG204" s="9">
        <v>0.7</v>
      </c>
      <c r="GK204" s="9">
        <v>-0.2</v>
      </c>
      <c r="GM204" s="9">
        <v>0.1</v>
      </c>
      <c r="GO204" s="9">
        <v>0</v>
      </c>
      <c r="GP204" s="9">
        <v>0.5</v>
      </c>
      <c r="GQ204" s="9">
        <v>0.4</v>
      </c>
      <c r="GR204" s="9">
        <v>1.1000000000000001</v>
      </c>
      <c r="GS204" s="9">
        <v>1.3</v>
      </c>
      <c r="GT204" s="9">
        <v>0.5</v>
      </c>
      <c r="GU204" s="9">
        <v>1.8</v>
      </c>
      <c r="GV204" s="9">
        <v>1.8</v>
      </c>
      <c r="GW204" s="9">
        <v>-0.5</v>
      </c>
      <c r="GX204" s="9">
        <v>-0.4</v>
      </c>
      <c r="GY204" s="9">
        <v>-0.4</v>
      </c>
      <c r="GZ204" s="9">
        <v>-0.2</v>
      </c>
      <c r="HA204" s="9">
        <v>-1.4</v>
      </c>
      <c r="HB204" s="9">
        <v>-0.2</v>
      </c>
      <c r="HC204" s="9">
        <v>0.5</v>
      </c>
      <c r="HD204" s="9">
        <v>0.2</v>
      </c>
      <c r="HE204" s="9">
        <v>-0.2</v>
      </c>
      <c r="HF204" s="9">
        <v>0.9</v>
      </c>
      <c r="HG204" s="9">
        <v>0.2</v>
      </c>
      <c r="HH204" s="9">
        <v>0.9</v>
      </c>
      <c r="HI204" s="9">
        <v>0.9</v>
      </c>
      <c r="HJ204" s="9">
        <v>1.5</v>
      </c>
      <c r="HK204" s="9">
        <v>-2.2999999999999998</v>
      </c>
      <c r="HL204" s="9">
        <v>-3</v>
      </c>
      <c r="HM204" s="9">
        <v>0.9</v>
      </c>
      <c r="HN204" s="9">
        <v>2.4</v>
      </c>
      <c r="HO204" s="9">
        <v>2.7</v>
      </c>
      <c r="HP204" s="9">
        <v>0.4</v>
      </c>
      <c r="HQ204" s="9">
        <v>0.9</v>
      </c>
      <c r="HR204" s="9">
        <v>1</v>
      </c>
      <c r="HS204" s="9">
        <v>-0.7</v>
      </c>
      <c r="HT204" s="9">
        <v>1</v>
      </c>
      <c r="HU204" s="9">
        <v>2.7</v>
      </c>
      <c r="HV204" s="9">
        <v>0.3</v>
      </c>
      <c r="HW204" s="9">
        <v>0.2</v>
      </c>
      <c r="HX204" s="9">
        <v>0.8</v>
      </c>
      <c r="HY204" s="9">
        <v>0.8</v>
      </c>
      <c r="HZ204" s="9">
        <v>-0.4</v>
      </c>
      <c r="IA204" s="9">
        <v>-0.4</v>
      </c>
      <c r="IB204" s="9">
        <v>0</v>
      </c>
      <c r="IC204" s="9">
        <v>-0.5</v>
      </c>
      <c r="ID204" s="9">
        <v>0.6</v>
      </c>
      <c r="IE204" s="9">
        <v>-1.3</v>
      </c>
      <c r="IF204" s="9">
        <v>-1</v>
      </c>
      <c r="IG204" s="9">
        <v>-1.3</v>
      </c>
      <c r="IH204" s="9">
        <v>1</v>
      </c>
      <c r="IK204" s="9">
        <v>1.8</v>
      </c>
      <c r="IL204" s="9">
        <v>4.5</v>
      </c>
      <c r="IM204" s="9">
        <v>-1.6</v>
      </c>
      <c r="IN204" s="9">
        <v>-0.2</v>
      </c>
      <c r="IQ204" s="9">
        <v>-0.5</v>
      </c>
    </row>
    <row r="205" spans="1:251" x14ac:dyDescent="0.2">
      <c r="A205" s="10">
        <v>35490</v>
      </c>
      <c r="B205" s="8">
        <v>46.58</v>
      </c>
      <c r="C205" s="8">
        <v>43.76</v>
      </c>
      <c r="D205" s="8">
        <v>49.39</v>
      </c>
      <c r="E205" s="8">
        <v>45.96</v>
      </c>
      <c r="F205" s="8">
        <v>47.62</v>
      </c>
      <c r="G205" s="8">
        <v>67.7</v>
      </c>
      <c r="H205" s="8">
        <v>57.84</v>
      </c>
      <c r="I205" s="8">
        <v>44.95</v>
      </c>
      <c r="J205" s="8">
        <v>35.020000000000003</v>
      </c>
      <c r="K205" s="8">
        <v>48.89</v>
      </c>
      <c r="L205" s="8">
        <v>30.25</v>
      </c>
      <c r="M205" s="8">
        <v>76.27</v>
      </c>
      <c r="N205" s="8">
        <v>38.58</v>
      </c>
      <c r="O205" s="8">
        <v>48.85</v>
      </c>
      <c r="P205" s="8">
        <v>50</v>
      </c>
      <c r="Q205" s="8">
        <v>54.32</v>
      </c>
      <c r="R205" s="8">
        <v>42.76</v>
      </c>
      <c r="S205" s="8">
        <v>50.6</v>
      </c>
      <c r="T205" s="8">
        <v>40.98</v>
      </c>
      <c r="U205" s="8">
        <v>43.1</v>
      </c>
      <c r="V205" s="8">
        <v>39.31</v>
      </c>
      <c r="W205" s="8">
        <v>46.3</v>
      </c>
      <c r="X205" s="8">
        <v>43.15</v>
      </c>
      <c r="Y205" s="8">
        <v>50.13</v>
      </c>
      <c r="Z205" s="8">
        <v>58.48</v>
      </c>
      <c r="AA205" s="8">
        <v>34.39</v>
      </c>
      <c r="AB205" s="8">
        <v>43.78</v>
      </c>
      <c r="AC205" s="8">
        <v>58.09</v>
      </c>
      <c r="AD205" s="8">
        <v>49.91</v>
      </c>
      <c r="AE205" s="8">
        <v>54.22</v>
      </c>
      <c r="AF205" s="8">
        <v>48.33</v>
      </c>
      <c r="AG205" s="8">
        <v>39.1</v>
      </c>
      <c r="AH205" s="8">
        <v>40.43</v>
      </c>
      <c r="AI205" s="8">
        <v>37.5</v>
      </c>
      <c r="AJ205" s="8">
        <v>23.72</v>
      </c>
      <c r="AK205" s="8">
        <v>46.88</v>
      </c>
      <c r="AL205" s="8">
        <v>40.26</v>
      </c>
      <c r="AM205" s="8">
        <v>71.97</v>
      </c>
      <c r="AN205" s="8">
        <v>36.340000000000003</v>
      </c>
      <c r="AO205" s="8">
        <v>7.81</v>
      </c>
      <c r="AP205" s="8">
        <v>7.81</v>
      </c>
      <c r="AQ205" s="8">
        <v>96.44</v>
      </c>
      <c r="AR205" s="8">
        <v>113.27</v>
      </c>
      <c r="AS205" s="8">
        <v>111.38</v>
      </c>
      <c r="AT205" s="8">
        <v>118.88</v>
      </c>
      <c r="AU205" s="8">
        <v>98.42</v>
      </c>
      <c r="AV205" s="8">
        <v>111.64</v>
      </c>
      <c r="AW205" s="8">
        <v>117.21</v>
      </c>
      <c r="AX205" s="8">
        <v>113.65</v>
      </c>
      <c r="AY205" s="8">
        <v>98.34</v>
      </c>
      <c r="BB205" s="8">
        <v>38.57</v>
      </c>
      <c r="BC205" s="8">
        <v>37.04</v>
      </c>
      <c r="BD205" s="8">
        <v>42.05</v>
      </c>
      <c r="BE205" s="8">
        <v>42.05</v>
      </c>
      <c r="BI205" s="8">
        <v>42.4</v>
      </c>
      <c r="BK205" s="8">
        <v>27.41</v>
      </c>
      <c r="BM205" s="8">
        <v>28.75</v>
      </c>
      <c r="BN205" s="8">
        <v>22.04</v>
      </c>
      <c r="BO205" s="8">
        <v>70.97</v>
      </c>
      <c r="BP205" s="8">
        <v>68.540000000000006</v>
      </c>
      <c r="BQ205" s="8">
        <v>74.83</v>
      </c>
      <c r="BR205" s="8">
        <v>48.64</v>
      </c>
      <c r="BS205" s="8">
        <v>124.68</v>
      </c>
      <c r="BT205" s="8">
        <v>124.68</v>
      </c>
      <c r="BU205" s="8">
        <v>104.8</v>
      </c>
      <c r="BV205" s="8">
        <v>107.06</v>
      </c>
      <c r="BW205" s="8">
        <v>122.12</v>
      </c>
      <c r="BX205" s="8">
        <v>121.92</v>
      </c>
      <c r="BY205" s="8">
        <v>74.849999999999994</v>
      </c>
      <c r="BZ205" s="8">
        <v>75.92</v>
      </c>
      <c r="CA205" s="8">
        <v>80.36</v>
      </c>
      <c r="CB205" s="8">
        <v>90.46</v>
      </c>
      <c r="CC205" s="8">
        <v>61.6</v>
      </c>
      <c r="CD205" s="8">
        <v>35.799999999999997</v>
      </c>
      <c r="CE205" s="8">
        <v>39.6</v>
      </c>
      <c r="CF205" s="8">
        <v>37.74</v>
      </c>
      <c r="CG205" s="8">
        <v>31.81</v>
      </c>
      <c r="CH205" s="8">
        <v>33.46</v>
      </c>
      <c r="CI205" s="8">
        <v>66.86</v>
      </c>
      <c r="CJ205" s="8">
        <v>66.14</v>
      </c>
      <c r="CK205" s="8">
        <v>72.39</v>
      </c>
      <c r="CL205" s="8">
        <v>27.53</v>
      </c>
      <c r="CM205" s="8">
        <v>26.4</v>
      </c>
      <c r="CN205" s="8">
        <v>36.840000000000003</v>
      </c>
      <c r="CO205" s="8">
        <v>55.06</v>
      </c>
      <c r="CP205" s="8">
        <v>55.88</v>
      </c>
      <c r="CQ205" s="8">
        <v>112.11</v>
      </c>
      <c r="CR205" s="8">
        <v>52.14</v>
      </c>
      <c r="CS205" s="8">
        <v>38.630000000000003</v>
      </c>
      <c r="CT205" s="8">
        <v>48.16</v>
      </c>
      <c r="CU205" s="8">
        <v>33.74</v>
      </c>
      <c r="CV205" s="8">
        <v>46.75</v>
      </c>
      <c r="CW205" s="8">
        <v>46.76</v>
      </c>
      <c r="CX205" s="8">
        <v>116.96</v>
      </c>
      <c r="CY205" s="8">
        <v>116.96</v>
      </c>
      <c r="CZ205" s="8">
        <v>37.4</v>
      </c>
      <c r="DA205" s="8">
        <v>123.96</v>
      </c>
      <c r="DB205" s="8">
        <v>67.12</v>
      </c>
      <c r="DC205" s="8">
        <v>327.8</v>
      </c>
      <c r="DD205" s="8">
        <v>1452.22</v>
      </c>
      <c r="DE205" s="8">
        <v>86.64</v>
      </c>
      <c r="DF205" s="8">
        <v>51.66</v>
      </c>
      <c r="DI205" s="8">
        <v>45.58</v>
      </c>
      <c r="DJ205" s="8">
        <v>42.61</v>
      </c>
      <c r="DK205" s="8">
        <v>42.94</v>
      </c>
      <c r="DL205" s="8">
        <v>49.25</v>
      </c>
      <c r="DO205" s="8">
        <v>46.51</v>
      </c>
      <c r="DP205" s="8">
        <v>31.1</v>
      </c>
      <c r="DS205" s="8">
        <v>27.39</v>
      </c>
      <c r="DT205" s="8">
        <v>27.39</v>
      </c>
      <c r="DY205" s="8">
        <v>20.399999999999999</v>
      </c>
      <c r="DZ205" s="8">
        <v>20.399999999999999</v>
      </c>
      <c r="ED205" s="9">
        <v>0.2</v>
      </c>
      <c r="EE205" s="9">
        <v>0.7</v>
      </c>
      <c r="EF205" s="9">
        <v>0.5</v>
      </c>
      <c r="EG205" s="9">
        <v>0.3</v>
      </c>
      <c r="EH205" s="9">
        <v>0.7</v>
      </c>
      <c r="EI205" s="9">
        <v>1.1000000000000001</v>
      </c>
      <c r="EJ205" s="9">
        <v>-0.9</v>
      </c>
      <c r="EK205" s="9">
        <v>0</v>
      </c>
      <c r="EL205" s="9">
        <v>-0.6</v>
      </c>
      <c r="EM205" s="9">
        <v>0.8</v>
      </c>
      <c r="EN205" s="9">
        <v>0.5</v>
      </c>
      <c r="EO205" s="9">
        <v>1</v>
      </c>
      <c r="EP205" s="9">
        <v>-1</v>
      </c>
      <c r="EQ205" s="9">
        <v>0.2</v>
      </c>
      <c r="ER205" s="9">
        <v>1.6</v>
      </c>
      <c r="ES205" s="9">
        <v>2</v>
      </c>
      <c r="ET205" s="9">
        <v>1.6</v>
      </c>
      <c r="EU205" s="9">
        <v>-0.2</v>
      </c>
      <c r="EV205" s="9">
        <v>0.9</v>
      </c>
      <c r="EW205" s="9">
        <v>-2.4</v>
      </c>
      <c r="EX205" s="9">
        <v>4</v>
      </c>
      <c r="EY205" s="9">
        <v>1.6</v>
      </c>
      <c r="EZ205" s="9">
        <v>-0.1</v>
      </c>
      <c r="FA205" s="9">
        <v>-1.8</v>
      </c>
      <c r="FB205" s="9">
        <v>0.1</v>
      </c>
      <c r="FC205" s="9">
        <v>0.2</v>
      </c>
      <c r="FD205" s="9">
        <v>1.6</v>
      </c>
      <c r="FE205" s="9">
        <v>0.5</v>
      </c>
      <c r="FF205" s="9">
        <v>0.6</v>
      </c>
      <c r="FG205" s="9">
        <v>-1.4</v>
      </c>
      <c r="FH205" s="9">
        <v>0.6</v>
      </c>
      <c r="FI205" s="9">
        <v>0.7</v>
      </c>
      <c r="FJ205" s="9">
        <v>-0.2</v>
      </c>
      <c r="FK205" s="9">
        <v>1.4</v>
      </c>
      <c r="FL205" s="9">
        <v>0.3</v>
      </c>
      <c r="FM205" s="9">
        <v>0.7</v>
      </c>
      <c r="FN205" s="9">
        <v>1</v>
      </c>
      <c r="FO205" s="9">
        <v>0.9</v>
      </c>
      <c r="FP205" s="9">
        <v>0.5</v>
      </c>
      <c r="FQ205" s="9">
        <v>-0.1</v>
      </c>
      <c r="FR205" s="9">
        <v>-0.1</v>
      </c>
      <c r="FS205" s="9">
        <v>-0.5</v>
      </c>
      <c r="FT205" s="9">
        <v>-0.2</v>
      </c>
      <c r="FU205" s="9">
        <v>-0.3</v>
      </c>
      <c r="FV205" s="9">
        <v>0</v>
      </c>
      <c r="FW205" s="9">
        <v>-0.5</v>
      </c>
      <c r="FX205" s="9">
        <v>-0.1</v>
      </c>
      <c r="FY205" s="9">
        <v>0.3</v>
      </c>
      <c r="FZ205" s="9">
        <v>-0.4</v>
      </c>
      <c r="GA205" s="9">
        <v>0</v>
      </c>
      <c r="GD205" s="9">
        <v>0.5</v>
      </c>
      <c r="GE205" s="9">
        <v>-2.9</v>
      </c>
      <c r="GF205" s="9">
        <v>0.5</v>
      </c>
      <c r="GG205" s="9">
        <v>0.5</v>
      </c>
      <c r="GK205" s="9">
        <v>0.2</v>
      </c>
      <c r="GM205" s="9">
        <v>0.3</v>
      </c>
      <c r="GO205" s="9">
        <v>0.2</v>
      </c>
      <c r="GP205" s="9">
        <v>0.4</v>
      </c>
      <c r="GQ205" s="9">
        <v>-0.1</v>
      </c>
      <c r="GR205" s="9">
        <v>-0.5</v>
      </c>
      <c r="GS205" s="9">
        <v>-0.7</v>
      </c>
      <c r="GT205" s="9">
        <v>0.5</v>
      </c>
      <c r="GU205" s="9">
        <v>-0.2</v>
      </c>
      <c r="GV205" s="9">
        <v>-0.2</v>
      </c>
      <c r="GW205" s="9">
        <v>-0.4</v>
      </c>
      <c r="GX205" s="9">
        <v>-0.3</v>
      </c>
      <c r="GY205" s="9">
        <v>-0.3</v>
      </c>
      <c r="GZ205" s="9">
        <v>-0.8</v>
      </c>
      <c r="HA205" s="9">
        <v>-0.1</v>
      </c>
      <c r="HB205" s="9">
        <v>0.9</v>
      </c>
      <c r="HC205" s="9">
        <v>0.4</v>
      </c>
      <c r="HD205" s="9">
        <v>0.4</v>
      </c>
      <c r="HE205" s="9">
        <v>0.9</v>
      </c>
      <c r="HF205" s="9">
        <v>1.5</v>
      </c>
      <c r="HG205" s="9">
        <v>1.7</v>
      </c>
      <c r="HH205" s="9">
        <v>0.8</v>
      </c>
      <c r="HI205" s="9">
        <v>1.6</v>
      </c>
      <c r="HJ205" s="9">
        <v>3.5</v>
      </c>
      <c r="HK205" s="9">
        <v>3.1</v>
      </c>
      <c r="HL205" s="9">
        <v>3.7</v>
      </c>
      <c r="HM205" s="9">
        <v>0.4</v>
      </c>
      <c r="HN205" s="9">
        <v>3.5</v>
      </c>
      <c r="HO205" s="9">
        <v>4</v>
      </c>
      <c r="HP205" s="9">
        <v>1.1000000000000001</v>
      </c>
      <c r="HQ205" s="9">
        <v>0.5</v>
      </c>
      <c r="HR205" s="9">
        <v>0.5</v>
      </c>
      <c r="HS205" s="9">
        <v>-1.9</v>
      </c>
      <c r="HT205" s="9">
        <v>-0.8</v>
      </c>
      <c r="HU205" s="9">
        <v>1.6</v>
      </c>
      <c r="HV205" s="9">
        <v>0.8</v>
      </c>
      <c r="HW205" s="9">
        <v>1.2</v>
      </c>
      <c r="HX205" s="9">
        <v>1.5</v>
      </c>
      <c r="HY205" s="9">
        <v>1.5</v>
      </c>
      <c r="HZ205" s="9">
        <v>0.1</v>
      </c>
      <c r="IA205" s="9">
        <v>0.1</v>
      </c>
      <c r="IB205" s="9">
        <v>0.7</v>
      </c>
      <c r="IC205" s="9">
        <v>0.1</v>
      </c>
      <c r="ID205" s="9">
        <v>1</v>
      </c>
      <c r="IE205" s="9">
        <v>-0.2</v>
      </c>
      <c r="IF205" s="9">
        <v>-2.5</v>
      </c>
      <c r="IG205" s="9">
        <v>-0.2</v>
      </c>
      <c r="IH205" s="9">
        <v>1.6</v>
      </c>
      <c r="IK205" s="9">
        <v>0.8</v>
      </c>
      <c r="IL205" s="9">
        <v>5.2</v>
      </c>
      <c r="IM205" s="9">
        <v>-4.9000000000000004</v>
      </c>
      <c r="IN205" s="9">
        <v>1.7</v>
      </c>
      <c r="IQ205" s="9">
        <v>1.6</v>
      </c>
    </row>
    <row r="206" spans="1:251" x14ac:dyDescent="0.2">
      <c r="A206" s="10">
        <v>35582</v>
      </c>
      <c r="B206" s="8">
        <v>46.47</v>
      </c>
      <c r="C206" s="8">
        <v>43.98</v>
      </c>
      <c r="D206" s="8">
        <v>49.5</v>
      </c>
      <c r="E206" s="8">
        <v>45.93</v>
      </c>
      <c r="F206" s="8">
        <v>47.54</v>
      </c>
      <c r="G206" s="8">
        <v>68.7</v>
      </c>
      <c r="H206" s="8">
        <v>58.65</v>
      </c>
      <c r="I206" s="8">
        <v>44.86</v>
      </c>
      <c r="J206" s="8">
        <v>35.19</v>
      </c>
      <c r="K206" s="8">
        <v>48.64</v>
      </c>
      <c r="L206" s="8">
        <v>30.35</v>
      </c>
      <c r="M206" s="8">
        <v>74.400000000000006</v>
      </c>
      <c r="N206" s="8">
        <v>39.03</v>
      </c>
      <c r="O206" s="8">
        <v>48.23</v>
      </c>
      <c r="P206" s="8">
        <v>50.23</v>
      </c>
      <c r="Q206" s="8">
        <v>54.66</v>
      </c>
      <c r="R206" s="8">
        <v>42.31</v>
      </c>
      <c r="S206" s="8">
        <v>52.04</v>
      </c>
      <c r="T206" s="8">
        <v>40.68</v>
      </c>
      <c r="U206" s="8">
        <v>42.27</v>
      </c>
      <c r="V206" s="8">
        <v>39.43</v>
      </c>
      <c r="W206" s="8">
        <v>46.75</v>
      </c>
      <c r="X206" s="8">
        <v>44.26</v>
      </c>
      <c r="Y206" s="8">
        <v>51.26</v>
      </c>
      <c r="Z206" s="8">
        <v>59.36</v>
      </c>
      <c r="AA206" s="8">
        <v>34.64</v>
      </c>
      <c r="AB206" s="8">
        <v>44.2</v>
      </c>
      <c r="AC206" s="8">
        <v>58.33</v>
      </c>
      <c r="AD206" s="8">
        <v>50.47</v>
      </c>
      <c r="AE206" s="8">
        <v>57.21</v>
      </c>
      <c r="AF206" s="8">
        <v>48.87</v>
      </c>
      <c r="AG206" s="8">
        <v>39.299999999999997</v>
      </c>
      <c r="AH206" s="8">
        <v>40.56</v>
      </c>
      <c r="AI206" s="8">
        <v>37.75</v>
      </c>
      <c r="AJ206" s="8">
        <v>23.78</v>
      </c>
      <c r="AK206" s="8">
        <v>47.05</v>
      </c>
      <c r="AL206" s="8">
        <v>40.56</v>
      </c>
      <c r="AM206" s="8">
        <v>72.959999999999994</v>
      </c>
      <c r="AN206" s="8">
        <v>36.29</v>
      </c>
      <c r="AO206" s="8">
        <v>7.82</v>
      </c>
      <c r="AP206" s="8">
        <v>7.82</v>
      </c>
      <c r="AQ206" s="8">
        <v>96.71</v>
      </c>
      <c r="AR206" s="8">
        <v>114.21</v>
      </c>
      <c r="AS206" s="8">
        <v>111.88</v>
      </c>
      <c r="AT206" s="8">
        <v>119.99</v>
      </c>
      <c r="AU206" s="8">
        <v>99.13</v>
      </c>
      <c r="AV206" s="8">
        <v>110.41</v>
      </c>
      <c r="AW206" s="8">
        <v>115.08</v>
      </c>
      <c r="AX206" s="8">
        <v>112.54</v>
      </c>
      <c r="AY206" s="8">
        <v>98.03</v>
      </c>
      <c r="BB206" s="8">
        <v>38.840000000000003</v>
      </c>
      <c r="BC206" s="8">
        <v>35.82</v>
      </c>
      <c r="BD206" s="8">
        <v>42.45</v>
      </c>
      <c r="BE206" s="8">
        <v>42.45</v>
      </c>
      <c r="BI206" s="8">
        <v>42.66</v>
      </c>
      <c r="BK206" s="8">
        <v>27.39</v>
      </c>
      <c r="BM206" s="8">
        <v>28.75</v>
      </c>
      <c r="BN206" s="8">
        <v>22</v>
      </c>
      <c r="BO206" s="8">
        <v>71.22</v>
      </c>
      <c r="BP206" s="8">
        <v>69.19</v>
      </c>
      <c r="BQ206" s="8">
        <v>75.7</v>
      </c>
      <c r="BR206" s="8">
        <v>48.68</v>
      </c>
      <c r="BS206" s="8">
        <v>125</v>
      </c>
      <c r="BT206" s="8">
        <v>125</v>
      </c>
      <c r="BU206" s="8">
        <v>105.19</v>
      </c>
      <c r="BV206" s="8">
        <v>107.45</v>
      </c>
      <c r="BW206" s="8">
        <v>122.56</v>
      </c>
      <c r="BX206" s="8">
        <v>122.27</v>
      </c>
      <c r="BY206" s="8">
        <v>75.13</v>
      </c>
      <c r="BZ206" s="8">
        <v>76.17</v>
      </c>
      <c r="CA206" s="8">
        <v>80.23</v>
      </c>
      <c r="CB206" s="8">
        <v>90.25</v>
      </c>
      <c r="CC206" s="8">
        <v>61.86</v>
      </c>
      <c r="CD206" s="8">
        <v>36.4</v>
      </c>
      <c r="CE206" s="8">
        <v>40.99</v>
      </c>
      <c r="CF206" s="8">
        <v>38.56</v>
      </c>
      <c r="CG206" s="8">
        <v>32.340000000000003</v>
      </c>
      <c r="CH206" s="8">
        <v>34.409999999999997</v>
      </c>
      <c r="CI206" s="8">
        <v>69.5</v>
      </c>
      <c r="CJ206" s="8">
        <v>69.23</v>
      </c>
      <c r="CK206" s="8">
        <v>72.75</v>
      </c>
      <c r="CL206" s="8">
        <v>28.26</v>
      </c>
      <c r="CM206" s="8">
        <v>27.13</v>
      </c>
      <c r="CN206" s="8">
        <v>37.54</v>
      </c>
      <c r="CO206" s="8">
        <v>54.49</v>
      </c>
      <c r="CP206" s="8">
        <v>55.2</v>
      </c>
      <c r="CQ206" s="8">
        <v>108.83</v>
      </c>
      <c r="CR206" s="8">
        <v>52.38</v>
      </c>
      <c r="CS206" s="8">
        <v>38</v>
      </c>
      <c r="CT206" s="8">
        <v>47.76</v>
      </c>
      <c r="CU206" s="8">
        <v>33.909999999999997</v>
      </c>
      <c r="CV206" s="8">
        <v>47</v>
      </c>
      <c r="CW206" s="8">
        <v>47</v>
      </c>
      <c r="CX206" s="8">
        <v>116.96</v>
      </c>
      <c r="CY206" s="8">
        <v>116.96</v>
      </c>
      <c r="CZ206" s="8">
        <v>37.4</v>
      </c>
      <c r="DA206" s="8">
        <v>123.96</v>
      </c>
      <c r="DB206" s="8">
        <v>66.94</v>
      </c>
      <c r="DC206" s="8">
        <v>327.49</v>
      </c>
      <c r="DD206" s="8">
        <v>1433.53</v>
      </c>
      <c r="DE206" s="8">
        <v>86.56</v>
      </c>
      <c r="DF206" s="8">
        <v>52.59</v>
      </c>
      <c r="DI206" s="8">
        <v>44.71</v>
      </c>
      <c r="DJ206" s="8">
        <v>39.979999999999997</v>
      </c>
      <c r="DK206" s="8">
        <v>44.73</v>
      </c>
      <c r="DL206" s="8">
        <v>49.81</v>
      </c>
      <c r="DO206" s="8">
        <v>46.94</v>
      </c>
      <c r="DP206" s="8">
        <v>31.61</v>
      </c>
      <c r="DS206" s="8">
        <v>27.39</v>
      </c>
      <c r="DT206" s="8">
        <v>27.39</v>
      </c>
      <c r="DY206" s="8">
        <v>20.66</v>
      </c>
      <c r="DZ206" s="8">
        <v>20.66</v>
      </c>
      <c r="ED206" s="9">
        <v>-0.2</v>
      </c>
      <c r="EE206" s="9">
        <v>0.5</v>
      </c>
      <c r="EF206" s="9">
        <v>0.2</v>
      </c>
      <c r="EG206" s="9">
        <v>-0.1</v>
      </c>
      <c r="EH206" s="9">
        <v>-0.2</v>
      </c>
      <c r="EI206" s="9">
        <v>1.5</v>
      </c>
      <c r="EJ206" s="9">
        <v>1.4</v>
      </c>
      <c r="EK206" s="9">
        <v>-0.2</v>
      </c>
      <c r="EL206" s="9">
        <v>0.5</v>
      </c>
      <c r="EM206" s="9">
        <v>-0.5</v>
      </c>
      <c r="EN206" s="9">
        <v>0.3</v>
      </c>
      <c r="EO206" s="9">
        <v>-2.5</v>
      </c>
      <c r="EP206" s="9">
        <v>1.2</v>
      </c>
      <c r="EQ206" s="9">
        <v>-1.3</v>
      </c>
      <c r="ER206" s="9">
        <v>0.5</v>
      </c>
      <c r="ES206" s="9">
        <v>0.6</v>
      </c>
      <c r="ET206" s="9">
        <v>-1.1000000000000001</v>
      </c>
      <c r="EU206" s="9">
        <v>2.8</v>
      </c>
      <c r="EV206" s="9">
        <v>-0.7</v>
      </c>
      <c r="EW206" s="9">
        <v>-1.9</v>
      </c>
      <c r="EX206" s="9">
        <v>0.3</v>
      </c>
      <c r="EY206" s="9">
        <v>1</v>
      </c>
      <c r="EZ206" s="9">
        <v>2.6</v>
      </c>
      <c r="FA206" s="9">
        <v>2.2999999999999998</v>
      </c>
      <c r="FB206" s="9">
        <v>1.5</v>
      </c>
      <c r="FC206" s="9">
        <v>0.7</v>
      </c>
      <c r="FD206" s="9">
        <v>1</v>
      </c>
      <c r="FE206" s="9">
        <v>0.4</v>
      </c>
      <c r="FF206" s="9">
        <v>1.1000000000000001</v>
      </c>
      <c r="FG206" s="9">
        <v>5.5</v>
      </c>
      <c r="FH206" s="9">
        <v>1.1000000000000001</v>
      </c>
      <c r="FI206" s="9">
        <v>0.5</v>
      </c>
      <c r="FJ206" s="9">
        <v>0.3</v>
      </c>
      <c r="FK206" s="9">
        <v>0.7</v>
      </c>
      <c r="FL206" s="9">
        <v>0.3</v>
      </c>
      <c r="FM206" s="9">
        <v>0.4</v>
      </c>
      <c r="FN206" s="9">
        <v>0.7</v>
      </c>
      <c r="FO206" s="9">
        <v>1.4</v>
      </c>
      <c r="FP206" s="9">
        <v>-0.1</v>
      </c>
      <c r="FQ206" s="9">
        <v>0.1</v>
      </c>
      <c r="FR206" s="9">
        <v>0.1</v>
      </c>
      <c r="FS206" s="9">
        <v>0.3</v>
      </c>
      <c r="FT206" s="9">
        <v>0.8</v>
      </c>
      <c r="FU206" s="9">
        <v>0.4</v>
      </c>
      <c r="FV206" s="9">
        <v>0.9</v>
      </c>
      <c r="FW206" s="9">
        <v>0.7</v>
      </c>
      <c r="FX206" s="9">
        <v>-1.1000000000000001</v>
      </c>
      <c r="FY206" s="9">
        <v>-1.8</v>
      </c>
      <c r="FZ206" s="9">
        <v>-1</v>
      </c>
      <c r="GA206" s="9">
        <v>-0.3</v>
      </c>
      <c r="GD206" s="9">
        <v>0.7</v>
      </c>
      <c r="GE206" s="9">
        <v>-3.3</v>
      </c>
      <c r="GF206" s="9">
        <v>1</v>
      </c>
      <c r="GG206" s="9">
        <v>1</v>
      </c>
      <c r="GK206" s="9">
        <v>0.6</v>
      </c>
      <c r="GM206" s="9">
        <v>-0.1</v>
      </c>
      <c r="GO206" s="9">
        <v>0</v>
      </c>
      <c r="GP206" s="9">
        <v>-0.2</v>
      </c>
      <c r="GQ206" s="9">
        <v>0.4</v>
      </c>
      <c r="GR206" s="9">
        <v>0.9</v>
      </c>
      <c r="GS206" s="9">
        <v>1.2</v>
      </c>
      <c r="GT206" s="9">
        <v>0.1</v>
      </c>
      <c r="GU206" s="9">
        <v>0.3</v>
      </c>
      <c r="GV206" s="9">
        <v>0.3</v>
      </c>
      <c r="GW206" s="9">
        <v>0.4</v>
      </c>
      <c r="GX206" s="9">
        <v>0.4</v>
      </c>
      <c r="GY206" s="9">
        <v>0.4</v>
      </c>
      <c r="GZ206" s="9">
        <v>0.3</v>
      </c>
      <c r="HA206" s="9">
        <v>0.4</v>
      </c>
      <c r="HB206" s="9">
        <v>0.3</v>
      </c>
      <c r="HC206" s="9">
        <v>-0.2</v>
      </c>
      <c r="HD206" s="9">
        <v>-0.2</v>
      </c>
      <c r="HE206" s="9">
        <v>0.4</v>
      </c>
      <c r="HF206" s="9">
        <v>1.7</v>
      </c>
      <c r="HG206" s="9">
        <v>3.5</v>
      </c>
      <c r="HH206" s="9">
        <v>2.2000000000000002</v>
      </c>
      <c r="HI206" s="9">
        <v>1.7</v>
      </c>
      <c r="HJ206" s="9">
        <v>2.8</v>
      </c>
      <c r="HK206" s="9">
        <v>3.9</v>
      </c>
      <c r="HL206" s="9">
        <v>4.7</v>
      </c>
      <c r="HM206" s="9">
        <v>0.5</v>
      </c>
      <c r="HN206" s="9">
        <v>2.7</v>
      </c>
      <c r="HO206" s="9">
        <v>2.8</v>
      </c>
      <c r="HP206" s="9">
        <v>1.9</v>
      </c>
      <c r="HQ206" s="9">
        <v>-1</v>
      </c>
      <c r="HR206" s="9">
        <v>-1.2</v>
      </c>
      <c r="HS206" s="9">
        <v>-2.9</v>
      </c>
      <c r="HT206" s="9">
        <v>0.5</v>
      </c>
      <c r="HU206" s="9">
        <v>-1.6</v>
      </c>
      <c r="HV206" s="9">
        <v>-0.8</v>
      </c>
      <c r="HW206" s="9">
        <v>0.5</v>
      </c>
      <c r="HX206" s="9">
        <v>0.5</v>
      </c>
      <c r="HY206" s="9">
        <v>0.5</v>
      </c>
      <c r="HZ206" s="9">
        <v>0</v>
      </c>
      <c r="IA206" s="9">
        <v>0</v>
      </c>
      <c r="IB206" s="9">
        <v>0</v>
      </c>
      <c r="IC206" s="9">
        <v>0</v>
      </c>
      <c r="ID206" s="9">
        <v>-0.3</v>
      </c>
      <c r="IE206" s="9">
        <v>-0.1</v>
      </c>
      <c r="IF206" s="9">
        <v>-1.3</v>
      </c>
      <c r="IG206" s="9">
        <v>-0.1</v>
      </c>
      <c r="IH206" s="9">
        <v>1.8</v>
      </c>
      <c r="IK206" s="9">
        <v>-1.9</v>
      </c>
      <c r="IL206" s="9">
        <v>-6.2</v>
      </c>
      <c r="IM206" s="9">
        <v>4.2</v>
      </c>
      <c r="IN206" s="9">
        <v>1.1000000000000001</v>
      </c>
      <c r="IQ206" s="9">
        <v>0.9</v>
      </c>
    </row>
    <row r="207" spans="1:251" x14ac:dyDescent="0.2">
      <c r="A207" s="10">
        <v>35674</v>
      </c>
      <c r="B207" s="8">
        <v>46.28</v>
      </c>
      <c r="C207" s="8">
        <v>43.98</v>
      </c>
      <c r="D207" s="8">
        <v>49.72</v>
      </c>
      <c r="E207" s="8">
        <v>46.77</v>
      </c>
      <c r="F207" s="8">
        <v>47.54</v>
      </c>
      <c r="G207" s="8">
        <v>67.34</v>
      </c>
      <c r="H207" s="8">
        <v>57.84</v>
      </c>
      <c r="I207" s="8">
        <v>45.28</v>
      </c>
      <c r="J207" s="8">
        <v>35.229999999999997</v>
      </c>
      <c r="K207" s="8">
        <v>47.92</v>
      </c>
      <c r="L207" s="8">
        <v>31.12</v>
      </c>
      <c r="M207" s="8">
        <v>76.19</v>
      </c>
      <c r="N207" s="8">
        <v>39.380000000000003</v>
      </c>
      <c r="O207" s="8">
        <v>49.04</v>
      </c>
      <c r="P207" s="8">
        <v>50.3</v>
      </c>
      <c r="Q207" s="8">
        <v>55.04</v>
      </c>
      <c r="R207" s="8">
        <v>42.2</v>
      </c>
      <c r="S207" s="8">
        <v>50.97</v>
      </c>
      <c r="T207" s="8">
        <v>38.51</v>
      </c>
      <c r="U207" s="8">
        <v>41.02</v>
      </c>
      <c r="V207" s="8">
        <v>36.58</v>
      </c>
      <c r="W207" s="8">
        <v>47.51</v>
      </c>
      <c r="X207" s="8">
        <v>44.2</v>
      </c>
      <c r="Y207" s="8">
        <v>51.82</v>
      </c>
      <c r="Z207" s="8">
        <v>59.67</v>
      </c>
      <c r="AA207" s="8">
        <v>33.79</v>
      </c>
      <c r="AB207" s="8">
        <v>44.92</v>
      </c>
      <c r="AC207" s="8">
        <v>58.57</v>
      </c>
      <c r="AD207" s="8">
        <v>50.63</v>
      </c>
      <c r="AE207" s="8">
        <v>60.53</v>
      </c>
      <c r="AF207" s="8">
        <v>49.03</v>
      </c>
      <c r="AG207" s="8">
        <v>39.4</v>
      </c>
      <c r="AH207" s="8">
        <v>40.83</v>
      </c>
      <c r="AI207" s="8">
        <v>37.75</v>
      </c>
      <c r="AJ207" s="8">
        <v>23.75</v>
      </c>
      <c r="AK207" s="8">
        <v>46.98</v>
      </c>
      <c r="AL207" s="8">
        <v>39.82</v>
      </c>
      <c r="AM207" s="8">
        <v>73.89</v>
      </c>
      <c r="AN207" s="8">
        <v>36.29</v>
      </c>
      <c r="AO207" s="8">
        <v>7.81</v>
      </c>
      <c r="AP207" s="8">
        <v>7.81</v>
      </c>
      <c r="AQ207" s="8">
        <v>96.53</v>
      </c>
      <c r="AR207" s="8">
        <v>114.01</v>
      </c>
      <c r="AS207" s="8">
        <v>111.48</v>
      </c>
      <c r="AT207" s="8">
        <v>120.1</v>
      </c>
      <c r="AU207" s="8">
        <v>98.33</v>
      </c>
      <c r="AV207" s="8">
        <v>110.08</v>
      </c>
      <c r="AW207" s="8">
        <v>115.43</v>
      </c>
      <c r="AX207" s="8">
        <v>110.78</v>
      </c>
      <c r="AY207" s="8">
        <v>99.25</v>
      </c>
      <c r="BB207" s="8">
        <v>39.25</v>
      </c>
      <c r="BC207" s="8">
        <v>35.450000000000003</v>
      </c>
      <c r="BD207" s="8">
        <v>42.74</v>
      </c>
      <c r="BE207" s="8">
        <v>42.74</v>
      </c>
      <c r="BI207" s="8">
        <v>42.94</v>
      </c>
      <c r="BK207" s="8">
        <v>27.66</v>
      </c>
      <c r="BM207" s="8">
        <v>28.94</v>
      </c>
      <c r="BN207" s="8">
        <v>22.38</v>
      </c>
      <c r="BO207" s="8">
        <v>70.91</v>
      </c>
      <c r="BP207" s="8">
        <v>68.430000000000007</v>
      </c>
      <c r="BQ207" s="8">
        <v>74.64</v>
      </c>
      <c r="BR207" s="8">
        <v>48.59</v>
      </c>
      <c r="BS207" s="8">
        <v>125.84</v>
      </c>
      <c r="BT207" s="8">
        <v>125.84</v>
      </c>
      <c r="BU207" s="8">
        <v>104.41</v>
      </c>
      <c r="BV207" s="8">
        <v>107.06</v>
      </c>
      <c r="BW207" s="8">
        <v>122.12</v>
      </c>
      <c r="BX207" s="8">
        <v>119.17</v>
      </c>
      <c r="BY207" s="8">
        <v>75.47</v>
      </c>
      <c r="BZ207" s="8">
        <v>75.12</v>
      </c>
      <c r="CA207" s="8">
        <v>77.209999999999994</v>
      </c>
      <c r="CB207" s="8">
        <v>90.04</v>
      </c>
      <c r="CC207" s="8">
        <v>61.8</v>
      </c>
      <c r="CD207" s="8">
        <v>36.770000000000003</v>
      </c>
      <c r="CE207" s="8">
        <v>41.84</v>
      </c>
      <c r="CF207" s="8">
        <v>38.590000000000003</v>
      </c>
      <c r="CG207" s="8">
        <v>32.67</v>
      </c>
      <c r="CH207" s="8">
        <v>32.78</v>
      </c>
      <c r="CI207" s="8">
        <v>68.28</v>
      </c>
      <c r="CJ207" s="8">
        <v>67.680000000000007</v>
      </c>
      <c r="CK207" s="8">
        <v>73.17</v>
      </c>
      <c r="CL207" s="8">
        <v>26.73</v>
      </c>
      <c r="CM207" s="8">
        <v>25.38</v>
      </c>
      <c r="CN207" s="8">
        <v>37.700000000000003</v>
      </c>
      <c r="CO207" s="8">
        <v>54.71</v>
      </c>
      <c r="CP207" s="8">
        <v>55.38</v>
      </c>
      <c r="CQ207" s="8">
        <v>109.99</v>
      </c>
      <c r="CR207" s="8">
        <v>52.29</v>
      </c>
      <c r="CS207" s="8">
        <v>37.69</v>
      </c>
      <c r="CT207" s="8">
        <v>47.64</v>
      </c>
      <c r="CU207" s="8">
        <v>34.68</v>
      </c>
      <c r="CV207" s="8">
        <v>47.47</v>
      </c>
      <c r="CW207" s="8">
        <v>47.47</v>
      </c>
      <c r="CX207" s="8">
        <v>117.07</v>
      </c>
      <c r="CY207" s="8">
        <v>117.07</v>
      </c>
      <c r="CZ207" s="8">
        <v>37.4</v>
      </c>
      <c r="DA207" s="8">
        <v>124.08</v>
      </c>
      <c r="DB207" s="8">
        <v>67.64</v>
      </c>
      <c r="DC207" s="8">
        <v>324.70999999999998</v>
      </c>
      <c r="DD207" s="8">
        <v>1409.23</v>
      </c>
      <c r="DE207" s="8">
        <v>85.82</v>
      </c>
      <c r="DF207" s="8">
        <v>53.14</v>
      </c>
      <c r="DI207" s="8">
        <v>45.58</v>
      </c>
      <c r="DJ207" s="8">
        <v>40.71</v>
      </c>
      <c r="DK207" s="8">
        <v>45.71</v>
      </c>
      <c r="DL207" s="8">
        <v>49.25</v>
      </c>
      <c r="DO207" s="8">
        <v>46.11</v>
      </c>
      <c r="DP207" s="8">
        <v>31.69</v>
      </c>
      <c r="DS207" s="8">
        <v>27.39</v>
      </c>
      <c r="DT207" s="8">
        <v>27.39</v>
      </c>
      <c r="DY207" s="8">
        <v>20.93</v>
      </c>
      <c r="DZ207" s="8">
        <v>20.93</v>
      </c>
      <c r="ED207" s="9">
        <v>-0.4</v>
      </c>
      <c r="EE207" s="9">
        <v>0</v>
      </c>
      <c r="EF207" s="9">
        <v>0.4</v>
      </c>
      <c r="EG207" s="9">
        <v>1.8</v>
      </c>
      <c r="EH207" s="9">
        <v>0</v>
      </c>
      <c r="EI207" s="9">
        <v>-2</v>
      </c>
      <c r="EJ207" s="9">
        <v>-1.4</v>
      </c>
      <c r="EK207" s="9">
        <v>0.9</v>
      </c>
      <c r="EL207" s="9">
        <v>0.1</v>
      </c>
      <c r="EM207" s="9">
        <v>-1.5</v>
      </c>
      <c r="EN207" s="9">
        <v>2.5</v>
      </c>
      <c r="EO207" s="9">
        <v>2.4</v>
      </c>
      <c r="EP207" s="9">
        <v>0.9</v>
      </c>
      <c r="EQ207" s="9">
        <v>1.7</v>
      </c>
      <c r="ER207" s="9">
        <v>0.1</v>
      </c>
      <c r="ES207" s="9">
        <v>0.7</v>
      </c>
      <c r="ET207" s="9">
        <v>-0.3</v>
      </c>
      <c r="EU207" s="9">
        <v>-2.1</v>
      </c>
      <c r="EV207" s="9">
        <v>-5.3</v>
      </c>
      <c r="EW207" s="9">
        <v>-3</v>
      </c>
      <c r="EX207" s="9">
        <v>-7.2</v>
      </c>
      <c r="EY207" s="9">
        <v>1.6</v>
      </c>
      <c r="EZ207" s="9">
        <v>-0.1</v>
      </c>
      <c r="FA207" s="9">
        <v>1.1000000000000001</v>
      </c>
      <c r="FB207" s="9">
        <v>0.5</v>
      </c>
      <c r="FC207" s="9">
        <v>-2.5</v>
      </c>
      <c r="FD207" s="9">
        <v>1.6</v>
      </c>
      <c r="FE207" s="9">
        <v>0.4</v>
      </c>
      <c r="FF207" s="9">
        <v>0.3</v>
      </c>
      <c r="FG207" s="9">
        <v>5.8</v>
      </c>
      <c r="FH207" s="9">
        <v>0.3</v>
      </c>
      <c r="FI207" s="9">
        <v>0.3</v>
      </c>
      <c r="FJ207" s="9">
        <v>0.7</v>
      </c>
      <c r="FK207" s="9">
        <v>0</v>
      </c>
      <c r="FL207" s="9">
        <v>-0.1</v>
      </c>
      <c r="FM207" s="9">
        <v>-0.1</v>
      </c>
      <c r="FN207" s="9">
        <v>-1.8</v>
      </c>
      <c r="FO207" s="9">
        <v>1.3</v>
      </c>
      <c r="FP207" s="9">
        <v>0</v>
      </c>
      <c r="FQ207" s="9">
        <v>-0.1</v>
      </c>
      <c r="FR207" s="9">
        <v>-0.1</v>
      </c>
      <c r="FS207" s="9">
        <v>-0.2</v>
      </c>
      <c r="FT207" s="9">
        <v>-0.2</v>
      </c>
      <c r="FU207" s="9">
        <v>-0.4</v>
      </c>
      <c r="FV207" s="9">
        <v>0.1</v>
      </c>
      <c r="FW207" s="9">
        <v>-0.8</v>
      </c>
      <c r="FX207" s="9">
        <v>-0.3</v>
      </c>
      <c r="FY207" s="9">
        <v>0.3</v>
      </c>
      <c r="FZ207" s="9">
        <v>-1.6</v>
      </c>
      <c r="GA207" s="9">
        <v>1.2</v>
      </c>
      <c r="GD207" s="9">
        <v>1.1000000000000001</v>
      </c>
      <c r="GE207" s="9">
        <v>-1</v>
      </c>
      <c r="GF207" s="9">
        <v>0.7</v>
      </c>
      <c r="GG207" s="9">
        <v>0.7</v>
      </c>
      <c r="GK207" s="9">
        <v>0.7</v>
      </c>
      <c r="GM207" s="9">
        <v>1</v>
      </c>
      <c r="GO207" s="9">
        <v>0.7</v>
      </c>
      <c r="GP207" s="9">
        <v>1.7</v>
      </c>
      <c r="GQ207" s="9">
        <v>-0.4</v>
      </c>
      <c r="GR207" s="9">
        <v>-1.1000000000000001</v>
      </c>
      <c r="GS207" s="9">
        <v>-1.4</v>
      </c>
      <c r="GT207" s="9">
        <v>-0.2</v>
      </c>
      <c r="GU207" s="9">
        <v>0.7</v>
      </c>
      <c r="GV207" s="9">
        <v>0.7</v>
      </c>
      <c r="GW207" s="9">
        <v>-0.7</v>
      </c>
      <c r="GX207" s="9">
        <v>-0.4</v>
      </c>
      <c r="GY207" s="9">
        <v>-0.4</v>
      </c>
      <c r="GZ207" s="9">
        <v>-2.5</v>
      </c>
      <c r="HA207" s="9">
        <v>0.5</v>
      </c>
      <c r="HB207" s="9">
        <v>-1.4</v>
      </c>
      <c r="HC207" s="9">
        <v>-3.8</v>
      </c>
      <c r="HD207" s="9">
        <v>-0.2</v>
      </c>
      <c r="HE207" s="9">
        <v>-0.1</v>
      </c>
      <c r="HF207" s="9">
        <v>1</v>
      </c>
      <c r="HG207" s="9">
        <v>2.1</v>
      </c>
      <c r="HH207" s="9">
        <v>0.1</v>
      </c>
      <c r="HI207" s="9">
        <v>1</v>
      </c>
      <c r="HJ207" s="9">
        <v>-4.7</v>
      </c>
      <c r="HK207" s="9">
        <v>-1.8</v>
      </c>
      <c r="HL207" s="9">
        <v>-2.2000000000000002</v>
      </c>
      <c r="HM207" s="9">
        <v>0.6</v>
      </c>
      <c r="HN207" s="9">
        <v>-5.4</v>
      </c>
      <c r="HO207" s="9">
        <v>-6.5</v>
      </c>
      <c r="HP207" s="9">
        <v>0.4</v>
      </c>
      <c r="HQ207" s="9">
        <v>0.4</v>
      </c>
      <c r="HR207" s="9">
        <v>0.3</v>
      </c>
      <c r="HS207" s="9">
        <v>1.1000000000000001</v>
      </c>
      <c r="HT207" s="9">
        <v>-0.2</v>
      </c>
      <c r="HU207" s="9">
        <v>-0.8</v>
      </c>
      <c r="HV207" s="9">
        <v>-0.3</v>
      </c>
      <c r="HW207" s="9">
        <v>2.2999999999999998</v>
      </c>
      <c r="HX207" s="9">
        <v>1</v>
      </c>
      <c r="HY207" s="9">
        <v>1</v>
      </c>
      <c r="HZ207" s="9">
        <v>0.1</v>
      </c>
      <c r="IA207" s="9">
        <v>0.1</v>
      </c>
      <c r="IB207" s="9">
        <v>0</v>
      </c>
      <c r="IC207" s="9">
        <v>0.1</v>
      </c>
      <c r="ID207" s="9">
        <v>1</v>
      </c>
      <c r="IE207" s="9">
        <v>-0.8</v>
      </c>
      <c r="IF207" s="9">
        <v>-1.7</v>
      </c>
      <c r="IG207" s="9">
        <v>-0.9</v>
      </c>
      <c r="IH207" s="9">
        <v>1</v>
      </c>
      <c r="IK207" s="9">
        <v>1.9</v>
      </c>
      <c r="IL207" s="9">
        <v>1.8</v>
      </c>
      <c r="IM207" s="9">
        <v>2.2000000000000002</v>
      </c>
      <c r="IN207" s="9">
        <v>-1.1000000000000001</v>
      </c>
      <c r="IQ207" s="9">
        <v>-1.8</v>
      </c>
    </row>
    <row r="208" spans="1:251" x14ac:dyDescent="0.2">
      <c r="A208" s="10">
        <v>35765</v>
      </c>
      <c r="B208" s="8">
        <v>46.39</v>
      </c>
      <c r="C208" s="8">
        <v>44.09</v>
      </c>
      <c r="D208" s="8">
        <v>49.83</v>
      </c>
      <c r="E208" s="8">
        <v>46.55</v>
      </c>
      <c r="F208" s="8">
        <v>47.81</v>
      </c>
      <c r="G208" s="8">
        <v>67.599999999999994</v>
      </c>
      <c r="H208" s="8">
        <v>59.23</v>
      </c>
      <c r="I208" s="8">
        <v>45.19</v>
      </c>
      <c r="J208" s="8">
        <v>35.4</v>
      </c>
      <c r="K208" s="8">
        <v>48.3</v>
      </c>
      <c r="L208" s="8">
        <v>30.13</v>
      </c>
      <c r="M208" s="8">
        <v>75.02</v>
      </c>
      <c r="N208" s="8">
        <v>39.549999999999997</v>
      </c>
      <c r="O208" s="8">
        <v>50.13</v>
      </c>
      <c r="P208" s="8">
        <v>50.46</v>
      </c>
      <c r="Q208" s="8">
        <v>55.68</v>
      </c>
      <c r="R208" s="8">
        <v>41.19</v>
      </c>
      <c r="S208" s="8">
        <v>51.26</v>
      </c>
      <c r="T208" s="8">
        <v>38.479999999999997</v>
      </c>
      <c r="U208" s="8">
        <v>39.94</v>
      </c>
      <c r="V208" s="8">
        <v>37.35</v>
      </c>
      <c r="W208" s="8">
        <v>48.31</v>
      </c>
      <c r="X208" s="8">
        <v>44.81</v>
      </c>
      <c r="Y208" s="8">
        <v>52.88</v>
      </c>
      <c r="Z208" s="8">
        <v>59</v>
      </c>
      <c r="AA208" s="8">
        <v>33.549999999999997</v>
      </c>
      <c r="AB208" s="8">
        <v>45.7</v>
      </c>
      <c r="AC208" s="8">
        <v>59.06</v>
      </c>
      <c r="AD208" s="8">
        <v>51.4</v>
      </c>
      <c r="AE208" s="8">
        <v>61.71</v>
      </c>
      <c r="AF208" s="8">
        <v>49.76</v>
      </c>
      <c r="AG208" s="8">
        <v>39.24</v>
      </c>
      <c r="AH208" s="8">
        <v>41.13</v>
      </c>
      <c r="AI208" s="8">
        <v>37.340000000000003</v>
      </c>
      <c r="AJ208" s="8">
        <v>24.1</v>
      </c>
      <c r="AK208" s="8">
        <v>47.16</v>
      </c>
      <c r="AL208" s="8">
        <v>39.93</v>
      </c>
      <c r="AM208" s="8">
        <v>74.47</v>
      </c>
      <c r="AN208" s="8">
        <v>36.4</v>
      </c>
      <c r="AO208" s="8">
        <v>8.0399999999999991</v>
      </c>
      <c r="AP208" s="8">
        <v>8.0399999999999991</v>
      </c>
      <c r="AQ208" s="8">
        <v>97.16</v>
      </c>
      <c r="AR208" s="8">
        <v>114.84</v>
      </c>
      <c r="AS208" s="8">
        <v>111.88</v>
      </c>
      <c r="AT208" s="8">
        <v>121.21</v>
      </c>
      <c r="AU208" s="8">
        <v>99.04</v>
      </c>
      <c r="AV208" s="8">
        <v>111.08</v>
      </c>
      <c r="AW208" s="8">
        <v>112.71</v>
      </c>
      <c r="AX208" s="8">
        <v>114.31</v>
      </c>
      <c r="AY208" s="8">
        <v>100.36</v>
      </c>
      <c r="BB208" s="8">
        <v>39.25</v>
      </c>
      <c r="BC208" s="8">
        <v>34.82</v>
      </c>
      <c r="BD208" s="8">
        <v>43.07</v>
      </c>
      <c r="BE208" s="8">
        <v>43.07</v>
      </c>
      <c r="BI208" s="8">
        <v>43.19</v>
      </c>
      <c r="BK208" s="8">
        <v>27.66</v>
      </c>
      <c r="BM208" s="8">
        <v>28.94</v>
      </c>
      <c r="BN208" s="8">
        <v>22.36</v>
      </c>
      <c r="BO208" s="8">
        <v>71.16</v>
      </c>
      <c r="BP208" s="8">
        <v>69.78</v>
      </c>
      <c r="BQ208" s="8">
        <v>76.39</v>
      </c>
      <c r="BR208" s="8">
        <v>48.81</v>
      </c>
      <c r="BS208" s="8">
        <v>127.01</v>
      </c>
      <c r="BT208" s="8">
        <v>127.01</v>
      </c>
      <c r="BU208" s="8">
        <v>104.6</v>
      </c>
      <c r="BV208" s="8">
        <v>106.67</v>
      </c>
      <c r="BW208" s="8">
        <v>121.67</v>
      </c>
      <c r="BX208" s="8">
        <v>121.56</v>
      </c>
      <c r="BY208" s="8">
        <v>75.27</v>
      </c>
      <c r="BZ208" s="8">
        <v>75.86</v>
      </c>
      <c r="CA208" s="8">
        <v>76.83</v>
      </c>
      <c r="CB208" s="8">
        <v>90.32</v>
      </c>
      <c r="CC208" s="8">
        <v>62.43</v>
      </c>
      <c r="CD208" s="8">
        <v>36.92</v>
      </c>
      <c r="CE208" s="8">
        <v>42.3</v>
      </c>
      <c r="CF208" s="8">
        <v>39.1</v>
      </c>
      <c r="CG208" s="8">
        <v>32.799999999999997</v>
      </c>
      <c r="CH208" s="8">
        <v>34.04</v>
      </c>
      <c r="CI208" s="8">
        <v>65.44</v>
      </c>
      <c r="CJ208" s="8">
        <v>64.180000000000007</v>
      </c>
      <c r="CK208" s="8">
        <v>73.53</v>
      </c>
      <c r="CL208" s="8">
        <v>28.25</v>
      </c>
      <c r="CM208" s="8">
        <v>27.06</v>
      </c>
      <c r="CN208" s="8">
        <v>37.99</v>
      </c>
      <c r="CO208" s="8">
        <v>54.54</v>
      </c>
      <c r="CP208" s="8">
        <v>55.2</v>
      </c>
      <c r="CQ208" s="8">
        <v>106.52</v>
      </c>
      <c r="CR208" s="8">
        <v>52.04</v>
      </c>
      <c r="CS208" s="8">
        <v>38.130000000000003</v>
      </c>
      <c r="CT208" s="8">
        <v>47.52</v>
      </c>
      <c r="CU208" s="8">
        <v>34.72</v>
      </c>
      <c r="CV208" s="8">
        <v>47.53</v>
      </c>
      <c r="CW208" s="8">
        <v>47.53</v>
      </c>
      <c r="CX208" s="8">
        <v>117.4</v>
      </c>
      <c r="CY208" s="8">
        <v>117.4</v>
      </c>
      <c r="CZ208" s="8">
        <v>37.4</v>
      </c>
      <c r="DA208" s="8">
        <v>124.31</v>
      </c>
      <c r="DB208" s="8">
        <v>67.87</v>
      </c>
      <c r="DC208" s="8">
        <v>324.70999999999998</v>
      </c>
      <c r="DD208" s="8">
        <v>1390.54</v>
      </c>
      <c r="DE208" s="8">
        <v>85.82</v>
      </c>
      <c r="DF208" s="8">
        <v>53.92</v>
      </c>
      <c r="DI208" s="8">
        <v>46.01</v>
      </c>
      <c r="DJ208" s="8">
        <v>41.66</v>
      </c>
      <c r="DK208" s="8">
        <v>45.35</v>
      </c>
      <c r="DL208" s="8">
        <v>50.23</v>
      </c>
      <c r="DO208" s="8">
        <v>47.41</v>
      </c>
      <c r="DP208" s="8">
        <v>31.78</v>
      </c>
      <c r="DS208" s="8">
        <v>27.39</v>
      </c>
      <c r="DT208" s="8">
        <v>27.39</v>
      </c>
      <c r="DY208" s="8">
        <v>21.1</v>
      </c>
      <c r="DZ208" s="8">
        <v>21.1</v>
      </c>
      <c r="ED208" s="9">
        <v>0.2</v>
      </c>
      <c r="EE208" s="9">
        <v>0.3</v>
      </c>
      <c r="EF208" s="9">
        <v>0.2</v>
      </c>
      <c r="EG208" s="9">
        <v>-0.5</v>
      </c>
      <c r="EH208" s="9">
        <v>0.6</v>
      </c>
      <c r="EI208" s="9">
        <v>0.4</v>
      </c>
      <c r="EJ208" s="9">
        <v>2.4</v>
      </c>
      <c r="EK208" s="9">
        <v>-0.2</v>
      </c>
      <c r="EL208" s="9">
        <v>0.5</v>
      </c>
      <c r="EM208" s="9">
        <v>0.8</v>
      </c>
      <c r="EN208" s="9">
        <v>-3.2</v>
      </c>
      <c r="EO208" s="9">
        <v>-1.5</v>
      </c>
      <c r="EP208" s="9">
        <v>0.4</v>
      </c>
      <c r="EQ208" s="9">
        <v>2.2000000000000002</v>
      </c>
      <c r="ER208" s="9">
        <v>0.3</v>
      </c>
      <c r="ES208" s="9">
        <v>1.2</v>
      </c>
      <c r="ET208" s="9">
        <v>-2.4</v>
      </c>
      <c r="EU208" s="9">
        <v>0.6</v>
      </c>
      <c r="EV208" s="9">
        <v>-0.1</v>
      </c>
      <c r="EW208" s="9">
        <v>-2.6</v>
      </c>
      <c r="EX208" s="9">
        <v>2.1</v>
      </c>
      <c r="EY208" s="9">
        <v>1.7</v>
      </c>
      <c r="EZ208" s="9">
        <v>1.4</v>
      </c>
      <c r="FA208" s="9">
        <v>2</v>
      </c>
      <c r="FB208" s="9">
        <v>-1.1000000000000001</v>
      </c>
      <c r="FC208" s="9">
        <v>-0.7</v>
      </c>
      <c r="FD208" s="9">
        <v>1.7</v>
      </c>
      <c r="FE208" s="9">
        <v>0.8</v>
      </c>
      <c r="FF208" s="9">
        <v>1.5</v>
      </c>
      <c r="FG208" s="9">
        <v>1.9</v>
      </c>
      <c r="FH208" s="9">
        <v>1.5</v>
      </c>
      <c r="FI208" s="9">
        <v>-0.4</v>
      </c>
      <c r="FJ208" s="9">
        <v>0.7</v>
      </c>
      <c r="FK208" s="9">
        <v>-1.1000000000000001</v>
      </c>
      <c r="FL208" s="9">
        <v>1.5</v>
      </c>
      <c r="FM208" s="9">
        <v>0.4</v>
      </c>
      <c r="FN208" s="9">
        <v>0.3</v>
      </c>
      <c r="FO208" s="9">
        <v>0.8</v>
      </c>
      <c r="FP208" s="9">
        <v>0.3</v>
      </c>
      <c r="FQ208" s="9">
        <v>2.9</v>
      </c>
      <c r="FR208" s="9">
        <v>2.9</v>
      </c>
      <c r="FS208" s="9">
        <v>0.7</v>
      </c>
      <c r="FT208" s="9">
        <v>0.7</v>
      </c>
      <c r="FU208" s="9">
        <v>0.4</v>
      </c>
      <c r="FV208" s="9">
        <v>0.9</v>
      </c>
      <c r="FW208" s="9">
        <v>0.7</v>
      </c>
      <c r="FX208" s="9">
        <v>0.9</v>
      </c>
      <c r="FY208" s="9">
        <v>-2.4</v>
      </c>
      <c r="FZ208" s="9">
        <v>3.2</v>
      </c>
      <c r="GA208" s="9">
        <v>1.1000000000000001</v>
      </c>
      <c r="GD208" s="9">
        <v>0</v>
      </c>
      <c r="GE208" s="9">
        <v>-1.8</v>
      </c>
      <c r="GF208" s="9">
        <v>0.8</v>
      </c>
      <c r="GG208" s="9">
        <v>0.8</v>
      </c>
      <c r="GK208" s="9">
        <v>0.6</v>
      </c>
      <c r="GM208" s="9">
        <v>0</v>
      </c>
      <c r="GO208" s="9">
        <v>0</v>
      </c>
      <c r="GP208" s="9">
        <v>-0.1</v>
      </c>
      <c r="GQ208" s="9">
        <v>0.4</v>
      </c>
      <c r="GR208" s="9">
        <v>2</v>
      </c>
      <c r="GS208" s="9">
        <v>2.2999999999999998</v>
      </c>
      <c r="GT208" s="9">
        <v>0.5</v>
      </c>
      <c r="GU208" s="9">
        <v>0.9</v>
      </c>
      <c r="GV208" s="9">
        <v>0.9</v>
      </c>
      <c r="GW208" s="9">
        <v>0.2</v>
      </c>
      <c r="GX208" s="9">
        <v>-0.4</v>
      </c>
      <c r="GY208" s="9">
        <v>-0.4</v>
      </c>
      <c r="GZ208" s="9">
        <v>2</v>
      </c>
      <c r="HA208" s="9">
        <v>-0.3</v>
      </c>
      <c r="HB208" s="9">
        <v>1</v>
      </c>
      <c r="HC208" s="9">
        <v>-0.5</v>
      </c>
      <c r="HD208" s="9">
        <v>0.3</v>
      </c>
      <c r="HE208" s="9">
        <v>1</v>
      </c>
      <c r="HF208" s="9">
        <v>0.4</v>
      </c>
      <c r="HG208" s="9">
        <v>1.1000000000000001</v>
      </c>
      <c r="HH208" s="9">
        <v>1.3</v>
      </c>
      <c r="HI208" s="9">
        <v>0.4</v>
      </c>
      <c r="HJ208" s="9">
        <v>3.8</v>
      </c>
      <c r="HK208" s="9">
        <v>-4.2</v>
      </c>
      <c r="HL208" s="9">
        <v>-5.2</v>
      </c>
      <c r="HM208" s="9">
        <v>0.5</v>
      </c>
      <c r="HN208" s="9">
        <v>5.7</v>
      </c>
      <c r="HO208" s="9">
        <v>6.6</v>
      </c>
      <c r="HP208" s="9">
        <v>0.8</v>
      </c>
      <c r="HQ208" s="9">
        <v>-0.3</v>
      </c>
      <c r="HR208" s="9">
        <v>-0.3</v>
      </c>
      <c r="HS208" s="9">
        <v>-3.2</v>
      </c>
      <c r="HT208" s="9">
        <v>-0.5</v>
      </c>
      <c r="HU208" s="9">
        <v>1.2</v>
      </c>
      <c r="HV208" s="9">
        <v>-0.3</v>
      </c>
      <c r="HW208" s="9">
        <v>0.1</v>
      </c>
      <c r="HX208" s="9">
        <v>0.1</v>
      </c>
      <c r="HY208" s="9">
        <v>0.1</v>
      </c>
      <c r="HZ208" s="9">
        <v>0.3</v>
      </c>
      <c r="IA208" s="9">
        <v>0.3</v>
      </c>
      <c r="IB208" s="9">
        <v>0</v>
      </c>
      <c r="IC208" s="9">
        <v>0.2</v>
      </c>
      <c r="ID208" s="9">
        <v>0.3</v>
      </c>
      <c r="IE208" s="9">
        <v>0</v>
      </c>
      <c r="IF208" s="9">
        <v>-1.3</v>
      </c>
      <c r="IG208" s="9">
        <v>0</v>
      </c>
      <c r="IH208" s="9">
        <v>1.5</v>
      </c>
      <c r="IK208" s="9">
        <v>0.9</v>
      </c>
      <c r="IL208" s="9">
        <v>2.2999999999999998</v>
      </c>
      <c r="IM208" s="9">
        <v>-0.8</v>
      </c>
      <c r="IN208" s="9">
        <v>2</v>
      </c>
      <c r="IQ208" s="9">
        <v>2.8</v>
      </c>
    </row>
    <row r="209" spans="1:251" x14ac:dyDescent="0.2">
      <c r="A209" s="10">
        <v>35855</v>
      </c>
      <c r="B209" s="8">
        <v>46.51</v>
      </c>
      <c r="C209" s="8">
        <v>44.45</v>
      </c>
      <c r="D209" s="8">
        <v>50.01</v>
      </c>
      <c r="E209" s="8">
        <v>47.09</v>
      </c>
      <c r="F209" s="8">
        <v>47.73</v>
      </c>
      <c r="G209" s="8">
        <v>66.97</v>
      </c>
      <c r="H209" s="8">
        <v>59.28</v>
      </c>
      <c r="I209" s="8">
        <v>45.23</v>
      </c>
      <c r="J209" s="8">
        <v>35.5</v>
      </c>
      <c r="K209" s="8">
        <v>48.42</v>
      </c>
      <c r="L209" s="8">
        <v>29.9</v>
      </c>
      <c r="M209" s="8">
        <v>75.099999999999994</v>
      </c>
      <c r="N209" s="8">
        <v>39.51</v>
      </c>
      <c r="O209" s="8">
        <v>50.46</v>
      </c>
      <c r="P209" s="8">
        <v>51.1</v>
      </c>
      <c r="Q209" s="8">
        <v>56.29</v>
      </c>
      <c r="R209" s="8">
        <v>41.75</v>
      </c>
      <c r="S209" s="8">
        <v>52.62</v>
      </c>
      <c r="T209" s="8">
        <v>39.08</v>
      </c>
      <c r="U209" s="8">
        <v>37.75</v>
      </c>
      <c r="V209" s="8">
        <v>40.200000000000003</v>
      </c>
      <c r="W209" s="8">
        <v>48.44</v>
      </c>
      <c r="X209" s="8">
        <v>43.92</v>
      </c>
      <c r="Y209" s="8">
        <v>53.4</v>
      </c>
      <c r="Z209" s="8">
        <v>61.22</v>
      </c>
      <c r="AA209" s="8">
        <v>34.24</v>
      </c>
      <c r="AB209" s="8">
        <v>45.83</v>
      </c>
      <c r="AC209" s="8">
        <v>59.11</v>
      </c>
      <c r="AD209" s="8">
        <v>51.84</v>
      </c>
      <c r="AE209" s="8">
        <v>63.71</v>
      </c>
      <c r="AF209" s="8">
        <v>50.19</v>
      </c>
      <c r="AG209" s="8">
        <v>39.69</v>
      </c>
      <c r="AH209" s="8">
        <v>41.33</v>
      </c>
      <c r="AI209" s="8">
        <v>37.93</v>
      </c>
      <c r="AJ209" s="8">
        <v>24.27</v>
      </c>
      <c r="AK209" s="8">
        <v>47.3</v>
      </c>
      <c r="AL209" s="8">
        <v>40.08</v>
      </c>
      <c r="AM209" s="8">
        <v>74.760000000000005</v>
      </c>
      <c r="AN209" s="8">
        <v>36.450000000000003</v>
      </c>
      <c r="AO209" s="8">
        <v>8.14</v>
      </c>
      <c r="AP209" s="8">
        <v>8.14</v>
      </c>
      <c r="AQ209" s="8">
        <v>96.8</v>
      </c>
      <c r="AR209" s="8">
        <v>114.53</v>
      </c>
      <c r="AS209" s="8">
        <v>111.07</v>
      </c>
      <c r="AT209" s="8">
        <v>121.21</v>
      </c>
      <c r="AU209" s="8">
        <v>98.6</v>
      </c>
      <c r="AV209" s="8">
        <v>109.3</v>
      </c>
      <c r="AW209" s="8">
        <v>112.23</v>
      </c>
      <c r="AX209" s="8">
        <v>111.77</v>
      </c>
      <c r="AY209" s="8">
        <v>98.54</v>
      </c>
      <c r="BB209" s="8">
        <v>39.58</v>
      </c>
      <c r="BC209" s="8">
        <v>34.53</v>
      </c>
      <c r="BD209" s="8">
        <v>43.32</v>
      </c>
      <c r="BE209" s="8">
        <v>43.32</v>
      </c>
      <c r="BI209" s="8">
        <v>43.09</v>
      </c>
      <c r="BK209" s="8">
        <v>27.64</v>
      </c>
      <c r="BM209" s="8">
        <v>28.94</v>
      </c>
      <c r="BN209" s="8">
        <v>22.36</v>
      </c>
      <c r="BO209" s="8">
        <v>71.16</v>
      </c>
      <c r="BP209" s="8">
        <v>69.83</v>
      </c>
      <c r="BQ209" s="8">
        <v>76.39</v>
      </c>
      <c r="BR209" s="8">
        <v>49.17</v>
      </c>
      <c r="BS209" s="8">
        <v>127.54</v>
      </c>
      <c r="BT209" s="8">
        <v>127.54</v>
      </c>
      <c r="BU209" s="8">
        <v>104.6</v>
      </c>
      <c r="BV209" s="8">
        <v>106.18</v>
      </c>
      <c r="BW209" s="8">
        <v>121.11</v>
      </c>
      <c r="BX209" s="8">
        <v>122.51</v>
      </c>
      <c r="BY209" s="8">
        <v>75.47</v>
      </c>
      <c r="BZ209" s="8">
        <v>75.55</v>
      </c>
      <c r="CA209" s="8">
        <v>77.02</v>
      </c>
      <c r="CB209" s="8">
        <v>90.18</v>
      </c>
      <c r="CC209" s="8">
        <v>62.22</v>
      </c>
      <c r="CD209" s="8">
        <v>37.200000000000003</v>
      </c>
      <c r="CE209" s="8">
        <v>43.27</v>
      </c>
      <c r="CF209" s="8">
        <v>39.369999999999997</v>
      </c>
      <c r="CG209" s="8">
        <v>33.04</v>
      </c>
      <c r="CH209" s="8">
        <v>34.56</v>
      </c>
      <c r="CI209" s="8">
        <v>68.81</v>
      </c>
      <c r="CJ209" s="8">
        <v>68.2</v>
      </c>
      <c r="CK209" s="8">
        <v>73.83</v>
      </c>
      <c r="CL209" s="8">
        <v>28.47</v>
      </c>
      <c r="CM209" s="8">
        <v>27.23</v>
      </c>
      <c r="CN209" s="8">
        <v>38.54</v>
      </c>
      <c r="CO209" s="8">
        <v>54.05</v>
      </c>
      <c r="CP209" s="8">
        <v>54.62</v>
      </c>
      <c r="CQ209" s="8">
        <v>107.39</v>
      </c>
      <c r="CR209" s="8">
        <v>52.04</v>
      </c>
      <c r="CS209" s="8">
        <v>36.47</v>
      </c>
      <c r="CT209" s="8">
        <v>47.56</v>
      </c>
      <c r="CU209" s="8">
        <v>34.93</v>
      </c>
      <c r="CV209" s="8">
        <v>47.62</v>
      </c>
      <c r="CW209" s="8">
        <v>47.62</v>
      </c>
      <c r="CX209" s="8">
        <v>117.4</v>
      </c>
      <c r="CY209" s="8">
        <v>117.4</v>
      </c>
      <c r="CZ209" s="8">
        <v>37.43</v>
      </c>
      <c r="DA209" s="8">
        <v>124.43</v>
      </c>
      <c r="DB209" s="8">
        <v>68.739999999999995</v>
      </c>
      <c r="DC209" s="8">
        <v>329.96</v>
      </c>
      <c r="DD209" s="8">
        <v>1379.33</v>
      </c>
      <c r="DE209" s="8">
        <v>87.21</v>
      </c>
      <c r="DF209" s="8">
        <v>54.18</v>
      </c>
      <c r="DI209" s="8">
        <v>46.93</v>
      </c>
      <c r="DJ209" s="8">
        <v>44.03</v>
      </c>
      <c r="DK209" s="8">
        <v>43.97</v>
      </c>
      <c r="DL209" s="8">
        <v>49.96</v>
      </c>
      <c r="DO209" s="8">
        <v>46.83</v>
      </c>
      <c r="DP209" s="8">
        <v>32.020000000000003</v>
      </c>
      <c r="DS209" s="8">
        <v>29.01</v>
      </c>
      <c r="DT209" s="8">
        <v>29.01</v>
      </c>
      <c r="DY209" s="8">
        <v>21.21</v>
      </c>
      <c r="DZ209" s="8">
        <v>21.21</v>
      </c>
      <c r="ED209" s="9">
        <v>0.3</v>
      </c>
      <c r="EE209" s="9">
        <v>0.8</v>
      </c>
      <c r="EF209" s="9">
        <v>0.4</v>
      </c>
      <c r="EG209" s="9">
        <v>1.2</v>
      </c>
      <c r="EH209" s="9">
        <v>-0.2</v>
      </c>
      <c r="EI209" s="9">
        <v>-0.9</v>
      </c>
      <c r="EJ209" s="9">
        <v>0.1</v>
      </c>
      <c r="EK209" s="9">
        <v>0.1</v>
      </c>
      <c r="EL209" s="9">
        <v>0.3</v>
      </c>
      <c r="EM209" s="9">
        <v>0.2</v>
      </c>
      <c r="EN209" s="9">
        <v>-0.8</v>
      </c>
      <c r="EO209" s="9">
        <v>0.1</v>
      </c>
      <c r="EP209" s="9">
        <v>-0.1</v>
      </c>
      <c r="EQ209" s="9">
        <v>0.7</v>
      </c>
      <c r="ER209" s="9">
        <v>1.3</v>
      </c>
      <c r="ES209" s="9">
        <v>1.1000000000000001</v>
      </c>
      <c r="ET209" s="9">
        <v>1.4</v>
      </c>
      <c r="EU209" s="9">
        <v>2.7</v>
      </c>
      <c r="EV209" s="9">
        <v>1.6</v>
      </c>
      <c r="EW209" s="9">
        <v>-5.5</v>
      </c>
      <c r="EX209" s="9">
        <v>7.6</v>
      </c>
      <c r="EY209" s="9">
        <v>0.3</v>
      </c>
      <c r="EZ209" s="9">
        <v>-2</v>
      </c>
      <c r="FA209" s="9">
        <v>1</v>
      </c>
      <c r="FB209" s="9">
        <v>3.8</v>
      </c>
      <c r="FC209" s="9">
        <v>2.1</v>
      </c>
      <c r="FD209" s="9">
        <v>0.3</v>
      </c>
      <c r="FE209" s="9">
        <v>0.1</v>
      </c>
      <c r="FF209" s="9">
        <v>0.9</v>
      </c>
      <c r="FG209" s="9">
        <v>3.2</v>
      </c>
      <c r="FH209" s="9">
        <v>0.9</v>
      </c>
      <c r="FI209" s="9">
        <v>1.1000000000000001</v>
      </c>
      <c r="FJ209" s="9">
        <v>0.5</v>
      </c>
      <c r="FK209" s="9">
        <v>1.6</v>
      </c>
      <c r="FL209" s="9">
        <v>0.7</v>
      </c>
      <c r="FM209" s="9">
        <v>0.3</v>
      </c>
      <c r="FN209" s="9">
        <v>0.4</v>
      </c>
      <c r="FO209" s="9">
        <v>0.4</v>
      </c>
      <c r="FP209" s="9">
        <v>0.1</v>
      </c>
      <c r="FQ209" s="9">
        <v>1.2</v>
      </c>
      <c r="FR209" s="9">
        <v>1.2</v>
      </c>
      <c r="FS209" s="9">
        <v>-0.4</v>
      </c>
      <c r="FT209" s="9">
        <v>-0.3</v>
      </c>
      <c r="FU209" s="9">
        <v>-0.7</v>
      </c>
      <c r="FV209" s="9">
        <v>0</v>
      </c>
      <c r="FW209" s="9">
        <v>-0.4</v>
      </c>
      <c r="FX209" s="9">
        <v>-1.6</v>
      </c>
      <c r="FY209" s="9">
        <v>-0.4</v>
      </c>
      <c r="FZ209" s="9">
        <v>-2.2000000000000002</v>
      </c>
      <c r="GA209" s="9">
        <v>-1.8</v>
      </c>
      <c r="GD209" s="9">
        <v>0.8</v>
      </c>
      <c r="GE209" s="9">
        <v>-0.8</v>
      </c>
      <c r="GF209" s="9">
        <v>0.6</v>
      </c>
      <c r="GG209" s="9">
        <v>0.6</v>
      </c>
      <c r="GK209" s="9">
        <v>-0.2</v>
      </c>
      <c r="GM209" s="9">
        <v>-0.1</v>
      </c>
      <c r="GO209" s="9">
        <v>0</v>
      </c>
      <c r="GP209" s="9">
        <v>0</v>
      </c>
      <c r="GQ209" s="9">
        <v>0</v>
      </c>
      <c r="GR209" s="9">
        <v>0.1</v>
      </c>
      <c r="GS209" s="9">
        <v>0</v>
      </c>
      <c r="GT209" s="9">
        <v>0.7</v>
      </c>
      <c r="GU209" s="9">
        <v>0.4</v>
      </c>
      <c r="GV209" s="9">
        <v>0.4</v>
      </c>
      <c r="GW209" s="9">
        <v>0</v>
      </c>
      <c r="GX209" s="9">
        <v>-0.5</v>
      </c>
      <c r="GY209" s="9">
        <v>-0.5</v>
      </c>
      <c r="GZ209" s="9">
        <v>0.8</v>
      </c>
      <c r="HA209" s="9">
        <v>0.3</v>
      </c>
      <c r="HB209" s="9">
        <v>-0.4</v>
      </c>
      <c r="HC209" s="9">
        <v>0.2</v>
      </c>
      <c r="HD209" s="9">
        <v>-0.2</v>
      </c>
      <c r="HE209" s="9">
        <v>-0.3</v>
      </c>
      <c r="HF209" s="9">
        <v>0.8</v>
      </c>
      <c r="HG209" s="9">
        <v>2.2999999999999998</v>
      </c>
      <c r="HH209" s="9">
        <v>0.7</v>
      </c>
      <c r="HI209" s="9">
        <v>0.7</v>
      </c>
      <c r="HJ209" s="9">
        <v>1.5</v>
      </c>
      <c r="HK209" s="9">
        <v>5.0999999999999996</v>
      </c>
      <c r="HL209" s="9">
        <v>6.3</v>
      </c>
      <c r="HM209" s="9">
        <v>0.4</v>
      </c>
      <c r="HN209" s="9">
        <v>0.8</v>
      </c>
      <c r="HO209" s="9">
        <v>0.6</v>
      </c>
      <c r="HP209" s="9">
        <v>1.4</v>
      </c>
      <c r="HQ209" s="9">
        <v>-0.9</v>
      </c>
      <c r="HR209" s="9">
        <v>-1.1000000000000001</v>
      </c>
      <c r="HS209" s="9">
        <v>0.8</v>
      </c>
      <c r="HT209" s="9">
        <v>0</v>
      </c>
      <c r="HU209" s="9">
        <v>-4.4000000000000004</v>
      </c>
      <c r="HV209" s="9">
        <v>0.1</v>
      </c>
      <c r="HW209" s="9">
        <v>0.6</v>
      </c>
      <c r="HX209" s="9">
        <v>0.2</v>
      </c>
      <c r="HY209" s="9">
        <v>0.2</v>
      </c>
      <c r="HZ209" s="9">
        <v>0</v>
      </c>
      <c r="IA209" s="9">
        <v>0</v>
      </c>
      <c r="IB209" s="9">
        <v>0.1</v>
      </c>
      <c r="IC209" s="9">
        <v>0.1</v>
      </c>
      <c r="ID209" s="9">
        <v>1.3</v>
      </c>
      <c r="IE209" s="9">
        <v>1.6</v>
      </c>
      <c r="IF209" s="9">
        <v>-0.8</v>
      </c>
      <c r="IG209" s="9">
        <v>1.6</v>
      </c>
      <c r="IH209" s="9">
        <v>0.5</v>
      </c>
      <c r="IK209" s="9">
        <v>2</v>
      </c>
      <c r="IL209" s="9">
        <v>5.7</v>
      </c>
      <c r="IM209" s="9">
        <v>-3</v>
      </c>
      <c r="IN209" s="9">
        <v>-0.5</v>
      </c>
      <c r="IQ209" s="9">
        <v>-1.2</v>
      </c>
    </row>
    <row r="210" spans="1:251" x14ac:dyDescent="0.2">
      <c r="A210" s="10">
        <v>35947</v>
      </c>
      <c r="B210" s="8">
        <v>46.78</v>
      </c>
      <c r="C210" s="8">
        <v>44.81</v>
      </c>
      <c r="D210" s="8">
        <v>50.42</v>
      </c>
      <c r="E210" s="8">
        <v>47.37</v>
      </c>
      <c r="F210" s="8">
        <v>48.11</v>
      </c>
      <c r="G210" s="8">
        <v>68.33</v>
      </c>
      <c r="H210" s="8">
        <v>59.51</v>
      </c>
      <c r="I210" s="8">
        <v>45.19</v>
      </c>
      <c r="J210" s="8">
        <v>35.43</v>
      </c>
      <c r="K210" s="8">
        <v>47.79</v>
      </c>
      <c r="L210" s="8">
        <v>30.37</v>
      </c>
      <c r="M210" s="8">
        <v>74.010000000000005</v>
      </c>
      <c r="N210" s="8">
        <v>39.65</v>
      </c>
      <c r="O210" s="8">
        <v>50.56</v>
      </c>
      <c r="P210" s="8">
        <v>51.14</v>
      </c>
      <c r="Q210" s="8">
        <v>56.4</v>
      </c>
      <c r="R210" s="8">
        <v>41.42</v>
      </c>
      <c r="S210" s="8">
        <v>53.28</v>
      </c>
      <c r="T210" s="8">
        <v>40.83</v>
      </c>
      <c r="U210" s="8">
        <v>39.630000000000003</v>
      </c>
      <c r="V210" s="8">
        <v>41.8</v>
      </c>
      <c r="W210" s="8">
        <v>48.65</v>
      </c>
      <c r="X210" s="8">
        <v>44.1</v>
      </c>
      <c r="Y210" s="8">
        <v>52.39</v>
      </c>
      <c r="Z210" s="8">
        <v>61.9</v>
      </c>
      <c r="AA210" s="8">
        <v>34.450000000000003</v>
      </c>
      <c r="AB210" s="8">
        <v>46.02</v>
      </c>
      <c r="AC210" s="8">
        <v>59.11</v>
      </c>
      <c r="AD210" s="8">
        <v>52</v>
      </c>
      <c r="AE210" s="8">
        <v>62.71</v>
      </c>
      <c r="AF210" s="8">
        <v>50.35</v>
      </c>
      <c r="AG210" s="8">
        <v>39.99</v>
      </c>
      <c r="AH210" s="8">
        <v>41.84</v>
      </c>
      <c r="AI210" s="8">
        <v>38.090000000000003</v>
      </c>
      <c r="AJ210" s="8">
        <v>24.46</v>
      </c>
      <c r="AK210" s="8">
        <v>47.55</v>
      </c>
      <c r="AL210" s="8">
        <v>40.14</v>
      </c>
      <c r="AM210" s="8">
        <v>75.400000000000006</v>
      </c>
      <c r="AN210" s="8">
        <v>36.64</v>
      </c>
      <c r="AO210" s="8">
        <v>8.23</v>
      </c>
      <c r="AP210" s="8">
        <v>8.23</v>
      </c>
      <c r="AQ210" s="8">
        <v>96.71</v>
      </c>
      <c r="AR210" s="8">
        <v>114.53</v>
      </c>
      <c r="AS210" s="8">
        <v>112.08</v>
      </c>
      <c r="AT210" s="8">
        <v>120.77</v>
      </c>
      <c r="AU210" s="8">
        <v>98.07</v>
      </c>
      <c r="AV210" s="8">
        <v>108.63</v>
      </c>
      <c r="AW210" s="8">
        <v>109.5</v>
      </c>
      <c r="AX210" s="8">
        <v>112.65</v>
      </c>
      <c r="AY210" s="8">
        <v>97.53</v>
      </c>
      <c r="AZ210" s="8">
        <v>55.92</v>
      </c>
      <c r="BA210" s="8">
        <v>66.44</v>
      </c>
      <c r="BB210" s="8">
        <v>39.659999999999997</v>
      </c>
      <c r="BC210" s="8">
        <v>34.93</v>
      </c>
      <c r="BD210" s="8">
        <v>43.76</v>
      </c>
      <c r="BE210" s="8">
        <v>43.76</v>
      </c>
      <c r="BF210" s="8">
        <v>32.9</v>
      </c>
      <c r="BG210" s="8">
        <v>32.9</v>
      </c>
      <c r="BH210" s="8">
        <v>34.83</v>
      </c>
      <c r="BI210" s="8">
        <v>43.48</v>
      </c>
      <c r="BJ210" s="8">
        <v>26.21</v>
      </c>
      <c r="BK210" s="8">
        <v>27.66</v>
      </c>
      <c r="BL210" s="8">
        <v>31.54</v>
      </c>
      <c r="BM210" s="8">
        <v>28.94</v>
      </c>
      <c r="BN210" s="8">
        <v>22.38</v>
      </c>
      <c r="BO210" s="8">
        <v>71.28</v>
      </c>
      <c r="BP210" s="8">
        <v>70.069999999999993</v>
      </c>
      <c r="BQ210" s="8">
        <v>76.45</v>
      </c>
      <c r="BR210" s="8">
        <v>49.79</v>
      </c>
      <c r="BS210" s="8">
        <v>127.33</v>
      </c>
      <c r="BT210" s="8">
        <v>127.33</v>
      </c>
      <c r="BU210" s="8">
        <v>104.8</v>
      </c>
      <c r="BV210" s="8">
        <v>106.18</v>
      </c>
      <c r="BW210" s="8">
        <v>121.11</v>
      </c>
      <c r="BX210" s="8">
        <v>122.87</v>
      </c>
      <c r="BY210" s="8">
        <v>76.099999999999994</v>
      </c>
      <c r="BZ210" s="8">
        <v>76.17</v>
      </c>
      <c r="CA210" s="8">
        <v>77.209999999999994</v>
      </c>
      <c r="CB210" s="8">
        <v>90.96</v>
      </c>
      <c r="CC210" s="8">
        <v>63.05</v>
      </c>
      <c r="CD210" s="8">
        <v>37.42</v>
      </c>
      <c r="CE210" s="8">
        <v>44.02</v>
      </c>
      <c r="CF210" s="8">
        <v>39.520000000000003</v>
      </c>
      <c r="CG210" s="8">
        <v>33.24</v>
      </c>
      <c r="CH210" s="8">
        <v>35.450000000000003</v>
      </c>
      <c r="CI210" s="8">
        <v>70.180000000000007</v>
      </c>
      <c r="CJ210" s="8">
        <v>69.739999999999995</v>
      </c>
      <c r="CK210" s="8">
        <v>74.37</v>
      </c>
      <c r="CL210" s="8">
        <v>29.23</v>
      </c>
      <c r="CM210" s="8">
        <v>28.05</v>
      </c>
      <c r="CN210" s="8">
        <v>38.880000000000003</v>
      </c>
      <c r="CO210" s="8">
        <v>54.01</v>
      </c>
      <c r="CP210" s="8">
        <v>54.62</v>
      </c>
      <c r="CQ210" s="8">
        <v>105.17</v>
      </c>
      <c r="CR210" s="8">
        <v>52.09</v>
      </c>
      <c r="CS210" s="8">
        <v>36.79</v>
      </c>
      <c r="CT210" s="8">
        <v>47.8</v>
      </c>
      <c r="CU210" s="8">
        <v>35.03</v>
      </c>
      <c r="CV210" s="8">
        <v>47.71</v>
      </c>
      <c r="CW210" s="8">
        <v>47.72</v>
      </c>
      <c r="CX210" s="8">
        <v>116.63</v>
      </c>
      <c r="CY210" s="8">
        <v>116.63</v>
      </c>
      <c r="CZ210" s="8">
        <v>37.43</v>
      </c>
      <c r="DA210" s="8">
        <v>123.49</v>
      </c>
      <c r="DB210" s="8">
        <v>68.8</v>
      </c>
      <c r="DC210" s="8">
        <v>330.89</v>
      </c>
      <c r="DD210" s="8">
        <v>1383.06</v>
      </c>
      <c r="DE210" s="8">
        <v>87.45</v>
      </c>
      <c r="DF210" s="8">
        <v>54.74</v>
      </c>
      <c r="DG210" s="8">
        <v>76.69</v>
      </c>
      <c r="DH210" s="8">
        <v>46.7</v>
      </c>
      <c r="DI210" s="8">
        <v>46.62</v>
      </c>
      <c r="DJ210" s="8">
        <v>42.27</v>
      </c>
      <c r="DK210" s="8">
        <v>45.85</v>
      </c>
      <c r="DL210" s="8">
        <v>50.12</v>
      </c>
      <c r="DM210" s="8">
        <v>105.2</v>
      </c>
      <c r="DN210" s="8">
        <v>130.4</v>
      </c>
      <c r="DO210" s="8">
        <v>46.94</v>
      </c>
      <c r="DP210" s="8">
        <v>32.28</v>
      </c>
      <c r="DQ210" s="8">
        <v>35.64</v>
      </c>
      <c r="DR210" s="8">
        <v>36.28</v>
      </c>
      <c r="DS210" s="8">
        <v>29.01</v>
      </c>
      <c r="DT210" s="8">
        <v>29.01</v>
      </c>
      <c r="DY210" s="8">
        <v>21.36</v>
      </c>
      <c r="DZ210" s="8">
        <v>21.36</v>
      </c>
      <c r="ED210" s="9">
        <v>0.6</v>
      </c>
      <c r="EE210" s="9">
        <v>0.8</v>
      </c>
      <c r="EF210" s="9">
        <v>0.8</v>
      </c>
      <c r="EG210" s="9">
        <v>0.6</v>
      </c>
      <c r="EH210" s="9">
        <v>0.8</v>
      </c>
      <c r="EI210" s="9">
        <v>2</v>
      </c>
      <c r="EJ210" s="9">
        <v>0.4</v>
      </c>
      <c r="EK210" s="9">
        <v>-0.1</v>
      </c>
      <c r="EL210" s="9">
        <v>-0.2</v>
      </c>
      <c r="EM210" s="9">
        <v>-1.3</v>
      </c>
      <c r="EN210" s="9">
        <v>1.6</v>
      </c>
      <c r="EO210" s="9">
        <v>-1.5</v>
      </c>
      <c r="EP210" s="9">
        <v>0.4</v>
      </c>
      <c r="EQ210" s="9">
        <v>0.2</v>
      </c>
      <c r="ER210" s="9">
        <v>0.1</v>
      </c>
      <c r="ES210" s="9">
        <v>0.2</v>
      </c>
      <c r="ET210" s="9">
        <v>-0.8</v>
      </c>
      <c r="EU210" s="9">
        <v>1.3</v>
      </c>
      <c r="EV210" s="9">
        <v>4.5</v>
      </c>
      <c r="EW210" s="9">
        <v>5</v>
      </c>
      <c r="EX210" s="9">
        <v>4</v>
      </c>
      <c r="EY210" s="9">
        <v>0.4</v>
      </c>
      <c r="EZ210" s="9">
        <v>0.4</v>
      </c>
      <c r="FA210" s="9">
        <v>-1.9</v>
      </c>
      <c r="FB210" s="9">
        <v>1.1000000000000001</v>
      </c>
      <c r="FC210" s="9">
        <v>0.6</v>
      </c>
      <c r="FD210" s="9">
        <v>0.4</v>
      </c>
      <c r="FE210" s="9">
        <v>0</v>
      </c>
      <c r="FF210" s="9">
        <v>0.3</v>
      </c>
      <c r="FG210" s="9">
        <v>-1.6</v>
      </c>
      <c r="FH210" s="9">
        <v>0.3</v>
      </c>
      <c r="FI210" s="9">
        <v>0.8</v>
      </c>
      <c r="FJ210" s="9">
        <v>1.2</v>
      </c>
      <c r="FK210" s="9">
        <v>0.4</v>
      </c>
      <c r="FL210" s="9">
        <v>0.8</v>
      </c>
      <c r="FM210" s="9">
        <v>0.5</v>
      </c>
      <c r="FN210" s="9">
        <v>0.1</v>
      </c>
      <c r="FO210" s="9">
        <v>0.9</v>
      </c>
      <c r="FP210" s="9">
        <v>0.5</v>
      </c>
      <c r="FQ210" s="9">
        <v>1.1000000000000001</v>
      </c>
      <c r="FR210" s="9">
        <v>1.1000000000000001</v>
      </c>
      <c r="FS210" s="9">
        <v>-0.1</v>
      </c>
      <c r="FT210" s="9">
        <v>0</v>
      </c>
      <c r="FU210" s="9">
        <v>0.9</v>
      </c>
      <c r="FV210" s="9">
        <v>-0.4</v>
      </c>
      <c r="FW210" s="9">
        <v>-0.5</v>
      </c>
      <c r="FX210" s="9">
        <v>-0.6</v>
      </c>
      <c r="FY210" s="9">
        <v>-2.4</v>
      </c>
      <c r="FZ210" s="9">
        <v>0.8</v>
      </c>
      <c r="GA210" s="9">
        <v>-1</v>
      </c>
      <c r="GD210" s="9">
        <v>0.2</v>
      </c>
      <c r="GE210" s="9">
        <v>1.2</v>
      </c>
      <c r="GF210" s="9">
        <v>1</v>
      </c>
      <c r="GG210" s="9">
        <v>1</v>
      </c>
      <c r="GK210" s="9">
        <v>0.9</v>
      </c>
      <c r="GM210" s="9">
        <v>0.1</v>
      </c>
      <c r="GO210" s="9">
        <v>0</v>
      </c>
      <c r="GP210" s="9">
        <v>0.1</v>
      </c>
      <c r="GQ210" s="9">
        <v>0.2</v>
      </c>
      <c r="GR210" s="9">
        <v>0.3</v>
      </c>
      <c r="GS210" s="9">
        <v>0.1</v>
      </c>
      <c r="GT210" s="9">
        <v>1.3</v>
      </c>
      <c r="GU210" s="9">
        <v>-0.2</v>
      </c>
      <c r="GV210" s="9">
        <v>-0.2</v>
      </c>
      <c r="GW210" s="9">
        <v>0.2</v>
      </c>
      <c r="GX210" s="9">
        <v>0</v>
      </c>
      <c r="GY210" s="9">
        <v>0</v>
      </c>
      <c r="GZ210" s="9">
        <v>0.3</v>
      </c>
      <c r="HA210" s="9">
        <v>0.8</v>
      </c>
      <c r="HB210" s="9">
        <v>0.8</v>
      </c>
      <c r="HC210" s="9">
        <v>0.2</v>
      </c>
      <c r="HD210" s="9">
        <v>0.9</v>
      </c>
      <c r="HE210" s="9">
        <v>1.3</v>
      </c>
      <c r="HF210" s="9">
        <v>0.6</v>
      </c>
      <c r="HG210" s="9">
        <v>1.7</v>
      </c>
      <c r="HH210" s="9">
        <v>0.4</v>
      </c>
      <c r="HI210" s="9">
        <v>0.6</v>
      </c>
      <c r="HJ210" s="9">
        <v>2.6</v>
      </c>
      <c r="HK210" s="9">
        <v>2</v>
      </c>
      <c r="HL210" s="9">
        <v>2.2999999999999998</v>
      </c>
      <c r="HM210" s="9">
        <v>0.7</v>
      </c>
      <c r="HN210" s="9">
        <v>2.7</v>
      </c>
      <c r="HO210" s="9">
        <v>3</v>
      </c>
      <c r="HP210" s="9">
        <v>0.9</v>
      </c>
      <c r="HQ210" s="9">
        <v>-0.1</v>
      </c>
      <c r="HR210" s="9">
        <v>0</v>
      </c>
      <c r="HS210" s="9">
        <v>-2.1</v>
      </c>
      <c r="HT210" s="9">
        <v>0.1</v>
      </c>
      <c r="HU210" s="9">
        <v>0.9</v>
      </c>
      <c r="HV210" s="9">
        <v>0.5</v>
      </c>
      <c r="HW210" s="9">
        <v>0.3</v>
      </c>
      <c r="HX210" s="9">
        <v>0.2</v>
      </c>
      <c r="HY210" s="9">
        <v>0.2</v>
      </c>
      <c r="HZ210" s="9">
        <v>-0.7</v>
      </c>
      <c r="IA210" s="9">
        <v>-0.7</v>
      </c>
      <c r="IB210" s="9">
        <v>0</v>
      </c>
      <c r="IC210" s="9">
        <v>-0.8</v>
      </c>
      <c r="ID210" s="9">
        <v>0.1</v>
      </c>
      <c r="IE210" s="9">
        <v>0.3</v>
      </c>
      <c r="IF210" s="9">
        <v>0.3</v>
      </c>
      <c r="IG210" s="9">
        <v>0.3</v>
      </c>
      <c r="IH210" s="9">
        <v>1</v>
      </c>
      <c r="IK210" s="9">
        <v>-0.7</v>
      </c>
      <c r="IL210" s="9">
        <v>-4</v>
      </c>
      <c r="IM210" s="9">
        <v>4.3</v>
      </c>
      <c r="IN210" s="9">
        <v>0.3</v>
      </c>
      <c r="IQ210" s="9">
        <v>0.2</v>
      </c>
    </row>
    <row r="211" spans="1:251" x14ac:dyDescent="0.2">
      <c r="A211" s="10">
        <v>36039</v>
      </c>
      <c r="B211" s="8">
        <v>46.91</v>
      </c>
      <c r="C211" s="8">
        <v>45.4</v>
      </c>
      <c r="D211" s="8">
        <v>51.13</v>
      </c>
      <c r="E211" s="8">
        <v>48.97</v>
      </c>
      <c r="F211" s="8">
        <v>48.03</v>
      </c>
      <c r="G211" s="8">
        <v>68.39</v>
      </c>
      <c r="H211" s="8">
        <v>59.89</v>
      </c>
      <c r="I211" s="8">
        <v>45.15</v>
      </c>
      <c r="J211" s="8">
        <v>35.4</v>
      </c>
      <c r="K211" s="8">
        <v>47.36</v>
      </c>
      <c r="L211" s="8">
        <v>30.19</v>
      </c>
      <c r="M211" s="8">
        <v>73.239999999999995</v>
      </c>
      <c r="N211" s="8">
        <v>39.92</v>
      </c>
      <c r="O211" s="8">
        <v>51.3</v>
      </c>
      <c r="P211" s="8">
        <v>51.31</v>
      </c>
      <c r="Q211" s="8">
        <v>56.48</v>
      </c>
      <c r="R211" s="8">
        <v>42.04</v>
      </c>
      <c r="S211" s="8">
        <v>52.93</v>
      </c>
      <c r="T211" s="8">
        <v>42.69</v>
      </c>
      <c r="U211" s="8">
        <v>41.02</v>
      </c>
      <c r="V211" s="8">
        <v>44.01</v>
      </c>
      <c r="W211" s="8">
        <v>49.27</v>
      </c>
      <c r="X211" s="8">
        <v>44.7</v>
      </c>
      <c r="Y211" s="8">
        <v>52.65</v>
      </c>
      <c r="Z211" s="8">
        <v>63.46</v>
      </c>
      <c r="AA211" s="8">
        <v>35.880000000000003</v>
      </c>
      <c r="AB211" s="8">
        <v>46.61</v>
      </c>
      <c r="AC211" s="8">
        <v>58.23</v>
      </c>
      <c r="AD211" s="8">
        <v>53</v>
      </c>
      <c r="AE211" s="8">
        <v>63.12</v>
      </c>
      <c r="AF211" s="8">
        <v>51.32</v>
      </c>
      <c r="AG211" s="8">
        <v>40.03</v>
      </c>
      <c r="AH211" s="8">
        <v>41.85</v>
      </c>
      <c r="AI211" s="8">
        <v>38.15</v>
      </c>
      <c r="AJ211" s="8">
        <v>24.57</v>
      </c>
      <c r="AK211" s="8">
        <v>47.67</v>
      </c>
      <c r="AL211" s="8">
        <v>40.44</v>
      </c>
      <c r="AM211" s="8">
        <v>75.709999999999994</v>
      </c>
      <c r="AN211" s="8">
        <v>36.67</v>
      </c>
      <c r="AO211" s="8">
        <v>8.2899999999999991</v>
      </c>
      <c r="AP211" s="8">
        <v>8.2899999999999991</v>
      </c>
      <c r="AQ211" s="8">
        <v>96.45</v>
      </c>
      <c r="AR211" s="8">
        <v>114.42</v>
      </c>
      <c r="AS211" s="8">
        <v>112.07</v>
      </c>
      <c r="AT211" s="8">
        <v>120.61</v>
      </c>
      <c r="AU211" s="8">
        <v>98.06</v>
      </c>
      <c r="AV211" s="8">
        <v>106.97</v>
      </c>
      <c r="AW211" s="8">
        <v>110.48</v>
      </c>
      <c r="AX211" s="8">
        <v>109.24</v>
      </c>
      <c r="AY211" s="8">
        <v>97.51</v>
      </c>
      <c r="AZ211" s="8">
        <v>56.11</v>
      </c>
      <c r="BA211" s="8">
        <v>66.510000000000005</v>
      </c>
      <c r="BB211" s="8">
        <v>39.96</v>
      </c>
      <c r="BC211" s="8">
        <v>35.06</v>
      </c>
      <c r="BD211" s="8">
        <v>44.13</v>
      </c>
      <c r="BE211" s="8">
        <v>44.13</v>
      </c>
      <c r="BF211" s="8">
        <v>33.1</v>
      </c>
      <c r="BG211" s="8">
        <v>33.090000000000003</v>
      </c>
      <c r="BH211" s="8">
        <v>35.39</v>
      </c>
      <c r="BI211" s="8">
        <v>43.72</v>
      </c>
      <c r="BJ211" s="8">
        <v>27.02</v>
      </c>
      <c r="BK211" s="8">
        <v>27.13</v>
      </c>
      <c r="BL211" s="8">
        <v>32.14</v>
      </c>
      <c r="BM211" s="8">
        <v>27.8</v>
      </c>
      <c r="BN211" s="8">
        <v>21.98</v>
      </c>
      <c r="BO211" s="8">
        <v>71.22</v>
      </c>
      <c r="BP211" s="8">
        <v>69.78</v>
      </c>
      <c r="BQ211" s="8">
        <v>76.040000000000006</v>
      </c>
      <c r="BR211" s="8">
        <v>49.83</v>
      </c>
      <c r="BS211" s="8">
        <v>127.86</v>
      </c>
      <c r="BT211" s="8">
        <v>127.86</v>
      </c>
      <c r="BU211" s="8">
        <v>104.67</v>
      </c>
      <c r="BV211" s="8">
        <v>105.75</v>
      </c>
      <c r="BW211" s="8">
        <v>120.67</v>
      </c>
      <c r="BX211" s="8">
        <v>122.15</v>
      </c>
      <c r="BY211" s="8">
        <v>77.150000000000006</v>
      </c>
      <c r="BZ211" s="8">
        <v>76.819999999999993</v>
      </c>
      <c r="CA211" s="8">
        <v>77.91</v>
      </c>
      <c r="CB211" s="8">
        <v>91.78</v>
      </c>
      <c r="CC211" s="8">
        <v>63.83</v>
      </c>
      <c r="CD211" s="8">
        <v>37.58</v>
      </c>
      <c r="CE211" s="8">
        <v>45.16</v>
      </c>
      <c r="CF211" s="8">
        <v>39.82</v>
      </c>
      <c r="CG211" s="8">
        <v>33.380000000000003</v>
      </c>
      <c r="CH211" s="8">
        <v>35.65</v>
      </c>
      <c r="CI211" s="8">
        <v>67.86</v>
      </c>
      <c r="CJ211" s="8">
        <v>67.069999999999993</v>
      </c>
      <c r="CK211" s="8">
        <v>74.319999999999993</v>
      </c>
      <c r="CL211" s="8">
        <v>29.81</v>
      </c>
      <c r="CM211" s="8">
        <v>28.7</v>
      </c>
      <c r="CN211" s="8">
        <v>39.11</v>
      </c>
      <c r="CO211" s="8">
        <v>53.78</v>
      </c>
      <c r="CP211" s="8">
        <v>54.29</v>
      </c>
      <c r="CQ211" s="8">
        <v>103.03</v>
      </c>
      <c r="CR211" s="8">
        <v>52</v>
      </c>
      <c r="CS211" s="8">
        <v>35.99</v>
      </c>
      <c r="CT211" s="8">
        <v>48.32</v>
      </c>
      <c r="CU211" s="8">
        <v>36.700000000000003</v>
      </c>
      <c r="CV211" s="8">
        <v>48.23</v>
      </c>
      <c r="CW211" s="8">
        <v>48.23</v>
      </c>
      <c r="CX211" s="8">
        <v>115.64</v>
      </c>
      <c r="CY211" s="8">
        <v>115.59</v>
      </c>
      <c r="CZ211" s="8">
        <v>37.42</v>
      </c>
      <c r="DA211" s="8">
        <v>122.28</v>
      </c>
      <c r="DB211" s="8">
        <v>68.45</v>
      </c>
      <c r="DC211" s="8">
        <v>330.58</v>
      </c>
      <c r="DD211" s="8">
        <v>1339.52</v>
      </c>
      <c r="DE211" s="8">
        <v>87.45</v>
      </c>
      <c r="DF211" s="8">
        <v>55.82</v>
      </c>
      <c r="DG211" s="8">
        <v>78.17</v>
      </c>
      <c r="DH211" s="8">
        <v>47.64</v>
      </c>
      <c r="DI211" s="8">
        <v>45.82</v>
      </c>
      <c r="DJ211" s="8">
        <v>41.41</v>
      </c>
      <c r="DK211" s="8">
        <v>45.22</v>
      </c>
      <c r="DL211" s="8">
        <v>50.3</v>
      </c>
      <c r="DM211" s="8">
        <v>106.26</v>
      </c>
      <c r="DN211" s="8">
        <v>129.85</v>
      </c>
      <c r="DO211" s="8">
        <v>47</v>
      </c>
      <c r="DP211" s="8">
        <v>32.18</v>
      </c>
      <c r="DQ211" s="8">
        <v>35.72</v>
      </c>
      <c r="DR211" s="8">
        <v>36.49</v>
      </c>
      <c r="DS211" s="8">
        <v>29.01</v>
      </c>
      <c r="DT211" s="8">
        <v>29.01</v>
      </c>
      <c r="DY211" s="8">
        <v>21.84</v>
      </c>
      <c r="DZ211" s="8">
        <v>21.84</v>
      </c>
      <c r="ED211" s="9">
        <v>0.3</v>
      </c>
      <c r="EE211" s="9">
        <v>1.3</v>
      </c>
      <c r="EF211" s="9">
        <v>1.4</v>
      </c>
      <c r="EG211" s="9">
        <v>3.4</v>
      </c>
      <c r="EH211" s="9">
        <v>-0.2</v>
      </c>
      <c r="EI211" s="9">
        <v>0.1</v>
      </c>
      <c r="EJ211" s="9">
        <v>0.6</v>
      </c>
      <c r="EK211" s="9">
        <v>-0.1</v>
      </c>
      <c r="EL211" s="9">
        <v>-0.1</v>
      </c>
      <c r="EM211" s="9">
        <v>-0.9</v>
      </c>
      <c r="EN211" s="9">
        <v>-0.6</v>
      </c>
      <c r="EO211" s="9">
        <v>-1</v>
      </c>
      <c r="EP211" s="9">
        <v>0.7</v>
      </c>
      <c r="EQ211" s="9">
        <v>1.5</v>
      </c>
      <c r="ER211" s="9">
        <v>0.3</v>
      </c>
      <c r="ES211" s="9">
        <v>0.1</v>
      </c>
      <c r="ET211" s="9">
        <v>1.5</v>
      </c>
      <c r="EU211" s="9">
        <v>-0.7</v>
      </c>
      <c r="EV211" s="9">
        <v>4.5999999999999996</v>
      </c>
      <c r="EW211" s="9">
        <v>3.5</v>
      </c>
      <c r="EX211" s="9">
        <v>5.3</v>
      </c>
      <c r="EY211" s="9">
        <v>1.3</v>
      </c>
      <c r="EZ211" s="9">
        <v>1.4</v>
      </c>
      <c r="FA211" s="9">
        <v>0.5</v>
      </c>
      <c r="FB211" s="9">
        <v>2.5</v>
      </c>
      <c r="FC211" s="9">
        <v>4.2</v>
      </c>
      <c r="FD211" s="9">
        <v>1.3</v>
      </c>
      <c r="FE211" s="9">
        <v>-1.5</v>
      </c>
      <c r="FF211" s="9">
        <v>1.9</v>
      </c>
      <c r="FG211" s="9">
        <v>0.7</v>
      </c>
      <c r="FH211" s="9">
        <v>1.9</v>
      </c>
      <c r="FI211" s="9">
        <v>0.1</v>
      </c>
      <c r="FJ211" s="9">
        <v>0</v>
      </c>
      <c r="FK211" s="9">
        <v>0.2</v>
      </c>
      <c r="FL211" s="9">
        <v>0.4</v>
      </c>
      <c r="FM211" s="9">
        <v>0.3</v>
      </c>
      <c r="FN211" s="9">
        <v>0.7</v>
      </c>
      <c r="FO211" s="9">
        <v>0.4</v>
      </c>
      <c r="FP211" s="9">
        <v>0.1</v>
      </c>
      <c r="FQ211" s="9">
        <v>0.7</v>
      </c>
      <c r="FR211" s="9">
        <v>0.7</v>
      </c>
      <c r="FS211" s="9">
        <v>-0.3</v>
      </c>
      <c r="FT211" s="9">
        <v>-0.1</v>
      </c>
      <c r="FU211" s="9">
        <v>0</v>
      </c>
      <c r="FV211" s="9">
        <v>-0.1</v>
      </c>
      <c r="FW211" s="9">
        <v>0</v>
      </c>
      <c r="FX211" s="9">
        <v>-1.5</v>
      </c>
      <c r="FY211" s="9">
        <v>0.9</v>
      </c>
      <c r="FZ211" s="9">
        <v>-3</v>
      </c>
      <c r="GA211" s="9">
        <v>0</v>
      </c>
      <c r="GB211" s="9">
        <v>0.3</v>
      </c>
      <c r="GC211" s="9">
        <v>0.1</v>
      </c>
      <c r="GD211" s="9">
        <v>0.8</v>
      </c>
      <c r="GE211" s="9">
        <v>0.4</v>
      </c>
      <c r="GF211" s="9">
        <v>0.8</v>
      </c>
      <c r="GG211" s="9">
        <v>0.8</v>
      </c>
      <c r="GH211" s="9">
        <v>0.6</v>
      </c>
      <c r="GI211" s="9">
        <v>0.6</v>
      </c>
      <c r="GJ211" s="9">
        <v>1.6</v>
      </c>
      <c r="GK211" s="9">
        <v>0.6</v>
      </c>
      <c r="GL211" s="9">
        <v>3.1</v>
      </c>
      <c r="GM211" s="9">
        <v>-1.9</v>
      </c>
      <c r="GN211" s="9">
        <v>1.9</v>
      </c>
      <c r="GO211" s="9">
        <v>-3.9</v>
      </c>
      <c r="GP211" s="9">
        <v>-1.8</v>
      </c>
      <c r="GQ211" s="9">
        <v>-0.1</v>
      </c>
      <c r="GR211" s="9">
        <v>-0.4</v>
      </c>
      <c r="GS211" s="9">
        <v>-0.5</v>
      </c>
      <c r="GT211" s="9">
        <v>0.1</v>
      </c>
      <c r="GU211" s="9">
        <v>0.4</v>
      </c>
      <c r="GV211" s="9">
        <v>0.4</v>
      </c>
      <c r="GW211" s="9">
        <v>-0.1</v>
      </c>
      <c r="GX211" s="9">
        <v>-0.4</v>
      </c>
      <c r="GY211" s="9">
        <v>-0.4</v>
      </c>
      <c r="GZ211" s="9">
        <v>-0.6</v>
      </c>
      <c r="HA211" s="9">
        <v>1.4</v>
      </c>
      <c r="HB211" s="9">
        <v>0.9</v>
      </c>
      <c r="HC211" s="9">
        <v>0.9</v>
      </c>
      <c r="HD211" s="9">
        <v>0.9</v>
      </c>
      <c r="HE211" s="9">
        <v>1.2</v>
      </c>
      <c r="HF211" s="9">
        <v>0.4</v>
      </c>
      <c r="HG211" s="9">
        <v>2.6</v>
      </c>
      <c r="HH211" s="9">
        <v>0.8</v>
      </c>
      <c r="HI211" s="9">
        <v>0.4</v>
      </c>
      <c r="HJ211" s="9">
        <v>0.6</v>
      </c>
      <c r="HK211" s="9">
        <v>-3.3</v>
      </c>
      <c r="HL211" s="9">
        <v>-3.8</v>
      </c>
      <c r="HM211" s="9">
        <v>-0.1</v>
      </c>
      <c r="HN211" s="9">
        <v>2</v>
      </c>
      <c r="HO211" s="9">
        <v>2.2999999999999998</v>
      </c>
      <c r="HP211" s="9">
        <v>0.6</v>
      </c>
      <c r="HQ211" s="9">
        <v>-0.4</v>
      </c>
      <c r="HR211" s="9">
        <v>-0.6</v>
      </c>
      <c r="HS211" s="9">
        <v>-2</v>
      </c>
      <c r="HT211" s="9">
        <v>-0.2</v>
      </c>
      <c r="HU211" s="9">
        <v>-2.2000000000000002</v>
      </c>
      <c r="HV211" s="9">
        <v>1.1000000000000001</v>
      </c>
      <c r="HW211" s="9">
        <v>4.8</v>
      </c>
      <c r="HX211" s="9">
        <v>1.1000000000000001</v>
      </c>
      <c r="HY211" s="9">
        <v>1.1000000000000001</v>
      </c>
      <c r="HZ211" s="9">
        <v>-0.8</v>
      </c>
      <c r="IA211" s="9">
        <v>-0.9</v>
      </c>
      <c r="IB211" s="9">
        <v>0</v>
      </c>
      <c r="IC211" s="9">
        <v>-1</v>
      </c>
      <c r="ID211" s="9">
        <v>-0.5</v>
      </c>
      <c r="IE211" s="9">
        <v>-0.1</v>
      </c>
      <c r="IF211" s="9">
        <v>-3.1</v>
      </c>
      <c r="IG211" s="9">
        <v>0</v>
      </c>
      <c r="IH211" s="9">
        <v>2</v>
      </c>
      <c r="II211" s="9">
        <v>1.9</v>
      </c>
      <c r="IJ211" s="9">
        <v>2</v>
      </c>
      <c r="IK211" s="9">
        <v>-1.7</v>
      </c>
      <c r="IL211" s="9">
        <v>-2</v>
      </c>
      <c r="IM211" s="9">
        <v>-1.4</v>
      </c>
      <c r="IN211" s="9">
        <v>0.4</v>
      </c>
      <c r="IO211" s="9">
        <v>1</v>
      </c>
      <c r="IP211" s="9">
        <v>-0.4</v>
      </c>
      <c r="IQ211" s="9">
        <v>0.1</v>
      </c>
    </row>
    <row r="212" spans="1:251" x14ac:dyDescent="0.2">
      <c r="A212" s="10">
        <v>36130</v>
      </c>
      <c r="B212" s="8">
        <v>47.11</v>
      </c>
      <c r="C212" s="8">
        <v>45.87</v>
      </c>
      <c r="D212" s="8">
        <v>50.82</v>
      </c>
      <c r="E212" s="8">
        <v>48.8</v>
      </c>
      <c r="F212" s="8">
        <v>48.44</v>
      </c>
      <c r="G212" s="8">
        <v>65.48</v>
      </c>
      <c r="H212" s="8">
        <v>57.68</v>
      </c>
      <c r="I212" s="8">
        <v>45.2</v>
      </c>
      <c r="J212" s="8">
        <v>35.130000000000003</v>
      </c>
      <c r="K212" s="8">
        <v>47.19</v>
      </c>
      <c r="L212" s="8">
        <v>29.89</v>
      </c>
      <c r="M212" s="8">
        <v>73.67</v>
      </c>
      <c r="N212" s="8">
        <v>39.74</v>
      </c>
      <c r="O212" s="8">
        <v>52.74</v>
      </c>
      <c r="P212" s="8">
        <v>51.39</v>
      </c>
      <c r="Q212" s="8">
        <v>56.88</v>
      </c>
      <c r="R212" s="8">
        <v>42.19</v>
      </c>
      <c r="S212" s="8">
        <v>51.8</v>
      </c>
      <c r="T212" s="8">
        <v>45.87</v>
      </c>
      <c r="U212" s="8">
        <v>45.57</v>
      </c>
      <c r="V212" s="8">
        <v>46.14</v>
      </c>
      <c r="W212" s="8">
        <v>49.38</v>
      </c>
      <c r="X212" s="8">
        <v>43.86</v>
      </c>
      <c r="Y212" s="8">
        <v>52.48</v>
      </c>
      <c r="Z212" s="8">
        <v>63.12</v>
      </c>
      <c r="AA212" s="8">
        <v>35.46</v>
      </c>
      <c r="AB212" s="8">
        <v>46.7</v>
      </c>
      <c r="AC212" s="8">
        <v>59.85</v>
      </c>
      <c r="AD212" s="8">
        <v>52.56</v>
      </c>
      <c r="AE212" s="8">
        <v>62.39</v>
      </c>
      <c r="AF212" s="8">
        <v>50.89</v>
      </c>
      <c r="AG212" s="8">
        <v>40.130000000000003</v>
      </c>
      <c r="AH212" s="8">
        <v>41.95</v>
      </c>
      <c r="AI212" s="8">
        <v>38.26</v>
      </c>
      <c r="AJ212" s="8">
        <v>24.63</v>
      </c>
      <c r="AK212" s="8">
        <v>47.8</v>
      </c>
      <c r="AL212" s="8">
        <v>40.590000000000003</v>
      </c>
      <c r="AM212" s="8">
        <v>75.349999999999994</v>
      </c>
      <c r="AN212" s="8">
        <v>36.880000000000003</v>
      </c>
      <c r="AO212" s="8">
        <v>8.3000000000000007</v>
      </c>
      <c r="AP212" s="8">
        <v>8.3000000000000007</v>
      </c>
      <c r="AQ212" s="8">
        <v>96.39</v>
      </c>
      <c r="AR212" s="8">
        <v>114.01</v>
      </c>
      <c r="AS212" s="8">
        <v>109.94</v>
      </c>
      <c r="AT212" s="8">
        <v>121.09</v>
      </c>
      <c r="AU212" s="8">
        <v>98.12</v>
      </c>
      <c r="AV212" s="8">
        <v>108.34</v>
      </c>
      <c r="AW212" s="8">
        <v>110.23</v>
      </c>
      <c r="AX212" s="8">
        <v>111.57</v>
      </c>
      <c r="AY212" s="8">
        <v>98.12</v>
      </c>
      <c r="AZ212" s="8">
        <v>55.98</v>
      </c>
      <c r="BA212" s="8">
        <v>65.98</v>
      </c>
      <c r="BB212" s="8">
        <v>40.229999999999997</v>
      </c>
      <c r="BC212" s="8">
        <v>35.299999999999997</v>
      </c>
      <c r="BD212" s="8">
        <v>44.31</v>
      </c>
      <c r="BE212" s="8">
        <v>44.32</v>
      </c>
      <c r="BF212" s="8">
        <v>33.39</v>
      </c>
      <c r="BG212" s="8">
        <v>33.409999999999997</v>
      </c>
      <c r="BH212" s="8">
        <v>35.53</v>
      </c>
      <c r="BI212" s="8">
        <v>43.86</v>
      </c>
      <c r="BJ212" s="8">
        <v>27.11</v>
      </c>
      <c r="BK212" s="8">
        <v>27.36</v>
      </c>
      <c r="BL212" s="8">
        <v>32.35</v>
      </c>
      <c r="BM212" s="8">
        <v>27.95</v>
      </c>
      <c r="BN212" s="8">
        <v>22.36</v>
      </c>
      <c r="BO212" s="8">
        <v>71.33</v>
      </c>
      <c r="BP212" s="8">
        <v>70.599999999999994</v>
      </c>
      <c r="BQ212" s="8">
        <v>77.02</v>
      </c>
      <c r="BR212" s="8">
        <v>50.23</v>
      </c>
      <c r="BS212" s="8">
        <v>128.6</v>
      </c>
      <c r="BT212" s="8">
        <v>128.6</v>
      </c>
      <c r="BU212" s="8">
        <v>104.19</v>
      </c>
      <c r="BV212" s="8">
        <v>104.25</v>
      </c>
      <c r="BW212" s="8">
        <v>118.88</v>
      </c>
      <c r="BX212" s="8">
        <v>124.06</v>
      </c>
      <c r="BY212" s="8">
        <v>77.17</v>
      </c>
      <c r="BZ212" s="8">
        <v>76.84</v>
      </c>
      <c r="CA212" s="8">
        <v>77.040000000000006</v>
      </c>
      <c r="CB212" s="8">
        <v>91.72</v>
      </c>
      <c r="CC212" s="8">
        <v>63.59</v>
      </c>
      <c r="CD212" s="8">
        <v>37.799999999999997</v>
      </c>
      <c r="CE212" s="8">
        <v>45.22</v>
      </c>
      <c r="CF212" s="8">
        <v>40.11</v>
      </c>
      <c r="CG212" s="8">
        <v>33.57</v>
      </c>
      <c r="CH212" s="8">
        <v>35.43</v>
      </c>
      <c r="CI212" s="8">
        <v>65.44</v>
      </c>
      <c r="CJ212" s="8">
        <v>64.22</v>
      </c>
      <c r="CK212" s="8">
        <v>74.53</v>
      </c>
      <c r="CL212" s="8">
        <v>29.91</v>
      </c>
      <c r="CM212" s="8">
        <v>28.79</v>
      </c>
      <c r="CN212" s="8">
        <v>39.229999999999997</v>
      </c>
      <c r="CO212" s="8">
        <v>53.63</v>
      </c>
      <c r="CP212" s="8">
        <v>54.13</v>
      </c>
      <c r="CQ212" s="8">
        <v>102.18</v>
      </c>
      <c r="CR212" s="8">
        <v>52.57</v>
      </c>
      <c r="CS212" s="8">
        <v>35.44</v>
      </c>
      <c r="CT212" s="8">
        <v>48.74</v>
      </c>
      <c r="CU212" s="8">
        <v>36.76</v>
      </c>
      <c r="CV212" s="8">
        <v>48.15</v>
      </c>
      <c r="CW212" s="8">
        <v>48.15</v>
      </c>
      <c r="CX212" s="8">
        <v>114.43</v>
      </c>
      <c r="CY212" s="8">
        <v>114.42</v>
      </c>
      <c r="CZ212" s="8">
        <v>37.47</v>
      </c>
      <c r="DA212" s="8">
        <v>120.91</v>
      </c>
      <c r="DB212" s="8">
        <v>69.150000000000006</v>
      </c>
      <c r="DC212" s="8">
        <v>336.46</v>
      </c>
      <c r="DD212" s="8">
        <v>1317.52</v>
      </c>
      <c r="DE212" s="8">
        <v>89.08</v>
      </c>
      <c r="DF212" s="8">
        <v>56.19</v>
      </c>
      <c r="DG212" s="8">
        <v>78.52</v>
      </c>
      <c r="DH212" s="8">
        <v>47.96</v>
      </c>
      <c r="DI212" s="8">
        <v>47.16</v>
      </c>
      <c r="DJ212" s="8">
        <v>43.92</v>
      </c>
      <c r="DK212" s="8">
        <v>44.72</v>
      </c>
      <c r="DL212" s="8">
        <v>50.61</v>
      </c>
      <c r="DM212" s="8">
        <v>107.02</v>
      </c>
      <c r="DN212" s="8">
        <v>127.51</v>
      </c>
      <c r="DO212" s="8">
        <v>47.77</v>
      </c>
      <c r="DP212" s="8">
        <v>32.35</v>
      </c>
      <c r="DQ212" s="8">
        <v>35.81</v>
      </c>
      <c r="DR212" s="8">
        <v>36.700000000000003</v>
      </c>
      <c r="DS212" s="8">
        <v>29.01</v>
      </c>
      <c r="DT212" s="8">
        <v>29.01</v>
      </c>
      <c r="DY212" s="8">
        <v>22.24</v>
      </c>
      <c r="DZ212" s="8">
        <v>22.24</v>
      </c>
      <c r="ED212" s="9">
        <v>0.4</v>
      </c>
      <c r="EE212" s="9">
        <v>1</v>
      </c>
      <c r="EF212" s="9">
        <v>-0.6</v>
      </c>
      <c r="EG212" s="9">
        <v>-0.3</v>
      </c>
      <c r="EH212" s="9">
        <v>0.9</v>
      </c>
      <c r="EI212" s="9">
        <v>-4.3</v>
      </c>
      <c r="EJ212" s="9">
        <v>-3.7</v>
      </c>
      <c r="EK212" s="9">
        <v>0.1</v>
      </c>
      <c r="EL212" s="9">
        <v>-0.8</v>
      </c>
      <c r="EM212" s="9">
        <v>-0.4</v>
      </c>
      <c r="EN212" s="9">
        <v>-1</v>
      </c>
      <c r="EO212" s="9">
        <v>0.6</v>
      </c>
      <c r="EP212" s="9">
        <v>-0.5</v>
      </c>
      <c r="EQ212" s="9">
        <v>2.8</v>
      </c>
      <c r="ER212" s="9">
        <v>0.2</v>
      </c>
      <c r="ES212" s="9">
        <v>0.7</v>
      </c>
      <c r="ET212" s="9">
        <v>0.4</v>
      </c>
      <c r="EU212" s="9">
        <v>-2.1</v>
      </c>
      <c r="EV212" s="9">
        <v>7.4</v>
      </c>
      <c r="EW212" s="9">
        <v>11.1</v>
      </c>
      <c r="EX212" s="9">
        <v>4.8</v>
      </c>
      <c r="EY212" s="9">
        <v>0.2</v>
      </c>
      <c r="EZ212" s="9">
        <v>-1.9</v>
      </c>
      <c r="FA212" s="9">
        <v>-0.3</v>
      </c>
      <c r="FB212" s="9">
        <v>-0.5</v>
      </c>
      <c r="FC212" s="9">
        <v>-1.2</v>
      </c>
      <c r="FD212" s="9">
        <v>0.2</v>
      </c>
      <c r="FE212" s="9">
        <v>2.8</v>
      </c>
      <c r="FF212" s="9">
        <v>-0.8</v>
      </c>
      <c r="FG212" s="9">
        <v>-1.2</v>
      </c>
      <c r="FH212" s="9">
        <v>-0.8</v>
      </c>
      <c r="FI212" s="9">
        <v>0.2</v>
      </c>
      <c r="FJ212" s="9">
        <v>0.2</v>
      </c>
      <c r="FK212" s="9">
        <v>0.3</v>
      </c>
      <c r="FL212" s="9">
        <v>0.2</v>
      </c>
      <c r="FM212" s="9">
        <v>0.3</v>
      </c>
      <c r="FN212" s="9">
        <v>0.4</v>
      </c>
      <c r="FO212" s="9">
        <v>-0.5</v>
      </c>
      <c r="FP212" s="9">
        <v>0.6</v>
      </c>
      <c r="FQ212" s="9">
        <v>0.1</v>
      </c>
      <c r="FR212" s="9">
        <v>0.1</v>
      </c>
      <c r="FS212" s="9">
        <v>-0.1</v>
      </c>
      <c r="FT212" s="9">
        <v>-0.4</v>
      </c>
      <c r="FU212" s="9">
        <v>-1.9</v>
      </c>
      <c r="FV212" s="9">
        <v>0.4</v>
      </c>
      <c r="FW212" s="9">
        <v>0.1</v>
      </c>
      <c r="FX212" s="9">
        <v>1.3</v>
      </c>
      <c r="FY212" s="9">
        <v>-0.2</v>
      </c>
      <c r="FZ212" s="9">
        <v>2.1</v>
      </c>
      <c r="GA212" s="9">
        <v>0.6</v>
      </c>
      <c r="GB212" s="9">
        <v>-0.2</v>
      </c>
      <c r="GC212" s="9">
        <v>-0.8</v>
      </c>
      <c r="GD212" s="9">
        <v>0.7</v>
      </c>
      <c r="GE212" s="9">
        <v>0.7</v>
      </c>
      <c r="GF212" s="9">
        <v>0.4</v>
      </c>
      <c r="GG212" s="9">
        <v>0.4</v>
      </c>
      <c r="GH212" s="9">
        <v>0.9</v>
      </c>
      <c r="GI212" s="9">
        <v>1</v>
      </c>
      <c r="GJ212" s="9">
        <v>0.4</v>
      </c>
      <c r="GK212" s="9">
        <v>0.3</v>
      </c>
      <c r="GL212" s="9">
        <v>0.3</v>
      </c>
      <c r="GM212" s="9">
        <v>0.8</v>
      </c>
      <c r="GN212" s="9">
        <v>0.7</v>
      </c>
      <c r="GO212" s="9">
        <v>0.5</v>
      </c>
      <c r="GP212" s="9">
        <v>1.7</v>
      </c>
      <c r="GQ212" s="9">
        <v>0.2</v>
      </c>
      <c r="GR212" s="9">
        <v>1.2</v>
      </c>
      <c r="GS212" s="9">
        <v>1.3</v>
      </c>
      <c r="GT212" s="9">
        <v>0.8</v>
      </c>
      <c r="GU212" s="9">
        <v>0.6</v>
      </c>
      <c r="GV212" s="9">
        <v>0.6</v>
      </c>
      <c r="GW212" s="9">
        <v>-0.5</v>
      </c>
      <c r="GX212" s="9">
        <v>-1.4</v>
      </c>
      <c r="GY212" s="9">
        <v>-1.5</v>
      </c>
      <c r="GZ212" s="9">
        <v>1.6</v>
      </c>
      <c r="HA212" s="9">
        <v>0</v>
      </c>
      <c r="HB212" s="9">
        <v>0</v>
      </c>
      <c r="HC212" s="9">
        <v>-1.1000000000000001</v>
      </c>
      <c r="HD212" s="9">
        <v>-0.1</v>
      </c>
      <c r="HE212" s="9">
        <v>-0.4</v>
      </c>
      <c r="HF212" s="9">
        <v>0.6</v>
      </c>
      <c r="HG212" s="9">
        <v>0.1</v>
      </c>
      <c r="HH212" s="9">
        <v>0.7</v>
      </c>
      <c r="HI212" s="9">
        <v>0.6</v>
      </c>
      <c r="HJ212" s="9">
        <v>-0.6</v>
      </c>
      <c r="HK212" s="9">
        <v>-3.6</v>
      </c>
      <c r="HL212" s="9">
        <v>-4.2</v>
      </c>
      <c r="HM212" s="9">
        <v>0.3</v>
      </c>
      <c r="HN212" s="9">
        <v>0.3</v>
      </c>
      <c r="HO212" s="9">
        <v>0.3</v>
      </c>
      <c r="HP212" s="9">
        <v>0.3</v>
      </c>
      <c r="HQ212" s="9">
        <v>-0.3</v>
      </c>
      <c r="HR212" s="9">
        <v>-0.3</v>
      </c>
      <c r="HS212" s="9">
        <v>-0.8</v>
      </c>
      <c r="HT212" s="9">
        <v>1.1000000000000001</v>
      </c>
      <c r="HU212" s="9">
        <v>-1.5</v>
      </c>
      <c r="HV212" s="9">
        <v>0.9</v>
      </c>
      <c r="HW212" s="9">
        <v>0.2</v>
      </c>
      <c r="HX212" s="9">
        <v>-0.2</v>
      </c>
      <c r="HY212" s="9">
        <v>-0.2</v>
      </c>
      <c r="HZ212" s="9">
        <v>-1</v>
      </c>
      <c r="IA212" s="9">
        <v>-1</v>
      </c>
      <c r="IB212" s="9">
        <v>0.1</v>
      </c>
      <c r="IC212" s="9">
        <v>-1.1000000000000001</v>
      </c>
      <c r="ID212" s="9">
        <v>1</v>
      </c>
      <c r="IE212" s="9">
        <v>1.8</v>
      </c>
      <c r="IF212" s="9">
        <v>-1.6</v>
      </c>
      <c r="IG212" s="9">
        <v>1.9</v>
      </c>
      <c r="IH212" s="9">
        <v>0.7</v>
      </c>
      <c r="II212" s="9">
        <v>0.4</v>
      </c>
      <c r="IJ212" s="9">
        <v>0.7</v>
      </c>
      <c r="IK212" s="9">
        <v>2.9</v>
      </c>
      <c r="IL212" s="9">
        <v>6.1</v>
      </c>
      <c r="IM212" s="9">
        <v>-1.1000000000000001</v>
      </c>
      <c r="IN212" s="9">
        <v>0.6</v>
      </c>
      <c r="IO212" s="9">
        <v>0.7</v>
      </c>
      <c r="IP212" s="9">
        <v>-1.8</v>
      </c>
      <c r="IQ212" s="9">
        <v>1.6</v>
      </c>
    </row>
    <row r="213" spans="1:251" x14ac:dyDescent="0.2">
      <c r="A213" s="10">
        <v>36220</v>
      </c>
      <c r="B213" s="8">
        <v>47.08</v>
      </c>
      <c r="C213" s="8">
        <v>46.42</v>
      </c>
      <c r="D213" s="8">
        <v>51.61</v>
      </c>
      <c r="E213" s="8">
        <v>50.2</v>
      </c>
      <c r="F213" s="8">
        <v>48.76</v>
      </c>
      <c r="G213" s="8">
        <v>64.489999999999995</v>
      </c>
      <c r="H213" s="8">
        <v>59.29</v>
      </c>
      <c r="I213" s="8">
        <v>45.65</v>
      </c>
      <c r="J213" s="8">
        <v>35.44</v>
      </c>
      <c r="K213" s="8">
        <v>47.66</v>
      </c>
      <c r="L213" s="8">
        <v>30.66</v>
      </c>
      <c r="M213" s="8">
        <v>74.569999999999993</v>
      </c>
      <c r="N213" s="8">
        <v>39.840000000000003</v>
      </c>
      <c r="O213" s="8">
        <v>53.11</v>
      </c>
      <c r="P213" s="8">
        <v>52.36</v>
      </c>
      <c r="Q213" s="8">
        <v>57.61</v>
      </c>
      <c r="R213" s="8">
        <v>43.15</v>
      </c>
      <c r="S213" s="8">
        <v>53.66</v>
      </c>
      <c r="T213" s="8">
        <v>46.37</v>
      </c>
      <c r="U213" s="8">
        <v>48.66</v>
      </c>
      <c r="V213" s="8">
        <v>44.45</v>
      </c>
      <c r="W213" s="8">
        <v>49.69</v>
      </c>
      <c r="X213" s="8">
        <v>44.63</v>
      </c>
      <c r="Y213" s="8">
        <v>52.48</v>
      </c>
      <c r="Z213" s="8">
        <v>64.06</v>
      </c>
      <c r="AA213" s="8">
        <v>35.57</v>
      </c>
      <c r="AB213" s="8">
        <v>47</v>
      </c>
      <c r="AC213" s="8">
        <v>60.02</v>
      </c>
      <c r="AD213" s="8">
        <v>52.88</v>
      </c>
      <c r="AE213" s="8">
        <v>63.18</v>
      </c>
      <c r="AF213" s="8">
        <v>51.2</v>
      </c>
      <c r="AG213" s="8">
        <v>40.64</v>
      </c>
      <c r="AH213" s="8">
        <v>42.36</v>
      </c>
      <c r="AI213" s="8">
        <v>38.83</v>
      </c>
      <c r="AJ213" s="8">
        <v>24.82</v>
      </c>
      <c r="AK213" s="8">
        <v>48.05</v>
      </c>
      <c r="AL213" s="8">
        <v>40.840000000000003</v>
      </c>
      <c r="AM213" s="8">
        <v>75.44</v>
      </c>
      <c r="AN213" s="8">
        <v>37.15</v>
      </c>
      <c r="AO213" s="8">
        <v>8.41</v>
      </c>
      <c r="AP213" s="8">
        <v>8.41</v>
      </c>
      <c r="AQ213" s="8">
        <v>95.83</v>
      </c>
      <c r="AR213" s="8">
        <v>113.59</v>
      </c>
      <c r="AS213" s="8">
        <v>110.03</v>
      </c>
      <c r="AT213" s="8">
        <v>120.73</v>
      </c>
      <c r="AU213" s="8">
        <v>96.5</v>
      </c>
      <c r="AV213" s="8">
        <v>106.93</v>
      </c>
      <c r="AW213" s="8">
        <v>109.32</v>
      </c>
      <c r="AX213" s="8">
        <v>109.78</v>
      </c>
      <c r="AY213" s="8">
        <v>97.17</v>
      </c>
      <c r="AZ213" s="8">
        <v>55.49</v>
      </c>
      <c r="BA213" s="8">
        <v>65.34</v>
      </c>
      <c r="BB213" s="8">
        <v>40.28</v>
      </c>
      <c r="BC213" s="8">
        <v>35.56</v>
      </c>
      <c r="BD213" s="8">
        <v>44.6</v>
      </c>
      <c r="BE213" s="8">
        <v>44.6</v>
      </c>
      <c r="BF213" s="8">
        <v>33.9</v>
      </c>
      <c r="BG213" s="8">
        <v>33.9</v>
      </c>
      <c r="BH213" s="8">
        <v>35.53</v>
      </c>
      <c r="BI213" s="8">
        <v>43.95</v>
      </c>
      <c r="BJ213" s="8">
        <v>27.11</v>
      </c>
      <c r="BK213" s="8">
        <v>27.42</v>
      </c>
      <c r="BL213" s="8">
        <v>32.35</v>
      </c>
      <c r="BM213" s="8">
        <v>28.28</v>
      </c>
      <c r="BN213" s="8">
        <v>22</v>
      </c>
      <c r="BO213" s="8">
        <v>70.67</v>
      </c>
      <c r="BP213" s="8">
        <v>69.48</v>
      </c>
      <c r="BQ213" s="8">
        <v>75.569999999999993</v>
      </c>
      <c r="BR213" s="8">
        <v>49.97</v>
      </c>
      <c r="BS213" s="8">
        <v>128.91</v>
      </c>
      <c r="BT213" s="8">
        <v>128.91</v>
      </c>
      <c r="BU213" s="8">
        <v>103.85</v>
      </c>
      <c r="BV213" s="8">
        <v>103.93</v>
      </c>
      <c r="BW213" s="8">
        <v>118.55</v>
      </c>
      <c r="BX213" s="8">
        <v>122.27</v>
      </c>
      <c r="BY213" s="8">
        <v>77.94</v>
      </c>
      <c r="BZ213" s="8">
        <v>76.819999999999993</v>
      </c>
      <c r="CA213" s="8">
        <v>76.959999999999994</v>
      </c>
      <c r="CB213" s="8">
        <v>93</v>
      </c>
      <c r="CC213" s="8">
        <v>64.069999999999993</v>
      </c>
      <c r="CD213" s="8">
        <v>37.979999999999997</v>
      </c>
      <c r="CE213" s="8">
        <v>45.84</v>
      </c>
      <c r="CF213" s="8">
        <v>40.46</v>
      </c>
      <c r="CG213" s="8">
        <v>33.75</v>
      </c>
      <c r="CH213" s="8">
        <v>31.97</v>
      </c>
      <c r="CI213" s="8">
        <v>69.760000000000005</v>
      </c>
      <c r="CJ213" s="8">
        <v>69.2</v>
      </c>
      <c r="CK213" s="8">
        <v>74.680000000000007</v>
      </c>
      <c r="CL213" s="8">
        <v>25.43</v>
      </c>
      <c r="CM213" s="8">
        <v>23.65</v>
      </c>
      <c r="CN213" s="8">
        <v>39.6</v>
      </c>
      <c r="CO213" s="8">
        <v>53.31</v>
      </c>
      <c r="CP213" s="8">
        <v>53.76</v>
      </c>
      <c r="CQ213" s="8">
        <v>101.69</v>
      </c>
      <c r="CR213" s="8">
        <v>52.82</v>
      </c>
      <c r="CS213" s="8">
        <v>34.5</v>
      </c>
      <c r="CT213" s="8">
        <v>49.15</v>
      </c>
      <c r="CU213" s="8">
        <v>36.85</v>
      </c>
      <c r="CV213" s="8">
        <v>48.56</v>
      </c>
      <c r="CW213" s="8">
        <v>48.56</v>
      </c>
      <c r="CX213" s="8">
        <v>111.24</v>
      </c>
      <c r="CY213" s="8">
        <v>111.23</v>
      </c>
      <c r="CZ213" s="8">
        <v>37.47</v>
      </c>
      <c r="DA213" s="8">
        <v>117.2</v>
      </c>
      <c r="DB213" s="8">
        <v>69.67</v>
      </c>
      <c r="DC213" s="8">
        <v>332.13</v>
      </c>
      <c r="DD213" s="8">
        <v>1279.1500000000001</v>
      </c>
      <c r="DE213" s="8">
        <v>88.02</v>
      </c>
      <c r="DF213" s="8">
        <v>56.78</v>
      </c>
      <c r="DG213" s="8">
        <v>80.45</v>
      </c>
      <c r="DH213" s="8">
        <v>48.2</v>
      </c>
      <c r="DI213" s="8">
        <v>47.78</v>
      </c>
      <c r="DJ213" s="8">
        <v>45.14</v>
      </c>
      <c r="DK213" s="8">
        <v>44.42</v>
      </c>
      <c r="DL213" s="8">
        <v>51.06</v>
      </c>
      <c r="DM213" s="8">
        <v>106.99</v>
      </c>
      <c r="DN213" s="8">
        <v>130.16</v>
      </c>
      <c r="DO213" s="8">
        <v>47.2</v>
      </c>
      <c r="DP213" s="8">
        <v>32.58</v>
      </c>
      <c r="DQ213" s="8">
        <v>36.18</v>
      </c>
      <c r="DR213" s="8">
        <v>37.4</v>
      </c>
      <c r="DS213" s="8">
        <v>30.28</v>
      </c>
      <c r="DT213" s="8">
        <v>30.28</v>
      </c>
      <c r="DY213" s="8">
        <v>22.1</v>
      </c>
      <c r="DZ213" s="8">
        <v>22.1</v>
      </c>
      <c r="ED213" s="9">
        <v>-0.1</v>
      </c>
      <c r="EE213" s="9">
        <v>1.2</v>
      </c>
      <c r="EF213" s="9">
        <v>1.6</v>
      </c>
      <c r="EG213" s="9">
        <v>2.9</v>
      </c>
      <c r="EH213" s="9">
        <v>0.7</v>
      </c>
      <c r="EI213" s="9">
        <v>-1.5</v>
      </c>
      <c r="EJ213" s="9">
        <v>2.8</v>
      </c>
      <c r="EK213" s="9">
        <v>1</v>
      </c>
      <c r="EL213" s="9">
        <v>0.9</v>
      </c>
      <c r="EM213" s="9">
        <v>1</v>
      </c>
      <c r="EN213" s="9">
        <v>2.6</v>
      </c>
      <c r="EO213" s="9">
        <v>1.2</v>
      </c>
      <c r="EP213" s="9">
        <v>0.3</v>
      </c>
      <c r="EQ213" s="9">
        <v>0.7</v>
      </c>
      <c r="ER213" s="9">
        <v>1.9</v>
      </c>
      <c r="ES213" s="9">
        <v>1.3</v>
      </c>
      <c r="ET213" s="9">
        <v>2.2999999999999998</v>
      </c>
      <c r="EU213" s="9">
        <v>3.6</v>
      </c>
      <c r="EV213" s="9">
        <v>1.1000000000000001</v>
      </c>
      <c r="EW213" s="9">
        <v>6.8</v>
      </c>
      <c r="EX213" s="9">
        <v>-3.7</v>
      </c>
      <c r="EY213" s="9">
        <v>0.6</v>
      </c>
      <c r="EZ213" s="9">
        <v>1.8</v>
      </c>
      <c r="FA213" s="9">
        <v>0</v>
      </c>
      <c r="FB213" s="9">
        <v>1.5</v>
      </c>
      <c r="FC213" s="9">
        <v>0.3</v>
      </c>
      <c r="FD213" s="9">
        <v>0.6</v>
      </c>
      <c r="FE213" s="9">
        <v>0.3</v>
      </c>
      <c r="FF213" s="9">
        <v>0.6</v>
      </c>
      <c r="FG213" s="9">
        <v>1.3</v>
      </c>
      <c r="FH213" s="9">
        <v>0.6</v>
      </c>
      <c r="FI213" s="9">
        <v>1.3</v>
      </c>
      <c r="FJ213" s="9">
        <v>1</v>
      </c>
      <c r="FK213" s="9">
        <v>1.5</v>
      </c>
      <c r="FL213" s="9">
        <v>0.8</v>
      </c>
      <c r="FM213" s="9">
        <v>0.5</v>
      </c>
      <c r="FN213" s="9">
        <v>0.6</v>
      </c>
      <c r="FO213" s="9">
        <v>0.1</v>
      </c>
      <c r="FP213" s="9">
        <v>0.7</v>
      </c>
      <c r="FQ213" s="9">
        <v>1.3</v>
      </c>
      <c r="FR213" s="9">
        <v>1.3</v>
      </c>
      <c r="FS213" s="9">
        <v>-0.6</v>
      </c>
      <c r="FT213" s="9">
        <v>-0.4</v>
      </c>
      <c r="FU213" s="9">
        <v>0.1</v>
      </c>
      <c r="FV213" s="9">
        <v>-0.3</v>
      </c>
      <c r="FW213" s="9">
        <v>-1.7</v>
      </c>
      <c r="FX213" s="9">
        <v>-1.3</v>
      </c>
      <c r="FY213" s="9">
        <v>-0.8</v>
      </c>
      <c r="FZ213" s="9">
        <v>-1.6</v>
      </c>
      <c r="GA213" s="9">
        <v>-1</v>
      </c>
      <c r="GB213" s="9">
        <v>-0.9</v>
      </c>
      <c r="GC213" s="9">
        <v>-1</v>
      </c>
      <c r="GD213" s="9">
        <v>0.1</v>
      </c>
      <c r="GE213" s="9">
        <v>0.7</v>
      </c>
      <c r="GF213" s="9">
        <v>0.7</v>
      </c>
      <c r="GG213" s="9">
        <v>0.6</v>
      </c>
      <c r="GH213" s="9">
        <v>1.5</v>
      </c>
      <c r="GI213" s="9">
        <v>1.5</v>
      </c>
      <c r="GJ213" s="9">
        <v>0</v>
      </c>
      <c r="GK213" s="9">
        <v>0.2</v>
      </c>
      <c r="GL213" s="9">
        <v>0</v>
      </c>
      <c r="GM213" s="9">
        <v>0.2</v>
      </c>
      <c r="GN213" s="9">
        <v>0</v>
      </c>
      <c r="GO213" s="9">
        <v>1.2</v>
      </c>
      <c r="GP213" s="9">
        <v>-1.6</v>
      </c>
      <c r="GQ213" s="9">
        <v>-0.9</v>
      </c>
      <c r="GR213" s="9">
        <v>-1.6</v>
      </c>
      <c r="GS213" s="9">
        <v>-1.9</v>
      </c>
      <c r="GT213" s="9">
        <v>-0.5</v>
      </c>
      <c r="GU213" s="9">
        <v>0.2</v>
      </c>
      <c r="GV213" s="9">
        <v>0.2</v>
      </c>
      <c r="GW213" s="9">
        <v>-0.3</v>
      </c>
      <c r="GX213" s="9">
        <v>-0.3</v>
      </c>
      <c r="GY213" s="9">
        <v>-0.3</v>
      </c>
      <c r="GZ213" s="9">
        <v>-1.4</v>
      </c>
      <c r="HA213" s="9">
        <v>1</v>
      </c>
      <c r="HB213" s="9">
        <v>0</v>
      </c>
      <c r="HC213" s="9">
        <v>-0.1</v>
      </c>
      <c r="HD213" s="9">
        <v>1.4</v>
      </c>
      <c r="HE213" s="9">
        <v>0.8</v>
      </c>
      <c r="HF213" s="9">
        <v>0.5</v>
      </c>
      <c r="HG213" s="9">
        <v>1.4</v>
      </c>
      <c r="HH213" s="9">
        <v>0.9</v>
      </c>
      <c r="HI213" s="9">
        <v>0.5</v>
      </c>
      <c r="HJ213" s="9">
        <v>-9.8000000000000007</v>
      </c>
      <c r="HK213" s="9">
        <v>6.6</v>
      </c>
      <c r="HL213" s="9">
        <v>7.8</v>
      </c>
      <c r="HM213" s="9">
        <v>0.2</v>
      </c>
      <c r="HN213" s="9">
        <v>-15</v>
      </c>
      <c r="HO213" s="9">
        <v>-17.899999999999999</v>
      </c>
      <c r="HP213" s="9">
        <v>0.9</v>
      </c>
      <c r="HQ213" s="9">
        <v>-0.6</v>
      </c>
      <c r="HR213" s="9">
        <v>-0.7</v>
      </c>
      <c r="HS213" s="9">
        <v>-0.5</v>
      </c>
      <c r="HT213" s="9">
        <v>0.5</v>
      </c>
      <c r="HU213" s="9">
        <v>-2.7</v>
      </c>
      <c r="HV213" s="9">
        <v>0.8</v>
      </c>
      <c r="HW213" s="9">
        <v>0.2</v>
      </c>
      <c r="HX213" s="9">
        <v>0.9</v>
      </c>
      <c r="HY213" s="9">
        <v>0.9</v>
      </c>
      <c r="HZ213" s="9">
        <v>-2.8</v>
      </c>
      <c r="IA213" s="9">
        <v>-2.8</v>
      </c>
      <c r="IB213" s="9">
        <v>0</v>
      </c>
      <c r="IC213" s="9">
        <v>-3.1</v>
      </c>
      <c r="ID213" s="9">
        <v>0.8</v>
      </c>
      <c r="IE213" s="9">
        <v>-1.3</v>
      </c>
      <c r="IF213" s="9">
        <v>-2.9</v>
      </c>
      <c r="IG213" s="9">
        <v>-1.2</v>
      </c>
      <c r="IH213" s="9">
        <v>1.1000000000000001</v>
      </c>
      <c r="II213" s="9">
        <v>2.5</v>
      </c>
      <c r="IJ213" s="9">
        <v>0.5</v>
      </c>
      <c r="IK213" s="9">
        <v>1.3</v>
      </c>
      <c r="IL213" s="9">
        <v>2.8</v>
      </c>
      <c r="IM213" s="9">
        <v>-0.7</v>
      </c>
      <c r="IN213" s="9">
        <v>0.9</v>
      </c>
      <c r="IO213" s="9">
        <v>0</v>
      </c>
      <c r="IP213" s="9">
        <v>2.1</v>
      </c>
      <c r="IQ213" s="9">
        <v>-1.2</v>
      </c>
    </row>
    <row r="214" spans="1:251" x14ac:dyDescent="0.2">
      <c r="A214" s="10">
        <v>36312</v>
      </c>
      <c r="B214" s="8">
        <v>47.29</v>
      </c>
      <c r="C214" s="8">
        <v>46.52</v>
      </c>
      <c r="D214" s="8">
        <v>51.98</v>
      </c>
      <c r="E214" s="8">
        <v>51.11</v>
      </c>
      <c r="F214" s="8">
        <v>48.67</v>
      </c>
      <c r="G214" s="8">
        <v>64.209999999999994</v>
      </c>
      <c r="H214" s="8">
        <v>59.73</v>
      </c>
      <c r="I214" s="8">
        <v>46.45</v>
      </c>
      <c r="J214" s="8">
        <v>36.590000000000003</v>
      </c>
      <c r="K214" s="8">
        <v>47.32</v>
      </c>
      <c r="L214" s="8">
        <v>32.090000000000003</v>
      </c>
      <c r="M214" s="8">
        <v>75.41</v>
      </c>
      <c r="N214" s="8">
        <v>40.57</v>
      </c>
      <c r="O214" s="8">
        <v>53.51</v>
      </c>
      <c r="P214" s="8">
        <v>52.8</v>
      </c>
      <c r="Q214" s="8">
        <v>57.79</v>
      </c>
      <c r="R214" s="8">
        <v>43.35</v>
      </c>
      <c r="S214" s="8">
        <v>55.41</v>
      </c>
      <c r="T214" s="8">
        <v>45.19</v>
      </c>
      <c r="U214" s="8">
        <v>48.45</v>
      </c>
      <c r="V214" s="8">
        <v>42.45</v>
      </c>
      <c r="W214" s="8">
        <v>50.66</v>
      </c>
      <c r="X214" s="8">
        <v>46.01</v>
      </c>
      <c r="Y214" s="8">
        <v>53.12</v>
      </c>
      <c r="Z214" s="8">
        <v>64.430000000000007</v>
      </c>
      <c r="AA214" s="8">
        <v>35.17</v>
      </c>
      <c r="AB214" s="8">
        <v>47.9</v>
      </c>
      <c r="AC214" s="8">
        <v>60.24</v>
      </c>
      <c r="AD214" s="8">
        <v>52.6</v>
      </c>
      <c r="AE214" s="8">
        <v>62.96</v>
      </c>
      <c r="AF214" s="8">
        <v>50.93</v>
      </c>
      <c r="AG214" s="8">
        <v>40.869999999999997</v>
      </c>
      <c r="AH214" s="8">
        <v>42.56</v>
      </c>
      <c r="AI214" s="8">
        <v>39.08</v>
      </c>
      <c r="AJ214" s="8">
        <v>24.99</v>
      </c>
      <c r="AK214" s="8">
        <v>48.29</v>
      </c>
      <c r="AL214" s="8">
        <v>40.98</v>
      </c>
      <c r="AM214" s="8">
        <v>75.95</v>
      </c>
      <c r="AN214" s="8">
        <v>37.31</v>
      </c>
      <c r="AO214" s="8">
        <v>8.49</v>
      </c>
      <c r="AP214" s="8">
        <v>8.49</v>
      </c>
      <c r="AQ214" s="8">
        <v>96.13</v>
      </c>
      <c r="AR214" s="8">
        <v>113.59</v>
      </c>
      <c r="AS214" s="8">
        <v>110.06</v>
      </c>
      <c r="AT214" s="8">
        <v>120.38</v>
      </c>
      <c r="AU214" s="8">
        <v>97.28</v>
      </c>
      <c r="AV214" s="8">
        <v>107.57</v>
      </c>
      <c r="AW214" s="8">
        <v>110.04</v>
      </c>
      <c r="AX214" s="8">
        <v>110.17</v>
      </c>
      <c r="AY214" s="8">
        <v>98.42</v>
      </c>
      <c r="AZ214" s="8">
        <v>56.59</v>
      </c>
      <c r="BA214" s="8">
        <v>67.3</v>
      </c>
      <c r="BB214" s="8">
        <v>40.33</v>
      </c>
      <c r="BC214" s="8">
        <v>35.72</v>
      </c>
      <c r="BD214" s="8">
        <v>44.89</v>
      </c>
      <c r="BE214" s="8">
        <v>44.9</v>
      </c>
      <c r="BF214" s="8">
        <v>34.22</v>
      </c>
      <c r="BG214" s="8">
        <v>34.22</v>
      </c>
      <c r="BH214" s="8">
        <v>35.53</v>
      </c>
      <c r="BI214" s="8">
        <v>43.87</v>
      </c>
      <c r="BJ214" s="8">
        <v>27.11</v>
      </c>
      <c r="BK214" s="8">
        <v>27.25</v>
      </c>
      <c r="BL214" s="8">
        <v>32.35</v>
      </c>
      <c r="BM214" s="8">
        <v>27.99</v>
      </c>
      <c r="BN214" s="8">
        <v>21.91</v>
      </c>
      <c r="BO214" s="8">
        <v>71.010000000000005</v>
      </c>
      <c r="BP214" s="8">
        <v>70.540000000000006</v>
      </c>
      <c r="BQ214" s="8">
        <v>77.14</v>
      </c>
      <c r="BR214" s="8">
        <v>49.57</v>
      </c>
      <c r="BS214" s="8">
        <v>128.38</v>
      </c>
      <c r="BT214" s="8">
        <v>128.38</v>
      </c>
      <c r="BU214" s="8">
        <v>104.97</v>
      </c>
      <c r="BV214" s="8">
        <v>104.4</v>
      </c>
      <c r="BW214" s="8">
        <v>119.1</v>
      </c>
      <c r="BX214" s="8">
        <v>126.21</v>
      </c>
      <c r="BY214" s="8">
        <v>78.290000000000006</v>
      </c>
      <c r="BZ214" s="8">
        <v>76.13</v>
      </c>
      <c r="CA214" s="8">
        <v>77.98</v>
      </c>
      <c r="CB214" s="8">
        <v>93.76</v>
      </c>
      <c r="CC214" s="8">
        <v>63.4</v>
      </c>
      <c r="CD214" s="8">
        <v>38.17</v>
      </c>
      <c r="CE214" s="8">
        <v>46.33</v>
      </c>
      <c r="CF214" s="8">
        <v>40.700000000000003</v>
      </c>
      <c r="CG214" s="8">
        <v>33.909999999999997</v>
      </c>
      <c r="CH214" s="8">
        <v>32.1</v>
      </c>
      <c r="CI214" s="8">
        <v>69.81</v>
      </c>
      <c r="CJ214" s="8">
        <v>69.27</v>
      </c>
      <c r="CK214" s="8">
        <v>74.77</v>
      </c>
      <c r="CL214" s="8">
        <v>25.56</v>
      </c>
      <c r="CM214" s="8">
        <v>23.73</v>
      </c>
      <c r="CN214" s="8">
        <v>40.14</v>
      </c>
      <c r="CO214" s="8">
        <v>54.04</v>
      </c>
      <c r="CP214" s="8">
        <v>54.54</v>
      </c>
      <c r="CQ214" s="8">
        <v>101.3</v>
      </c>
      <c r="CR214" s="8">
        <v>52.68</v>
      </c>
      <c r="CS214" s="8">
        <v>36.32</v>
      </c>
      <c r="CT214" s="8">
        <v>49.25</v>
      </c>
      <c r="CU214" s="8">
        <v>36.85</v>
      </c>
      <c r="CV214" s="8">
        <v>48.67</v>
      </c>
      <c r="CW214" s="8">
        <v>48.67</v>
      </c>
      <c r="CX214" s="8">
        <v>110.91</v>
      </c>
      <c r="CY214" s="8">
        <v>110.93</v>
      </c>
      <c r="CZ214" s="8">
        <v>37.47</v>
      </c>
      <c r="DA214" s="8">
        <v>116.85</v>
      </c>
      <c r="DB214" s="8">
        <v>69.44</v>
      </c>
      <c r="DC214" s="8">
        <v>327.8</v>
      </c>
      <c r="DD214" s="8">
        <v>1238.68</v>
      </c>
      <c r="DE214" s="8">
        <v>86.88</v>
      </c>
      <c r="DF214" s="8">
        <v>57.08</v>
      </c>
      <c r="DG214" s="8">
        <v>79.47</v>
      </c>
      <c r="DH214" s="8">
        <v>48.85</v>
      </c>
      <c r="DI214" s="8">
        <v>47.49</v>
      </c>
      <c r="DJ214" s="8">
        <v>42.38</v>
      </c>
      <c r="DK214" s="8">
        <v>47.62</v>
      </c>
      <c r="DL214" s="8">
        <v>51.1</v>
      </c>
      <c r="DM214" s="8">
        <v>106.3</v>
      </c>
      <c r="DN214" s="8">
        <v>130.68</v>
      </c>
      <c r="DO214" s="8">
        <v>46.02</v>
      </c>
      <c r="DP214" s="8">
        <v>32.659999999999997</v>
      </c>
      <c r="DQ214" s="8">
        <v>36.43</v>
      </c>
      <c r="DR214" s="8">
        <v>37.770000000000003</v>
      </c>
      <c r="DS214" s="8">
        <v>30.28</v>
      </c>
      <c r="DT214" s="8">
        <v>30.28</v>
      </c>
      <c r="DY214" s="8">
        <v>22.18</v>
      </c>
      <c r="DZ214" s="8">
        <v>22.18</v>
      </c>
      <c r="ED214" s="9">
        <v>0.4</v>
      </c>
      <c r="EE214" s="9">
        <v>0.2</v>
      </c>
      <c r="EF214" s="9">
        <v>0.7</v>
      </c>
      <c r="EG214" s="9">
        <v>1.8</v>
      </c>
      <c r="EH214" s="9">
        <v>-0.2</v>
      </c>
      <c r="EI214" s="9">
        <v>-0.4</v>
      </c>
      <c r="EJ214" s="9">
        <v>0.7</v>
      </c>
      <c r="EK214" s="9">
        <v>1.8</v>
      </c>
      <c r="EL214" s="9">
        <v>3.2</v>
      </c>
      <c r="EM214" s="9">
        <v>-0.7</v>
      </c>
      <c r="EN214" s="9">
        <v>4.7</v>
      </c>
      <c r="EO214" s="9">
        <v>1.1000000000000001</v>
      </c>
      <c r="EP214" s="9">
        <v>1.8</v>
      </c>
      <c r="EQ214" s="9">
        <v>0.8</v>
      </c>
      <c r="ER214" s="9">
        <v>0.8</v>
      </c>
      <c r="ES214" s="9">
        <v>0.3</v>
      </c>
      <c r="ET214" s="9">
        <v>0.5</v>
      </c>
      <c r="EU214" s="9">
        <v>3.3</v>
      </c>
      <c r="EV214" s="9">
        <v>-2.5</v>
      </c>
      <c r="EW214" s="9">
        <v>-0.4</v>
      </c>
      <c r="EX214" s="9">
        <v>-4.5</v>
      </c>
      <c r="EY214" s="9">
        <v>2</v>
      </c>
      <c r="EZ214" s="9">
        <v>3.1</v>
      </c>
      <c r="FA214" s="9">
        <v>1.2</v>
      </c>
      <c r="FB214" s="9">
        <v>0.6</v>
      </c>
      <c r="FC214" s="9">
        <v>-1.1000000000000001</v>
      </c>
      <c r="FD214" s="9">
        <v>1.9</v>
      </c>
      <c r="FE214" s="9">
        <v>0.4</v>
      </c>
      <c r="FF214" s="9">
        <v>-0.5</v>
      </c>
      <c r="FG214" s="9">
        <v>-0.3</v>
      </c>
      <c r="FH214" s="9">
        <v>-0.5</v>
      </c>
      <c r="FI214" s="9">
        <v>0.6</v>
      </c>
      <c r="FJ214" s="9">
        <v>0.5</v>
      </c>
      <c r="FK214" s="9">
        <v>0.6</v>
      </c>
      <c r="FL214" s="9">
        <v>0.7</v>
      </c>
      <c r="FM214" s="9">
        <v>0.5</v>
      </c>
      <c r="FN214" s="9">
        <v>0.3</v>
      </c>
      <c r="FO214" s="9">
        <v>0.7</v>
      </c>
      <c r="FP214" s="9">
        <v>0.4</v>
      </c>
      <c r="FQ214" s="9">
        <v>1</v>
      </c>
      <c r="FR214" s="9">
        <v>1</v>
      </c>
      <c r="FS214" s="9">
        <v>0.3</v>
      </c>
      <c r="FT214" s="9">
        <v>0</v>
      </c>
      <c r="FU214" s="9">
        <v>0</v>
      </c>
      <c r="FV214" s="9">
        <v>-0.3</v>
      </c>
      <c r="FW214" s="9">
        <v>0.8</v>
      </c>
      <c r="FX214" s="9">
        <v>0.6</v>
      </c>
      <c r="FY214" s="9">
        <v>0.7</v>
      </c>
      <c r="FZ214" s="9">
        <v>0.4</v>
      </c>
      <c r="GA214" s="9">
        <v>1.3</v>
      </c>
      <c r="GB214" s="9">
        <v>2</v>
      </c>
      <c r="GC214" s="9">
        <v>3</v>
      </c>
      <c r="GD214" s="9">
        <v>0.1</v>
      </c>
      <c r="GE214" s="9">
        <v>0.4</v>
      </c>
      <c r="GF214" s="9">
        <v>0.7</v>
      </c>
      <c r="GG214" s="9">
        <v>0.7</v>
      </c>
      <c r="GH214" s="9">
        <v>0.9</v>
      </c>
      <c r="GI214" s="9">
        <v>0.9</v>
      </c>
      <c r="GJ214" s="9">
        <v>0</v>
      </c>
      <c r="GK214" s="9">
        <v>-0.2</v>
      </c>
      <c r="GL214" s="9">
        <v>0</v>
      </c>
      <c r="GM214" s="9">
        <v>-0.6</v>
      </c>
      <c r="GN214" s="9">
        <v>0</v>
      </c>
      <c r="GO214" s="9">
        <v>-1</v>
      </c>
      <c r="GP214" s="9">
        <v>-0.4</v>
      </c>
      <c r="GQ214" s="9">
        <v>0.5</v>
      </c>
      <c r="GR214" s="9">
        <v>1.5</v>
      </c>
      <c r="GS214" s="9">
        <v>2.1</v>
      </c>
      <c r="GT214" s="9">
        <v>-0.8</v>
      </c>
      <c r="GU214" s="9">
        <v>-0.4</v>
      </c>
      <c r="GV214" s="9">
        <v>-0.4</v>
      </c>
      <c r="GW214" s="9">
        <v>1.1000000000000001</v>
      </c>
      <c r="GX214" s="9">
        <v>0.5</v>
      </c>
      <c r="GY214" s="9">
        <v>0.5</v>
      </c>
      <c r="GZ214" s="9">
        <v>3.2</v>
      </c>
      <c r="HA214" s="9">
        <v>0.4</v>
      </c>
      <c r="HB214" s="9">
        <v>-0.9</v>
      </c>
      <c r="HC214" s="9">
        <v>1.3</v>
      </c>
      <c r="HD214" s="9">
        <v>0.8</v>
      </c>
      <c r="HE214" s="9">
        <v>-1</v>
      </c>
      <c r="HF214" s="9">
        <v>0.5</v>
      </c>
      <c r="HG214" s="9">
        <v>1.1000000000000001</v>
      </c>
      <c r="HH214" s="9">
        <v>0.6</v>
      </c>
      <c r="HI214" s="9">
        <v>0.5</v>
      </c>
      <c r="HJ214" s="9">
        <v>0.4</v>
      </c>
      <c r="HK214" s="9">
        <v>0.1</v>
      </c>
      <c r="HL214" s="9">
        <v>0.1</v>
      </c>
      <c r="HM214" s="9">
        <v>0.1</v>
      </c>
      <c r="HN214" s="9">
        <v>0.5</v>
      </c>
      <c r="HO214" s="9">
        <v>0.3</v>
      </c>
      <c r="HP214" s="9">
        <v>1.4</v>
      </c>
      <c r="HQ214" s="9">
        <v>1.4</v>
      </c>
      <c r="HR214" s="9">
        <v>1.5</v>
      </c>
      <c r="HS214" s="9">
        <v>-0.4</v>
      </c>
      <c r="HT214" s="9">
        <v>-0.3</v>
      </c>
      <c r="HU214" s="9">
        <v>5.3</v>
      </c>
      <c r="HV214" s="9">
        <v>0.2</v>
      </c>
      <c r="HW214" s="9">
        <v>0</v>
      </c>
      <c r="HX214" s="9">
        <v>0.2</v>
      </c>
      <c r="HY214" s="9">
        <v>0.2</v>
      </c>
      <c r="HZ214" s="9">
        <v>-0.3</v>
      </c>
      <c r="IA214" s="9">
        <v>-0.3</v>
      </c>
      <c r="IB214" s="9">
        <v>0</v>
      </c>
      <c r="IC214" s="9">
        <v>-0.3</v>
      </c>
      <c r="ID214" s="9">
        <v>-0.3</v>
      </c>
      <c r="IE214" s="9">
        <v>-1.3</v>
      </c>
      <c r="IF214" s="9">
        <v>-3.2</v>
      </c>
      <c r="IG214" s="9">
        <v>-1.3</v>
      </c>
      <c r="IH214" s="9">
        <v>0.5</v>
      </c>
      <c r="II214" s="9">
        <v>-1.2</v>
      </c>
      <c r="IJ214" s="9">
        <v>1.3</v>
      </c>
      <c r="IK214" s="9">
        <v>-0.6</v>
      </c>
      <c r="IL214" s="9">
        <v>-6.1</v>
      </c>
      <c r="IM214" s="9">
        <v>7.2</v>
      </c>
      <c r="IN214" s="9">
        <v>0.1</v>
      </c>
      <c r="IO214" s="9">
        <v>-0.6</v>
      </c>
      <c r="IP214" s="9">
        <v>0.4</v>
      </c>
      <c r="IQ214" s="9">
        <v>-2.5</v>
      </c>
    </row>
    <row r="215" spans="1:251" x14ac:dyDescent="0.2">
      <c r="A215" s="10">
        <v>36404</v>
      </c>
      <c r="B215" s="8">
        <v>47.72</v>
      </c>
      <c r="C215" s="8">
        <v>46.76</v>
      </c>
      <c r="D215" s="8">
        <v>52.52</v>
      </c>
      <c r="E215" s="8">
        <v>51.54</v>
      </c>
      <c r="F215" s="8">
        <v>49.71</v>
      </c>
      <c r="G215" s="8">
        <v>63.32</v>
      </c>
      <c r="H215" s="8">
        <v>59.65</v>
      </c>
      <c r="I215" s="8">
        <v>46.53</v>
      </c>
      <c r="J215" s="8">
        <v>36.659999999999997</v>
      </c>
      <c r="K215" s="8">
        <v>48.09</v>
      </c>
      <c r="L215" s="8">
        <v>31.34</v>
      </c>
      <c r="M215" s="8">
        <v>74.819999999999993</v>
      </c>
      <c r="N215" s="8">
        <v>41.16</v>
      </c>
      <c r="O215" s="8">
        <v>53.55</v>
      </c>
      <c r="P215" s="8">
        <v>53.05</v>
      </c>
      <c r="Q215" s="8">
        <v>58.31</v>
      </c>
      <c r="R215" s="8">
        <v>43.46</v>
      </c>
      <c r="S215" s="8">
        <v>55.01</v>
      </c>
      <c r="T215" s="8">
        <v>44.89</v>
      </c>
      <c r="U215" s="8">
        <v>50.32</v>
      </c>
      <c r="V215" s="8">
        <v>40.36</v>
      </c>
      <c r="W215" s="8">
        <v>50.83</v>
      </c>
      <c r="X215" s="8">
        <v>47.3</v>
      </c>
      <c r="Y215" s="8">
        <v>54.02</v>
      </c>
      <c r="Z215" s="8">
        <v>64.92</v>
      </c>
      <c r="AA215" s="8">
        <v>35.979999999999997</v>
      </c>
      <c r="AB215" s="8">
        <v>48.07</v>
      </c>
      <c r="AC215" s="8">
        <v>61.66</v>
      </c>
      <c r="AD215" s="8">
        <v>52.6</v>
      </c>
      <c r="AE215" s="8">
        <v>63.17</v>
      </c>
      <c r="AF215" s="8">
        <v>50.93</v>
      </c>
      <c r="AG215" s="8">
        <v>41.24</v>
      </c>
      <c r="AH215" s="8">
        <v>42.91</v>
      </c>
      <c r="AI215" s="8">
        <v>39.46</v>
      </c>
      <c r="AJ215" s="8">
        <v>25.05</v>
      </c>
      <c r="AK215" s="8">
        <v>48.18</v>
      </c>
      <c r="AL215" s="8">
        <v>41.02</v>
      </c>
      <c r="AM215" s="8">
        <v>75.760000000000005</v>
      </c>
      <c r="AN215" s="8">
        <v>37.200000000000003</v>
      </c>
      <c r="AO215" s="8">
        <v>8.57</v>
      </c>
      <c r="AP215" s="8">
        <v>8.57</v>
      </c>
      <c r="AQ215" s="8">
        <v>95.73</v>
      </c>
      <c r="AR215" s="8">
        <v>113.27</v>
      </c>
      <c r="AS215" s="8">
        <v>109.35</v>
      </c>
      <c r="AT215" s="8">
        <v>120.01</v>
      </c>
      <c r="AU215" s="8">
        <v>97.9</v>
      </c>
      <c r="AV215" s="8">
        <v>106.49</v>
      </c>
      <c r="AW215" s="8">
        <v>109.01</v>
      </c>
      <c r="AX215" s="8">
        <v>108.88</v>
      </c>
      <c r="AY215" s="8">
        <v>97.89</v>
      </c>
      <c r="AZ215" s="8">
        <v>56.3</v>
      </c>
      <c r="BA215" s="8">
        <v>66.75</v>
      </c>
      <c r="BB215" s="8">
        <v>40.39</v>
      </c>
      <c r="BC215" s="8">
        <v>36.25</v>
      </c>
      <c r="BD215" s="8">
        <v>45.17</v>
      </c>
      <c r="BE215" s="8">
        <v>45.17</v>
      </c>
      <c r="BF215" s="8">
        <v>34.909999999999997</v>
      </c>
      <c r="BG215" s="8">
        <v>34.92</v>
      </c>
      <c r="BH215" s="8">
        <v>36.47</v>
      </c>
      <c r="BI215" s="8">
        <v>44.16</v>
      </c>
      <c r="BJ215" s="8">
        <v>28.53</v>
      </c>
      <c r="BK215" s="8">
        <v>27.47</v>
      </c>
      <c r="BL215" s="8">
        <v>33.36</v>
      </c>
      <c r="BM215" s="8">
        <v>27.93</v>
      </c>
      <c r="BN215" s="8">
        <v>21.93</v>
      </c>
      <c r="BO215" s="8">
        <v>70.66</v>
      </c>
      <c r="BP215" s="8">
        <v>70.239999999999995</v>
      </c>
      <c r="BQ215" s="8">
        <v>76.67</v>
      </c>
      <c r="BR215" s="8">
        <v>49.74</v>
      </c>
      <c r="BS215" s="8">
        <v>127.96</v>
      </c>
      <c r="BT215" s="8">
        <v>127.96</v>
      </c>
      <c r="BU215" s="8">
        <v>104.94</v>
      </c>
      <c r="BV215" s="8">
        <v>104.45</v>
      </c>
      <c r="BW215" s="8">
        <v>119.1</v>
      </c>
      <c r="BX215" s="8">
        <v>125.25</v>
      </c>
      <c r="BY215" s="8">
        <v>78.709999999999994</v>
      </c>
      <c r="BZ215" s="8">
        <v>76.209999999999994</v>
      </c>
      <c r="CA215" s="8">
        <v>78.34</v>
      </c>
      <c r="CB215" s="8">
        <v>93.59</v>
      </c>
      <c r="CC215" s="8">
        <v>64.03</v>
      </c>
      <c r="CD215" s="8">
        <v>38.64</v>
      </c>
      <c r="CE215" s="8">
        <v>46.85</v>
      </c>
      <c r="CF215" s="8">
        <v>41.29</v>
      </c>
      <c r="CG215" s="8">
        <v>34.33</v>
      </c>
      <c r="CH215" s="8">
        <v>32.43</v>
      </c>
      <c r="CI215" s="8">
        <v>68.709999999999994</v>
      </c>
      <c r="CJ215" s="8">
        <v>67.900000000000006</v>
      </c>
      <c r="CK215" s="8">
        <v>75.180000000000007</v>
      </c>
      <c r="CL215" s="8">
        <v>26.08</v>
      </c>
      <c r="CM215" s="8">
        <v>24.28</v>
      </c>
      <c r="CN215" s="8">
        <v>40.4</v>
      </c>
      <c r="CO215" s="8">
        <v>55.82</v>
      </c>
      <c r="CP215" s="8">
        <v>56.37</v>
      </c>
      <c r="CQ215" s="8">
        <v>101.97</v>
      </c>
      <c r="CR215" s="8">
        <v>53.02</v>
      </c>
      <c r="CS215" s="8">
        <v>39.520000000000003</v>
      </c>
      <c r="CT215" s="8">
        <v>49.52</v>
      </c>
      <c r="CU215" s="8">
        <v>37.58</v>
      </c>
      <c r="CV215" s="8">
        <v>49.77</v>
      </c>
      <c r="CW215" s="8">
        <v>49.77</v>
      </c>
      <c r="CX215" s="8">
        <v>107.39</v>
      </c>
      <c r="CY215" s="8">
        <v>107.35</v>
      </c>
      <c r="CZ215" s="8">
        <v>37.47</v>
      </c>
      <c r="DA215" s="8">
        <v>112.7</v>
      </c>
      <c r="DB215" s="8">
        <v>69.78</v>
      </c>
      <c r="DC215" s="8">
        <v>325.33</v>
      </c>
      <c r="DD215" s="8">
        <v>1165.98</v>
      </c>
      <c r="DE215" s="8">
        <v>86.31</v>
      </c>
      <c r="DF215" s="8">
        <v>57.64</v>
      </c>
      <c r="DG215" s="8">
        <v>79.349999999999994</v>
      </c>
      <c r="DH215" s="8">
        <v>49.6</v>
      </c>
      <c r="DI215" s="8">
        <v>48.55</v>
      </c>
      <c r="DJ215" s="8">
        <v>43.34</v>
      </c>
      <c r="DK215" s="8">
        <v>48.66</v>
      </c>
      <c r="DL215" s="8">
        <v>51.29</v>
      </c>
      <c r="DM215" s="8">
        <v>105.73</v>
      </c>
      <c r="DN215" s="8">
        <v>129.21</v>
      </c>
      <c r="DO215" s="8">
        <v>45.25</v>
      </c>
      <c r="DP215" s="8">
        <v>32.85</v>
      </c>
      <c r="DQ215" s="8">
        <v>37.04</v>
      </c>
      <c r="DR215" s="8">
        <v>38.18</v>
      </c>
      <c r="DS215" s="8">
        <v>30.28</v>
      </c>
      <c r="DT215" s="8">
        <v>30.28</v>
      </c>
      <c r="DY215" s="8">
        <v>22.99</v>
      </c>
      <c r="DZ215" s="8">
        <v>22.99</v>
      </c>
      <c r="ED215" s="9">
        <v>0.9</v>
      </c>
      <c r="EE215" s="9">
        <v>0.5</v>
      </c>
      <c r="EF215" s="9">
        <v>1</v>
      </c>
      <c r="EG215" s="9">
        <v>0.8</v>
      </c>
      <c r="EH215" s="9">
        <v>2.1</v>
      </c>
      <c r="EI215" s="9">
        <v>-1.4</v>
      </c>
      <c r="EJ215" s="9">
        <v>-0.1</v>
      </c>
      <c r="EK215" s="9">
        <v>0.2</v>
      </c>
      <c r="EL215" s="9">
        <v>0.2</v>
      </c>
      <c r="EM215" s="9">
        <v>1.6</v>
      </c>
      <c r="EN215" s="9">
        <v>-2.2999999999999998</v>
      </c>
      <c r="EO215" s="9">
        <v>-0.8</v>
      </c>
      <c r="EP215" s="9">
        <v>1.5</v>
      </c>
      <c r="EQ215" s="9">
        <v>0.1</v>
      </c>
      <c r="ER215" s="9">
        <v>0.5</v>
      </c>
      <c r="ES215" s="9">
        <v>0.9</v>
      </c>
      <c r="ET215" s="9">
        <v>0.3</v>
      </c>
      <c r="EU215" s="9">
        <v>-0.7</v>
      </c>
      <c r="EV215" s="9">
        <v>-0.7</v>
      </c>
      <c r="EW215" s="9">
        <v>3.9</v>
      </c>
      <c r="EX215" s="9">
        <v>-4.9000000000000004</v>
      </c>
      <c r="EY215" s="9">
        <v>0.3</v>
      </c>
      <c r="EZ215" s="9">
        <v>2.8</v>
      </c>
      <c r="FA215" s="9">
        <v>1.7</v>
      </c>
      <c r="FB215" s="9">
        <v>0.8</v>
      </c>
      <c r="FC215" s="9">
        <v>2.2999999999999998</v>
      </c>
      <c r="FD215" s="9">
        <v>0.4</v>
      </c>
      <c r="FE215" s="9">
        <v>2.4</v>
      </c>
      <c r="FF215" s="9">
        <v>0</v>
      </c>
      <c r="FG215" s="9">
        <v>0.3</v>
      </c>
      <c r="FH215" s="9">
        <v>0</v>
      </c>
      <c r="FI215" s="9">
        <v>0.9</v>
      </c>
      <c r="FJ215" s="9">
        <v>0.8</v>
      </c>
      <c r="FK215" s="9">
        <v>1</v>
      </c>
      <c r="FL215" s="9">
        <v>0.2</v>
      </c>
      <c r="FM215" s="9">
        <v>-0.2</v>
      </c>
      <c r="FN215" s="9">
        <v>0.1</v>
      </c>
      <c r="FO215" s="9">
        <v>-0.3</v>
      </c>
      <c r="FP215" s="9">
        <v>-0.3</v>
      </c>
      <c r="FQ215" s="9">
        <v>0.9</v>
      </c>
      <c r="FR215" s="9">
        <v>0.9</v>
      </c>
      <c r="FS215" s="9">
        <v>-0.4</v>
      </c>
      <c r="FT215" s="9">
        <v>-0.3</v>
      </c>
      <c r="FU215" s="9">
        <v>-0.6</v>
      </c>
      <c r="FV215" s="9">
        <v>-0.3</v>
      </c>
      <c r="FW215" s="9">
        <v>0.6</v>
      </c>
      <c r="FX215" s="9">
        <v>-1</v>
      </c>
      <c r="FY215" s="9">
        <v>-0.9</v>
      </c>
      <c r="FZ215" s="9">
        <v>-1.2</v>
      </c>
      <c r="GA215" s="9">
        <v>-0.5</v>
      </c>
      <c r="GB215" s="9">
        <v>-0.5</v>
      </c>
      <c r="GC215" s="9">
        <v>-0.8</v>
      </c>
      <c r="GD215" s="9">
        <v>0.1</v>
      </c>
      <c r="GE215" s="9">
        <v>1.5</v>
      </c>
      <c r="GF215" s="9">
        <v>0.6</v>
      </c>
      <c r="GG215" s="9">
        <v>0.6</v>
      </c>
      <c r="GH215" s="9">
        <v>2</v>
      </c>
      <c r="GI215" s="9">
        <v>2</v>
      </c>
      <c r="GJ215" s="9">
        <v>2.6</v>
      </c>
      <c r="GK215" s="9">
        <v>0.7</v>
      </c>
      <c r="GL215" s="9">
        <v>5.2</v>
      </c>
      <c r="GM215" s="9">
        <v>0.8</v>
      </c>
      <c r="GN215" s="9">
        <v>3.1</v>
      </c>
      <c r="GO215" s="9">
        <v>-0.2</v>
      </c>
      <c r="GP215" s="9">
        <v>0.1</v>
      </c>
      <c r="GQ215" s="9">
        <v>-0.5</v>
      </c>
      <c r="GR215" s="9">
        <v>-0.4</v>
      </c>
      <c r="GS215" s="9">
        <v>-0.6</v>
      </c>
      <c r="GT215" s="9">
        <v>0.3</v>
      </c>
      <c r="GU215" s="9">
        <v>-0.3</v>
      </c>
      <c r="GV215" s="9">
        <v>-0.3</v>
      </c>
      <c r="GW215" s="9">
        <v>0</v>
      </c>
      <c r="GX215" s="9">
        <v>0</v>
      </c>
      <c r="GY215" s="9">
        <v>0</v>
      </c>
      <c r="GZ215" s="9">
        <v>-0.8</v>
      </c>
      <c r="HA215" s="9">
        <v>0.5</v>
      </c>
      <c r="HB215" s="9">
        <v>0.1</v>
      </c>
      <c r="HC215" s="9">
        <v>0.5</v>
      </c>
      <c r="HD215" s="9">
        <v>-0.2</v>
      </c>
      <c r="HE215" s="9">
        <v>1</v>
      </c>
      <c r="HF215" s="9">
        <v>1.2</v>
      </c>
      <c r="HG215" s="9">
        <v>1.1000000000000001</v>
      </c>
      <c r="HH215" s="9">
        <v>1.4</v>
      </c>
      <c r="HI215" s="9">
        <v>1.2</v>
      </c>
      <c r="HJ215" s="9">
        <v>1</v>
      </c>
      <c r="HK215" s="9">
        <v>-1.6</v>
      </c>
      <c r="HL215" s="9">
        <v>-2</v>
      </c>
      <c r="HM215" s="9">
        <v>0.5</v>
      </c>
      <c r="HN215" s="9">
        <v>2</v>
      </c>
      <c r="HO215" s="9">
        <v>2.2999999999999998</v>
      </c>
      <c r="HP215" s="9">
        <v>0.6</v>
      </c>
      <c r="HQ215" s="9">
        <v>3.3</v>
      </c>
      <c r="HR215" s="9">
        <v>3.4</v>
      </c>
      <c r="HS215" s="9">
        <v>0.7</v>
      </c>
      <c r="HT215" s="9">
        <v>0.6</v>
      </c>
      <c r="HU215" s="9">
        <v>8.8000000000000007</v>
      </c>
      <c r="HV215" s="9">
        <v>0.5</v>
      </c>
      <c r="HW215" s="9">
        <v>2</v>
      </c>
      <c r="HX215" s="9">
        <v>2.2999999999999998</v>
      </c>
      <c r="HY215" s="9">
        <v>2.2999999999999998</v>
      </c>
      <c r="HZ215" s="9">
        <v>-3.2</v>
      </c>
      <c r="IA215" s="9">
        <v>-3.2</v>
      </c>
      <c r="IB215" s="9">
        <v>0</v>
      </c>
      <c r="IC215" s="9">
        <v>-3.6</v>
      </c>
      <c r="ID215" s="9">
        <v>0.5</v>
      </c>
      <c r="IE215" s="9">
        <v>-0.8</v>
      </c>
      <c r="IF215" s="9">
        <v>-5.9</v>
      </c>
      <c r="IG215" s="9">
        <v>-0.7</v>
      </c>
      <c r="IH215" s="9">
        <v>1</v>
      </c>
      <c r="II215" s="9">
        <v>-0.2</v>
      </c>
      <c r="IJ215" s="9">
        <v>1.5</v>
      </c>
      <c r="IK215" s="9">
        <v>2.2000000000000002</v>
      </c>
      <c r="IL215" s="9">
        <v>2.2999999999999998</v>
      </c>
      <c r="IM215" s="9">
        <v>2.2000000000000002</v>
      </c>
      <c r="IN215" s="9">
        <v>0.4</v>
      </c>
      <c r="IO215" s="9">
        <v>-0.5</v>
      </c>
      <c r="IP215" s="9">
        <v>-1.1000000000000001</v>
      </c>
      <c r="IQ215" s="9">
        <v>-1.7</v>
      </c>
    </row>
    <row r="216" spans="1:251" x14ac:dyDescent="0.2">
      <c r="A216" s="10">
        <v>36495</v>
      </c>
      <c r="B216" s="8">
        <v>47.97</v>
      </c>
      <c r="C216" s="8">
        <v>46.91</v>
      </c>
      <c r="D216" s="8">
        <v>52.66</v>
      </c>
      <c r="E216" s="8">
        <v>51.92</v>
      </c>
      <c r="F216" s="8">
        <v>49.42</v>
      </c>
      <c r="G216" s="8">
        <v>64.2</v>
      </c>
      <c r="H216" s="8">
        <v>59.92</v>
      </c>
      <c r="I216" s="8">
        <v>47.13</v>
      </c>
      <c r="J216" s="8">
        <v>36.89</v>
      </c>
      <c r="K216" s="8">
        <v>50.37</v>
      </c>
      <c r="L216" s="8">
        <v>30.97</v>
      </c>
      <c r="M216" s="8">
        <v>74.55</v>
      </c>
      <c r="N216" s="8">
        <v>41.32</v>
      </c>
      <c r="O216" s="8">
        <v>55.29</v>
      </c>
      <c r="P216" s="8">
        <v>53.91</v>
      </c>
      <c r="Q216" s="8">
        <v>59.7</v>
      </c>
      <c r="R216" s="8">
        <v>43.29</v>
      </c>
      <c r="S216" s="8">
        <v>55.94</v>
      </c>
      <c r="T216" s="8">
        <v>43.86</v>
      </c>
      <c r="U216" s="8">
        <v>47.41</v>
      </c>
      <c r="V216" s="8">
        <v>40.880000000000003</v>
      </c>
      <c r="W216" s="8">
        <v>51.28</v>
      </c>
      <c r="X216" s="8">
        <v>46.79</v>
      </c>
      <c r="Y216" s="8">
        <v>54.12</v>
      </c>
      <c r="Z216" s="8">
        <v>63.53</v>
      </c>
      <c r="AA216" s="8">
        <v>35.81</v>
      </c>
      <c r="AB216" s="8">
        <v>48.49</v>
      </c>
      <c r="AC216" s="8">
        <v>62.78</v>
      </c>
      <c r="AD216" s="8">
        <v>52.6</v>
      </c>
      <c r="AE216" s="8">
        <v>61.48</v>
      </c>
      <c r="AF216" s="8">
        <v>50.93</v>
      </c>
      <c r="AG216" s="8">
        <v>41.78</v>
      </c>
      <c r="AH216" s="8">
        <v>43.48</v>
      </c>
      <c r="AI216" s="8">
        <v>39.97</v>
      </c>
      <c r="AJ216" s="8">
        <v>25.55</v>
      </c>
      <c r="AK216" s="8">
        <v>48.51</v>
      </c>
      <c r="AL216" s="8">
        <v>41.13</v>
      </c>
      <c r="AM216" s="8">
        <v>75.88</v>
      </c>
      <c r="AN216" s="8">
        <v>37.61</v>
      </c>
      <c r="AO216" s="8">
        <v>8.92</v>
      </c>
      <c r="AP216" s="8">
        <v>8.92</v>
      </c>
      <c r="AQ216" s="8">
        <v>94.8</v>
      </c>
      <c r="AR216" s="8">
        <v>112.02</v>
      </c>
      <c r="AS216" s="8">
        <v>109.06</v>
      </c>
      <c r="AT216" s="8">
        <v>118.16</v>
      </c>
      <c r="AU216" s="8">
        <v>97.05</v>
      </c>
      <c r="AV216" s="8">
        <v>106.37</v>
      </c>
      <c r="AW216" s="8">
        <v>108.83</v>
      </c>
      <c r="AX216" s="8">
        <v>108.9</v>
      </c>
      <c r="AY216" s="8">
        <v>97.45</v>
      </c>
      <c r="AZ216" s="8">
        <v>55.54</v>
      </c>
      <c r="BA216" s="8">
        <v>64.66</v>
      </c>
      <c r="BB216" s="8">
        <v>40.880000000000003</v>
      </c>
      <c r="BC216" s="8">
        <v>36.83</v>
      </c>
      <c r="BD216" s="8">
        <v>45.48</v>
      </c>
      <c r="BE216" s="8">
        <v>45.48</v>
      </c>
      <c r="BF216" s="8">
        <v>36.03</v>
      </c>
      <c r="BG216" s="8">
        <v>36.01</v>
      </c>
      <c r="BH216" s="8">
        <v>36.78</v>
      </c>
      <c r="BI216" s="8">
        <v>44.31</v>
      </c>
      <c r="BJ216" s="8">
        <v>28.53</v>
      </c>
      <c r="BK216" s="8">
        <v>27.65</v>
      </c>
      <c r="BL216" s="8">
        <v>33.51</v>
      </c>
      <c r="BM216" s="8">
        <v>28.26</v>
      </c>
      <c r="BN216" s="8">
        <v>21.9</v>
      </c>
      <c r="BO216" s="8">
        <v>70.849999999999994</v>
      </c>
      <c r="BP216" s="8">
        <v>70.650000000000006</v>
      </c>
      <c r="BQ216" s="8">
        <v>77.09</v>
      </c>
      <c r="BR216" s="8">
        <v>50.23</v>
      </c>
      <c r="BS216" s="8">
        <v>127.96</v>
      </c>
      <c r="BT216" s="8">
        <v>127.96</v>
      </c>
      <c r="BU216" s="8">
        <v>104.26</v>
      </c>
      <c r="BV216" s="8">
        <v>103.62</v>
      </c>
      <c r="BW216" s="8">
        <v>118.21</v>
      </c>
      <c r="BX216" s="8">
        <v>124.42</v>
      </c>
      <c r="BY216" s="8">
        <v>78.52</v>
      </c>
      <c r="BZ216" s="8">
        <v>76.63</v>
      </c>
      <c r="CA216" s="8">
        <v>77.87</v>
      </c>
      <c r="CB216" s="8">
        <v>93.98</v>
      </c>
      <c r="CC216" s="8">
        <v>64.489999999999995</v>
      </c>
      <c r="CD216" s="8">
        <v>39.28</v>
      </c>
      <c r="CE216" s="8">
        <v>47.21</v>
      </c>
      <c r="CF216" s="8">
        <v>41.47</v>
      </c>
      <c r="CG216" s="8">
        <v>34.9</v>
      </c>
      <c r="CH216" s="8">
        <v>32.369999999999997</v>
      </c>
      <c r="CI216" s="8">
        <v>66.39</v>
      </c>
      <c r="CJ216" s="8">
        <v>65.16</v>
      </c>
      <c r="CK216" s="8">
        <v>75.45</v>
      </c>
      <c r="CL216" s="8">
        <v>26.35</v>
      </c>
      <c r="CM216" s="8">
        <v>24.48</v>
      </c>
      <c r="CN216" s="8">
        <v>41.22</v>
      </c>
      <c r="CO216" s="8">
        <v>55.58</v>
      </c>
      <c r="CP216" s="8">
        <v>56.04</v>
      </c>
      <c r="CQ216" s="8">
        <v>100.34</v>
      </c>
      <c r="CR216" s="8">
        <v>53.02</v>
      </c>
      <c r="CS216" s="8">
        <v>39.78</v>
      </c>
      <c r="CT216" s="8">
        <v>47.8</v>
      </c>
      <c r="CU216" s="8">
        <v>37.979999999999997</v>
      </c>
      <c r="CV216" s="8">
        <v>50.66</v>
      </c>
      <c r="CW216" s="8">
        <v>50.66</v>
      </c>
      <c r="CX216" s="8">
        <v>106.95</v>
      </c>
      <c r="CY216" s="8">
        <v>106.98</v>
      </c>
      <c r="CZ216" s="8">
        <v>38.93</v>
      </c>
      <c r="DA216" s="8">
        <v>111.8</v>
      </c>
      <c r="DB216" s="8">
        <v>70.13</v>
      </c>
      <c r="DC216" s="8">
        <v>324.39999999999998</v>
      </c>
      <c r="DD216" s="8">
        <v>1076.58</v>
      </c>
      <c r="DE216" s="8">
        <v>86.23</v>
      </c>
      <c r="DF216" s="8">
        <v>57.93</v>
      </c>
      <c r="DG216" s="8">
        <v>79.7</v>
      </c>
      <c r="DH216" s="8">
        <v>49.83</v>
      </c>
      <c r="DI216" s="8">
        <v>50.16</v>
      </c>
      <c r="DJ216" s="8">
        <v>45.82</v>
      </c>
      <c r="DK216" s="8">
        <v>48.84</v>
      </c>
      <c r="DL216" s="8">
        <v>51.47</v>
      </c>
      <c r="DM216" s="8">
        <v>104.48</v>
      </c>
      <c r="DN216" s="8">
        <v>123.58</v>
      </c>
      <c r="DO216" s="8">
        <v>45.84</v>
      </c>
      <c r="DP216" s="8">
        <v>33.119999999999997</v>
      </c>
      <c r="DQ216" s="8">
        <v>37.630000000000003</v>
      </c>
      <c r="DR216" s="8">
        <v>38.49</v>
      </c>
      <c r="DS216" s="8">
        <v>30.28</v>
      </c>
      <c r="DT216" s="8">
        <v>30.28</v>
      </c>
      <c r="DY216" s="8">
        <v>24.45</v>
      </c>
      <c r="DZ216" s="8">
        <v>24.45</v>
      </c>
      <c r="ED216" s="9">
        <v>0.5</v>
      </c>
      <c r="EE216" s="9">
        <v>0.3</v>
      </c>
      <c r="EF216" s="9">
        <v>0.3</v>
      </c>
      <c r="EG216" s="9">
        <v>0.7</v>
      </c>
      <c r="EH216" s="9">
        <v>-0.6</v>
      </c>
      <c r="EI216" s="9">
        <v>1.4</v>
      </c>
      <c r="EJ216" s="9">
        <v>0.5</v>
      </c>
      <c r="EK216" s="9">
        <v>1.3</v>
      </c>
      <c r="EL216" s="9">
        <v>0.6</v>
      </c>
      <c r="EM216" s="9">
        <v>4.7</v>
      </c>
      <c r="EN216" s="9">
        <v>-1.2</v>
      </c>
      <c r="EO216" s="9">
        <v>-0.4</v>
      </c>
      <c r="EP216" s="9">
        <v>0.4</v>
      </c>
      <c r="EQ216" s="9">
        <v>3.2</v>
      </c>
      <c r="ER216" s="9">
        <v>1.6</v>
      </c>
      <c r="ES216" s="9">
        <v>2.4</v>
      </c>
      <c r="ET216" s="9">
        <v>-0.4</v>
      </c>
      <c r="EU216" s="9">
        <v>1.7</v>
      </c>
      <c r="EV216" s="9">
        <v>-2.2999999999999998</v>
      </c>
      <c r="EW216" s="9">
        <v>-5.8</v>
      </c>
      <c r="EX216" s="9">
        <v>1.3</v>
      </c>
      <c r="EY216" s="9">
        <v>0.9</v>
      </c>
      <c r="EZ216" s="9">
        <v>-1.1000000000000001</v>
      </c>
      <c r="FA216" s="9">
        <v>0.2</v>
      </c>
      <c r="FB216" s="9">
        <v>-2.1</v>
      </c>
      <c r="FC216" s="9">
        <v>-0.5</v>
      </c>
      <c r="FD216" s="9">
        <v>0.9</v>
      </c>
      <c r="FE216" s="9">
        <v>1.8</v>
      </c>
      <c r="FF216" s="9">
        <v>0</v>
      </c>
      <c r="FG216" s="9">
        <v>-2.7</v>
      </c>
      <c r="FH216" s="9">
        <v>0</v>
      </c>
      <c r="FI216" s="9">
        <v>1.3</v>
      </c>
      <c r="FJ216" s="9">
        <v>1.3</v>
      </c>
      <c r="FK216" s="9">
        <v>1.3</v>
      </c>
      <c r="FL216" s="9">
        <v>2</v>
      </c>
      <c r="FM216" s="9">
        <v>0.7</v>
      </c>
      <c r="FN216" s="9">
        <v>0.3</v>
      </c>
      <c r="FO216" s="9">
        <v>0.2</v>
      </c>
      <c r="FP216" s="9">
        <v>1.1000000000000001</v>
      </c>
      <c r="FQ216" s="9">
        <v>4.0999999999999996</v>
      </c>
      <c r="FR216" s="9">
        <v>4.0999999999999996</v>
      </c>
      <c r="FS216" s="9">
        <v>-1</v>
      </c>
      <c r="FT216" s="9">
        <v>-1.1000000000000001</v>
      </c>
      <c r="FU216" s="9">
        <v>-0.3</v>
      </c>
      <c r="FV216" s="9">
        <v>-1.5</v>
      </c>
      <c r="FW216" s="9">
        <v>-0.9</v>
      </c>
      <c r="FX216" s="9">
        <v>-0.1</v>
      </c>
      <c r="FY216" s="9">
        <v>-0.2</v>
      </c>
      <c r="FZ216" s="9">
        <v>0</v>
      </c>
      <c r="GA216" s="9">
        <v>-0.4</v>
      </c>
      <c r="GB216" s="9">
        <v>-1.3</v>
      </c>
      <c r="GC216" s="9">
        <v>-3.1</v>
      </c>
      <c r="GD216" s="9">
        <v>1.2</v>
      </c>
      <c r="GE216" s="9">
        <v>1.6</v>
      </c>
      <c r="GF216" s="9">
        <v>0.7</v>
      </c>
      <c r="GG216" s="9">
        <v>0.7</v>
      </c>
      <c r="GH216" s="9">
        <v>3.2</v>
      </c>
      <c r="GI216" s="9">
        <v>3.1</v>
      </c>
      <c r="GJ216" s="9">
        <v>0.9</v>
      </c>
      <c r="GK216" s="9">
        <v>0.3</v>
      </c>
      <c r="GL216" s="9">
        <v>0</v>
      </c>
      <c r="GM216" s="9">
        <v>0.7</v>
      </c>
      <c r="GN216" s="9">
        <v>0.4</v>
      </c>
      <c r="GO216" s="9">
        <v>1.2</v>
      </c>
      <c r="GP216" s="9">
        <v>-0.1</v>
      </c>
      <c r="GQ216" s="9">
        <v>0.3</v>
      </c>
      <c r="GR216" s="9">
        <v>0.6</v>
      </c>
      <c r="GS216" s="9">
        <v>0.5</v>
      </c>
      <c r="GT216" s="9">
        <v>1</v>
      </c>
      <c r="GU216" s="9">
        <v>0</v>
      </c>
      <c r="GV216" s="9">
        <v>0</v>
      </c>
      <c r="GW216" s="9">
        <v>-0.6</v>
      </c>
      <c r="GX216" s="9">
        <v>-0.8</v>
      </c>
      <c r="GY216" s="9">
        <v>-0.7</v>
      </c>
      <c r="GZ216" s="9">
        <v>-0.7</v>
      </c>
      <c r="HA216" s="9">
        <v>-0.2</v>
      </c>
      <c r="HB216" s="9">
        <v>0.6</v>
      </c>
      <c r="HC216" s="9">
        <v>-0.6</v>
      </c>
      <c r="HD216" s="9">
        <v>0.4</v>
      </c>
      <c r="HE216" s="9">
        <v>0.7</v>
      </c>
      <c r="HF216" s="9">
        <v>1.7</v>
      </c>
      <c r="HG216" s="9">
        <v>0.8</v>
      </c>
      <c r="HH216" s="9">
        <v>0.4</v>
      </c>
      <c r="HI216" s="9">
        <v>1.7</v>
      </c>
      <c r="HJ216" s="9">
        <v>-0.2</v>
      </c>
      <c r="HK216" s="9">
        <v>-3.4</v>
      </c>
      <c r="HL216" s="9">
        <v>-4</v>
      </c>
      <c r="HM216" s="9">
        <v>0.4</v>
      </c>
      <c r="HN216" s="9">
        <v>1</v>
      </c>
      <c r="HO216" s="9">
        <v>0.8</v>
      </c>
      <c r="HP216" s="9">
        <v>2</v>
      </c>
      <c r="HQ216" s="9">
        <v>-0.4</v>
      </c>
      <c r="HR216" s="9">
        <v>-0.6</v>
      </c>
      <c r="HS216" s="9">
        <v>-1.6</v>
      </c>
      <c r="HT216" s="9">
        <v>0</v>
      </c>
      <c r="HU216" s="9">
        <v>0.7</v>
      </c>
      <c r="HV216" s="9">
        <v>-3.5</v>
      </c>
      <c r="HW216" s="9">
        <v>1.1000000000000001</v>
      </c>
      <c r="HX216" s="9">
        <v>1.8</v>
      </c>
      <c r="HY216" s="9">
        <v>1.8</v>
      </c>
      <c r="HZ216" s="9">
        <v>-0.4</v>
      </c>
      <c r="IA216" s="9">
        <v>-0.3</v>
      </c>
      <c r="IB216" s="9">
        <v>3.9</v>
      </c>
      <c r="IC216" s="9">
        <v>-0.8</v>
      </c>
      <c r="ID216" s="9">
        <v>0.5</v>
      </c>
      <c r="IE216" s="9">
        <v>-0.3</v>
      </c>
      <c r="IF216" s="9">
        <v>-7.7</v>
      </c>
      <c r="IG216" s="9">
        <v>-0.1</v>
      </c>
      <c r="IH216" s="9">
        <v>0.5</v>
      </c>
      <c r="II216" s="9">
        <v>0.4</v>
      </c>
      <c r="IJ216" s="9">
        <v>0.5</v>
      </c>
      <c r="IK216" s="9">
        <v>3.3</v>
      </c>
      <c r="IL216" s="9">
        <v>5.7</v>
      </c>
      <c r="IM216" s="9">
        <v>0.4</v>
      </c>
      <c r="IN216" s="9">
        <v>0.4</v>
      </c>
      <c r="IO216" s="9">
        <v>-1.2</v>
      </c>
      <c r="IP216" s="9">
        <v>-4.4000000000000004</v>
      </c>
      <c r="IQ216" s="9">
        <v>1.3</v>
      </c>
    </row>
    <row r="217" spans="1:251" x14ac:dyDescent="0.2">
      <c r="A217" s="10">
        <v>36586</v>
      </c>
      <c r="B217" s="8">
        <v>48.4</v>
      </c>
      <c r="C217" s="8">
        <v>47</v>
      </c>
      <c r="D217" s="8">
        <v>53.2</v>
      </c>
      <c r="E217" s="8">
        <v>52.69</v>
      </c>
      <c r="F217" s="8">
        <v>50.23</v>
      </c>
      <c r="G217" s="8">
        <v>63.29</v>
      </c>
      <c r="H217" s="8">
        <v>59.31</v>
      </c>
      <c r="I217" s="8">
        <v>47.55</v>
      </c>
      <c r="J217" s="8">
        <v>37.729999999999997</v>
      </c>
      <c r="K217" s="8">
        <v>50.8</v>
      </c>
      <c r="L217" s="8">
        <v>31.17</v>
      </c>
      <c r="M217" s="8">
        <v>74.239999999999995</v>
      </c>
      <c r="N217" s="8">
        <v>41.94</v>
      </c>
      <c r="O217" s="8">
        <v>55.2</v>
      </c>
      <c r="P217" s="8">
        <v>54.38</v>
      </c>
      <c r="Q217" s="8">
        <v>60.49</v>
      </c>
      <c r="R217" s="8">
        <v>43.42</v>
      </c>
      <c r="S217" s="8">
        <v>55.92</v>
      </c>
      <c r="T217" s="8">
        <v>42.95</v>
      </c>
      <c r="U217" s="8">
        <v>42.55</v>
      </c>
      <c r="V217" s="8">
        <v>43.25</v>
      </c>
      <c r="W217" s="8">
        <v>51.63</v>
      </c>
      <c r="X217" s="8">
        <v>46.68</v>
      </c>
      <c r="Y217" s="8">
        <v>54.32</v>
      </c>
      <c r="Z217" s="8">
        <v>64.36</v>
      </c>
      <c r="AA217" s="8">
        <v>36.1</v>
      </c>
      <c r="AB217" s="8">
        <v>48.85</v>
      </c>
      <c r="AC217" s="8">
        <v>61.1</v>
      </c>
      <c r="AD217" s="8">
        <v>52.36</v>
      </c>
      <c r="AE217" s="8">
        <v>62.71</v>
      </c>
      <c r="AF217" s="8">
        <v>50.7</v>
      </c>
      <c r="AG217" s="8">
        <v>42.04</v>
      </c>
      <c r="AH217" s="8">
        <v>43.91</v>
      </c>
      <c r="AI217" s="8">
        <v>40.1</v>
      </c>
      <c r="AJ217" s="8">
        <v>25.99</v>
      </c>
      <c r="AK217" s="8">
        <v>48.7</v>
      </c>
      <c r="AL217" s="8">
        <v>41.37</v>
      </c>
      <c r="AM217" s="8">
        <v>75.78</v>
      </c>
      <c r="AN217" s="8">
        <v>37.82</v>
      </c>
      <c r="AO217" s="8">
        <v>9.26</v>
      </c>
      <c r="AP217" s="8">
        <v>9.26</v>
      </c>
      <c r="AQ217" s="8">
        <v>94.46</v>
      </c>
      <c r="AR217" s="8">
        <v>111.5</v>
      </c>
      <c r="AS217" s="8">
        <v>107.63</v>
      </c>
      <c r="AT217" s="8">
        <v>118.53</v>
      </c>
      <c r="AU217" s="8">
        <v>95.22</v>
      </c>
      <c r="AV217" s="8">
        <v>105.42</v>
      </c>
      <c r="AW217" s="8">
        <v>107.16</v>
      </c>
      <c r="AX217" s="8">
        <v>108.66</v>
      </c>
      <c r="AY217" s="8">
        <v>95.32</v>
      </c>
      <c r="AZ217" s="8">
        <v>55.94</v>
      </c>
      <c r="BA217" s="8">
        <v>64.459999999999994</v>
      </c>
      <c r="BB217" s="8">
        <v>41.56</v>
      </c>
      <c r="BC217" s="8">
        <v>37.24</v>
      </c>
      <c r="BD217" s="8">
        <v>45.88</v>
      </c>
      <c r="BE217" s="8">
        <v>45.88</v>
      </c>
      <c r="BF217" s="8">
        <v>36.619999999999997</v>
      </c>
      <c r="BG217" s="8">
        <v>36.619999999999997</v>
      </c>
      <c r="BH217" s="8">
        <v>37.24</v>
      </c>
      <c r="BI217" s="8">
        <v>44.82</v>
      </c>
      <c r="BJ217" s="8">
        <v>28.52</v>
      </c>
      <c r="BK217" s="8">
        <v>27.71</v>
      </c>
      <c r="BL217" s="8">
        <v>33.549999999999997</v>
      </c>
      <c r="BM217" s="8">
        <v>28.49</v>
      </c>
      <c r="BN217" s="8">
        <v>21.71</v>
      </c>
      <c r="BO217" s="8">
        <v>70.55</v>
      </c>
      <c r="BP217" s="8">
        <v>69.95</v>
      </c>
      <c r="BQ217" s="8">
        <v>76.28</v>
      </c>
      <c r="BR217" s="8">
        <v>49.83</v>
      </c>
      <c r="BS217" s="8">
        <v>127.22</v>
      </c>
      <c r="BT217" s="8">
        <v>127.22</v>
      </c>
      <c r="BU217" s="8">
        <v>104</v>
      </c>
      <c r="BV217" s="8">
        <v>103.06</v>
      </c>
      <c r="BW217" s="8">
        <v>117.55</v>
      </c>
      <c r="BX217" s="8">
        <v>124.42</v>
      </c>
      <c r="BY217" s="8">
        <v>78.78</v>
      </c>
      <c r="BZ217" s="8">
        <v>75.67</v>
      </c>
      <c r="CA217" s="8">
        <v>78.760000000000005</v>
      </c>
      <c r="CB217" s="8">
        <v>95.03</v>
      </c>
      <c r="CC217" s="8">
        <v>64.13</v>
      </c>
      <c r="CD217" s="8">
        <v>39.92</v>
      </c>
      <c r="CE217" s="8">
        <v>48.81</v>
      </c>
      <c r="CF217" s="8">
        <v>41.75</v>
      </c>
      <c r="CG217" s="8">
        <v>35.46</v>
      </c>
      <c r="CH217" s="8">
        <v>33.130000000000003</v>
      </c>
      <c r="CI217" s="8">
        <v>70.760000000000005</v>
      </c>
      <c r="CJ217" s="8">
        <v>70.2</v>
      </c>
      <c r="CK217" s="8">
        <v>75.760000000000005</v>
      </c>
      <c r="CL217" s="8">
        <v>26.58</v>
      </c>
      <c r="CM217" s="8">
        <v>24.62</v>
      </c>
      <c r="CN217" s="8">
        <v>42.16</v>
      </c>
      <c r="CO217" s="8">
        <v>57.2</v>
      </c>
      <c r="CP217" s="8">
        <v>57.77</v>
      </c>
      <c r="CQ217" s="8">
        <v>100.81</v>
      </c>
      <c r="CR217" s="8">
        <v>52.46</v>
      </c>
      <c r="CS217" s="8">
        <v>42.87</v>
      </c>
      <c r="CT217" s="8">
        <v>47.9</v>
      </c>
      <c r="CU217" s="8">
        <v>38.29</v>
      </c>
      <c r="CV217" s="8">
        <v>50.98</v>
      </c>
      <c r="CW217" s="8">
        <v>50.98</v>
      </c>
      <c r="CX217" s="8">
        <v>107.18</v>
      </c>
      <c r="CY217" s="8">
        <v>107.18</v>
      </c>
      <c r="CZ217" s="8">
        <v>38.979999999999997</v>
      </c>
      <c r="DA217" s="8">
        <v>112.02</v>
      </c>
      <c r="DB217" s="8">
        <v>69.67</v>
      </c>
      <c r="DC217" s="8">
        <v>321.3</v>
      </c>
      <c r="DD217" s="8">
        <v>1065.94</v>
      </c>
      <c r="DE217" s="8">
        <v>85.41</v>
      </c>
      <c r="DF217" s="8">
        <v>58.49</v>
      </c>
      <c r="DG217" s="8">
        <v>81.209999999999994</v>
      </c>
      <c r="DH217" s="8">
        <v>50.11</v>
      </c>
      <c r="DI217" s="8">
        <v>48.27</v>
      </c>
      <c r="DJ217" s="8">
        <v>46.32</v>
      </c>
      <c r="DK217" s="8">
        <v>43.86</v>
      </c>
      <c r="DL217" s="8">
        <v>51.93</v>
      </c>
      <c r="DM217" s="8">
        <v>103.69</v>
      </c>
      <c r="DN217" s="8">
        <v>127.58</v>
      </c>
      <c r="DO217" s="8">
        <v>43.77</v>
      </c>
      <c r="DP217" s="8">
        <v>33.520000000000003</v>
      </c>
      <c r="DQ217" s="8">
        <v>38.24</v>
      </c>
      <c r="DR217" s="8">
        <v>39.39</v>
      </c>
      <c r="DS217" s="8">
        <v>31.86</v>
      </c>
      <c r="DT217" s="8">
        <v>31.86</v>
      </c>
      <c r="DY217" s="8">
        <v>26.45</v>
      </c>
      <c r="DZ217" s="8">
        <v>26.45</v>
      </c>
      <c r="ED217" s="9">
        <v>0.9</v>
      </c>
      <c r="EE217" s="9">
        <v>0.2</v>
      </c>
      <c r="EF217" s="9">
        <v>1</v>
      </c>
      <c r="EG217" s="9">
        <v>1.5</v>
      </c>
      <c r="EH217" s="9">
        <v>1.6</v>
      </c>
      <c r="EI217" s="9">
        <v>-1.4</v>
      </c>
      <c r="EJ217" s="9">
        <v>-1</v>
      </c>
      <c r="EK217" s="9">
        <v>0.9</v>
      </c>
      <c r="EL217" s="9">
        <v>2.2999999999999998</v>
      </c>
      <c r="EM217" s="9">
        <v>0.9</v>
      </c>
      <c r="EN217" s="9">
        <v>0.6</v>
      </c>
      <c r="EO217" s="9">
        <v>-0.4</v>
      </c>
      <c r="EP217" s="9">
        <v>1.5</v>
      </c>
      <c r="EQ217" s="9">
        <v>-0.2</v>
      </c>
      <c r="ER217" s="9">
        <v>0.9</v>
      </c>
      <c r="ES217" s="9">
        <v>1.3</v>
      </c>
      <c r="ET217" s="9">
        <v>0.3</v>
      </c>
      <c r="EU217" s="9">
        <v>0</v>
      </c>
      <c r="EV217" s="9">
        <v>-2.1</v>
      </c>
      <c r="EW217" s="9">
        <v>-10.3</v>
      </c>
      <c r="EX217" s="9">
        <v>5.8</v>
      </c>
      <c r="EY217" s="9">
        <v>0.7</v>
      </c>
      <c r="EZ217" s="9">
        <v>-0.2</v>
      </c>
      <c r="FA217" s="9">
        <v>0.4</v>
      </c>
      <c r="FB217" s="9">
        <v>1.3</v>
      </c>
      <c r="FC217" s="9">
        <v>0.8</v>
      </c>
      <c r="FD217" s="9">
        <v>0.7</v>
      </c>
      <c r="FE217" s="9">
        <v>-2.7</v>
      </c>
      <c r="FF217" s="9">
        <v>-0.5</v>
      </c>
      <c r="FG217" s="9">
        <v>2</v>
      </c>
      <c r="FH217" s="9">
        <v>-0.5</v>
      </c>
      <c r="FI217" s="9">
        <v>0.6</v>
      </c>
      <c r="FJ217" s="9">
        <v>1</v>
      </c>
      <c r="FK217" s="9">
        <v>0.3</v>
      </c>
      <c r="FL217" s="9">
        <v>1.7</v>
      </c>
      <c r="FM217" s="9">
        <v>0.4</v>
      </c>
      <c r="FN217" s="9">
        <v>0.6</v>
      </c>
      <c r="FO217" s="9">
        <v>-0.1</v>
      </c>
      <c r="FP217" s="9">
        <v>0.6</v>
      </c>
      <c r="FQ217" s="9">
        <v>3.8</v>
      </c>
      <c r="FR217" s="9">
        <v>3.8</v>
      </c>
      <c r="FS217" s="9">
        <v>-0.4</v>
      </c>
      <c r="FT217" s="9">
        <v>-0.5</v>
      </c>
      <c r="FU217" s="9">
        <v>-1.3</v>
      </c>
      <c r="FV217" s="9">
        <v>0.3</v>
      </c>
      <c r="FW217" s="9">
        <v>-1.9</v>
      </c>
      <c r="FX217" s="9">
        <v>-0.9</v>
      </c>
      <c r="FY217" s="9">
        <v>-1.5</v>
      </c>
      <c r="FZ217" s="9">
        <v>-0.2</v>
      </c>
      <c r="GA217" s="9">
        <v>-2.2000000000000002</v>
      </c>
      <c r="GB217" s="9">
        <v>0.7</v>
      </c>
      <c r="GC217" s="9">
        <v>-0.3</v>
      </c>
      <c r="GD217" s="9">
        <v>1.7</v>
      </c>
      <c r="GE217" s="9">
        <v>1.1000000000000001</v>
      </c>
      <c r="GF217" s="9">
        <v>0.9</v>
      </c>
      <c r="GG217" s="9">
        <v>0.9</v>
      </c>
      <c r="GH217" s="9">
        <v>1.6</v>
      </c>
      <c r="GI217" s="9">
        <v>1.7</v>
      </c>
      <c r="GJ217" s="9">
        <v>1.3</v>
      </c>
      <c r="GK217" s="9">
        <v>1.2</v>
      </c>
      <c r="GL217" s="9">
        <v>0</v>
      </c>
      <c r="GM217" s="9">
        <v>0.2</v>
      </c>
      <c r="GN217" s="9">
        <v>0.1</v>
      </c>
      <c r="GO217" s="9">
        <v>0.8</v>
      </c>
      <c r="GP217" s="9">
        <v>-0.9</v>
      </c>
      <c r="GQ217" s="9">
        <v>-0.4</v>
      </c>
      <c r="GR217" s="9">
        <v>-1</v>
      </c>
      <c r="GS217" s="9">
        <v>-1.1000000000000001</v>
      </c>
      <c r="GT217" s="9">
        <v>-0.8</v>
      </c>
      <c r="GU217" s="9">
        <v>-0.6</v>
      </c>
      <c r="GV217" s="9">
        <v>-0.6</v>
      </c>
      <c r="GW217" s="9">
        <v>-0.2</v>
      </c>
      <c r="GX217" s="9">
        <v>-0.5</v>
      </c>
      <c r="GY217" s="9">
        <v>-0.6</v>
      </c>
      <c r="GZ217" s="9">
        <v>0</v>
      </c>
      <c r="HA217" s="9">
        <v>0.3</v>
      </c>
      <c r="HB217" s="9">
        <v>-1.3</v>
      </c>
      <c r="HC217" s="9">
        <v>1.1000000000000001</v>
      </c>
      <c r="HD217" s="9">
        <v>1.1000000000000001</v>
      </c>
      <c r="HE217" s="9">
        <v>-0.6</v>
      </c>
      <c r="HF217" s="9">
        <v>1.6</v>
      </c>
      <c r="HG217" s="9">
        <v>3.4</v>
      </c>
      <c r="HH217" s="9">
        <v>0.7</v>
      </c>
      <c r="HI217" s="9">
        <v>1.6</v>
      </c>
      <c r="HJ217" s="9">
        <v>2.2999999999999998</v>
      </c>
      <c r="HK217" s="9">
        <v>6.6</v>
      </c>
      <c r="HL217" s="9">
        <v>7.7</v>
      </c>
      <c r="HM217" s="9">
        <v>0.4</v>
      </c>
      <c r="HN217" s="9">
        <v>0.9</v>
      </c>
      <c r="HO217" s="9">
        <v>0.6</v>
      </c>
      <c r="HP217" s="9">
        <v>2.2999999999999998</v>
      </c>
      <c r="HQ217" s="9">
        <v>2.9</v>
      </c>
      <c r="HR217" s="9">
        <v>3.1</v>
      </c>
      <c r="HS217" s="9">
        <v>0.5</v>
      </c>
      <c r="HT217" s="9">
        <v>-1.1000000000000001</v>
      </c>
      <c r="HU217" s="9">
        <v>7.8</v>
      </c>
      <c r="HV217" s="9">
        <v>0.2</v>
      </c>
      <c r="HW217" s="9">
        <v>0.8</v>
      </c>
      <c r="HX217" s="9">
        <v>0.6</v>
      </c>
      <c r="HY217" s="9">
        <v>0.6</v>
      </c>
      <c r="HZ217" s="9">
        <v>0.2</v>
      </c>
      <c r="IA217" s="9">
        <v>0.2</v>
      </c>
      <c r="IB217" s="9">
        <v>0.1</v>
      </c>
      <c r="IC217" s="9">
        <v>0.2</v>
      </c>
      <c r="ID217" s="9">
        <v>-0.7</v>
      </c>
      <c r="IE217" s="9">
        <v>-1</v>
      </c>
      <c r="IF217" s="9">
        <v>-1</v>
      </c>
      <c r="IG217" s="9">
        <v>-1</v>
      </c>
      <c r="IH217" s="9">
        <v>1</v>
      </c>
      <c r="II217" s="9">
        <v>1.9</v>
      </c>
      <c r="IJ217" s="9">
        <v>0.6</v>
      </c>
      <c r="IK217" s="9">
        <v>-3.8</v>
      </c>
      <c r="IL217" s="9">
        <v>1.1000000000000001</v>
      </c>
      <c r="IM217" s="9">
        <v>-10.199999999999999</v>
      </c>
      <c r="IN217" s="9">
        <v>0.9</v>
      </c>
      <c r="IO217" s="9">
        <v>-0.8</v>
      </c>
      <c r="IP217" s="9">
        <v>3.2</v>
      </c>
      <c r="IQ217" s="9">
        <v>-4.5</v>
      </c>
    </row>
    <row r="218" spans="1:251" x14ac:dyDescent="0.2">
      <c r="A218" s="10">
        <v>36678</v>
      </c>
      <c r="B218" s="8">
        <v>48.77</v>
      </c>
      <c r="C218" s="8">
        <v>47.4</v>
      </c>
      <c r="D218" s="8">
        <v>53.15</v>
      </c>
      <c r="E218" s="8">
        <v>53.04</v>
      </c>
      <c r="F218" s="8">
        <v>49.56</v>
      </c>
      <c r="G218" s="8">
        <v>62.77</v>
      </c>
      <c r="H218" s="8">
        <v>60.72</v>
      </c>
      <c r="I218" s="8">
        <v>47.72</v>
      </c>
      <c r="J218" s="8">
        <v>38.67</v>
      </c>
      <c r="K218" s="8">
        <v>49.7</v>
      </c>
      <c r="L218" s="8">
        <v>31.85</v>
      </c>
      <c r="M218" s="8">
        <v>74.400000000000006</v>
      </c>
      <c r="N218" s="8">
        <v>42.32</v>
      </c>
      <c r="O218" s="8">
        <v>54.13</v>
      </c>
      <c r="P218" s="8">
        <v>55.17</v>
      </c>
      <c r="Q218" s="8">
        <v>61.61</v>
      </c>
      <c r="R218" s="8">
        <v>43.06</v>
      </c>
      <c r="S218" s="8">
        <v>57.59</v>
      </c>
      <c r="T218" s="8">
        <v>44.24</v>
      </c>
      <c r="U218" s="8">
        <v>41.12</v>
      </c>
      <c r="V218" s="8">
        <v>46.82</v>
      </c>
      <c r="W218" s="8">
        <v>51.9</v>
      </c>
      <c r="X218" s="8">
        <v>46.92</v>
      </c>
      <c r="Y218" s="8">
        <v>53.31</v>
      </c>
      <c r="Z218" s="8">
        <v>64.900000000000006</v>
      </c>
      <c r="AA218" s="8">
        <v>35.869999999999997</v>
      </c>
      <c r="AB218" s="8">
        <v>49.11</v>
      </c>
      <c r="AC218" s="8">
        <v>61.06</v>
      </c>
      <c r="AD218" s="8">
        <v>52.92</v>
      </c>
      <c r="AE218" s="8">
        <v>60.54</v>
      </c>
      <c r="AF218" s="8">
        <v>51.24</v>
      </c>
      <c r="AG218" s="8">
        <v>42.4</v>
      </c>
      <c r="AH218" s="8">
        <v>44.45</v>
      </c>
      <c r="AI218" s="8">
        <v>40.32</v>
      </c>
      <c r="AJ218" s="8">
        <v>26.2</v>
      </c>
      <c r="AK218" s="8">
        <v>49.27</v>
      </c>
      <c r="AL218" s="8">
        <v>41.62</v>
      </c>
      <c r="AM218" s="8">
        <v>76.08</v>
      </c>
      <c r="AN218" s="8">
        <v>38.49</v>
      </c>
      <c r="AO218" s="8">
        <v>9.2899999999999991</v>
      </c>
      <c r="AP218" s="8">
        <v>9.2899999999999991</v>
      </c>
      <c r="AQ218" s="8">
        <v>95.3</v>
      </c>
      <c r="AR218" s="8">
        <v>113.17</v>
      </c>
      <c r="AS218" s="8">
        <v>108.27</v>
      </c>
      <c r="AT218" s="8">
        <v>121.08</v>
      </c>
      <c r="AU218" s="8">
        <v>95.43</v>
      </c>
      <c r="AV218" s="8">
        <v>105.4</v>
      </c>
      <c r="AW218" s="8">
        <v>106.25</v>
      </c>
      <c r="AX218" s="8">
        <v>108.97</v>
      </c>
      <c r="AY218" s="8">
        <v>95.43</v>
      </c>
      <c r="AZ218" s="8">
        <v>55.41</v>
      </c>
      <c r="BA218" s="8">
        <v>62.97</v>
      </c>
      <c r="BB218" s="8">
        <v>41.8</v>
      </c>
      <c r="BC218" s="8">
        <v>37.42</v>
      </c>
      <c r="BD218" s="8">
        <v>46.32</v>
      </c>
      <c r="BE218" s="8">
        <v>46.32</v>
      </c>
      <c r="BF218" s="8">
        <v>36.78</v>
      </c>
      <c r="BG218" s="8">
        <v>36.770000000000003</v>
      </c>
      <c r="BH218" s="8">
        <v>37.549999999999997</v>
      </c>
      <c r="BI218" s="8">
        <v>44.92</v>
      </c>
      <c r="BJ218" s="8">
        <v>28.52</v>
      </c>
      <c r="BK218" s="8">
        <v>27.6</v>
      </c>
      <c r="BL218" s="8">
        <v>33.549999999999997</v>
      </c>
      <c r="BM218" s="8">
        <v>28.17</v>
      </c>
      <c r="BN218" s="8">
        <v>21.86</v>
      </c>
      <c r="BO218" s="8">
        <v>71.349999999999994</v>
      </c>
      <c r="BP218" s="8">
        <v>71.06</v>
      </c>
      <c r="BQ218" s="8">
        <v>77.540000000000006</v>
      </c>
      <c r="BR218" s="8">
        <v>50.36</v>
      </c>
      <c r="BS218" s="8">
        <v>126.05</v>
      </c>
      <c r="BT218" s="8">
        <v>126.05</v>
      </c>
      <c r="BU218" s="8">
        <v>104.04</v>
      </c>
      <c r="BV218" s="8">
        <v>102.85</v>
      </c>
      <c r="BW218" s="8">
        <v>117.32</v>
      </c>
      <c r="BX218" s="8">
        <v>124.9</v>
      </c>
      <c r="BY218" s="8">
        <v>78.989999999999995</v>
      </c>
      <c r="BZ218" s="8">
        <v>76.92</v>
      </c>
      <c r="CA218" s="8">
        <v>78.58</v>
      </c>
      <c r="CB218" s="8">
        <v>95.15</v>
      </c>
      <c r="CC218" s="8">
        <v>65.34</v>
      </c>
      <c r="CD218" s="8">
        <v>40.68</v>
      </c>
      <c r="CE218" s="8">
        <v>48.94</v>
      </c>
      <c r="CF218" s="8">
        <v>42.15</v>
      </c>
      <c r="CG218" s="8">
        <v>36.14</v>
      </c>
      <c r="CH218" s="8">
        <v>33.36</v>
      </c>
      <c r="CI218" s="8">
        <v>70.5</v>
      </c>
      <c r="CJ218" s="8">
        <v>69.89</v>
      </c>
      <c r="CK218" s="8">
        <v>75.73</v>
      </c>
      <c r="CL218" s="8">
        <v>26.85</v>
      </c>
      <c r="CM218" s="8">
        <v>24.84</v>
      </c>
      <c r="CN218" s="8">
        <v>42.83</v>
      </c>
      <c r="CO218" s="8">
        <v>58.09</v>
      </c>
      <c r="CP218" s="8">
        <v>58.73</v>
      </c>
      <c r="CQ218" s="8">
        <v>100.81</v>
      </c>
      <c r="CR218" s="8">
        <v>52.17</v>
      </c>
      <c r="CS218" s="8">
        <v>44.25</v>
      </c>
      <c r="CT218" s="8">
        <v>47.92</v>
      </c>
      <c r="CU218" s="8">
        <v>38.409999999999997</v>
      </c>
      <c r="CV218" s="8">
        <v>50.98</v>
      </c>
      <c r="CW218" s="8">
        <v>50.98</v>
      </c>
      <c r="CX218" s="8">
        <v>108.59</v>
      </c>
      <c r="CY218" s="8">
        <v>108.59</v>
      </c>
      <c r="CZ218" s="8">
        <v>38.979999999999997</v>
      </c>
      <c r="DA218" s="8">
        <v>113.65</v>
      </c>
      <c r="DB218" s="8">
        <v>69.55</v>
      </c>
      <c r="DC218" s="8">
        <v>318.52</v>
      </c>
      <c r="DD218" s="8">
        <v>1051.56</v>
      </c>
      <c r="DE218" s="8">
        <v>84.68</v>
      </c>
      <c r="DF218" s="8">
        <v>58.67</v>
      </c>
      <c r="DG218" s="8">
        <v>81.62</v>
      </c>
      <c r="DH218" s="8">
        <v>50.21</v>
      </c>
      <c r="DI218" s="8">
        <v>47.88</v>
      </c>
      <c r="DJ218" s="8">
        <v>44.35</v>
      </c>
      <c r="DK218" s="8">
        <v>45.76</v>
      </c>
      <c r="DL218" s="8">
        <v>52.53</v>
      </c>
      <c r="DM218" s="8">
        <v>103.15</v>
      </c>
      <c r="DN218" s="8">
        <v>126.95</v>
      </c>
      <c r="DO218" s="8">
        <v>45.09</v>
      </c>
      <c r="DP218" s="8">
        <v>33.82</v>
      </c>
      <c r="DQ218" s="8">
        <v>38.97</v>
      </c>
      <c r="DR218" s="8">
        <v>39.83</v>
      </c>
      <c r="DS218" s="8">
        <v>31.86</v>
      </c>
      <c r="DT218" s="8">
        <v>31.86</v>
      </c>
      <c r="DU218" s="8">
        <v>32.880000000000003</v>
      </c>
      <c r="DV218" s="8">
        <v>25.75</v>
      </c>
      <c r="DW218" s="8">
        <v>37.46</v>
      </c>
      <c r="DY218" s="8">
        <v>28.99</v>
      </c>
      <c r="DZ218" s="8">
        <v>28.99</v>
      </c>
      <c r="ED218" s="9">
        <v>0.8</v>
      </c>
      <c r="EE218" s="9">
        <v>0.9</v>
      </c>
      <c r="EF218" s="9">
        <v>-0.1</v>
      </c>
      <c r="EG218" s="9">
        <v>0.7</v>
      </c>
      <c r="EH218" s="9">
        <v>-1.3</v>
      </c>
      <c r="EI218" s="9">
        <v>-0.8</v>
      </c>
      <c r="EJ218" s="9">
        <v>2.4</v>
      </c>
      <c r="EK218" s="9">
        <v>0.4</v>
      </c>
      <c r="EL218" s="9">
        <v>2.5</v>
      </c>
      <c r="EM218" s="9">
        <v>-2.2000000000000002</v>
      </c>
      <c r="EN218" s="9">
        <v>2.2000000000000002</v>
      </c>
      <c r="EO218" s="9">
        <v>0.2</v>
      </c>
      <c r="EP218" s="9">
        <v>0.9</v>
      </c>
      <c r="EQ218" s="9">
        <v>-1.9</v>
      </c>
      <c r="ER218" s="9">
        <v>1.5</v>
      </c>
      <c r="ES218" s="9">
        <v>1.9</v>
      </c>
      <c r="ET218" s="9">
        <v>-0.8</v>
      </c>
      <c r="EU218" s="9">
        <v>3</v>
      </c>
      <c r="EV218" s="9">
        <v>3</v>
      </c>
      <c r="EW218" s="9">
        <v>-3.4</v>
      </c>
      <c r="EX218" s="9">
        <v>8.3000000000000007</v>
      </c>
      <c r="EY218" s="9">
        <v>0.5</v>
      </c>
      <c r="EZ218" s="9">
        <v>0.5</v>
      </c>
      <c r="FA218" s="9">
        <v>-1.9</v>
      </c>
      <c r="FB218" s="9">
        <v>0.8</v>
      </c>
      <c r="FC218" s="9">
        <v>-0.6</v>
      </c>
      <c r="FD218" s="9">
        <v>0.5</v>
      </c>
      <c r="FE218" s="9">
        <v>-0.1</v>
      </c>
      <c r="FF218" s="9">
        <v>1.1000000000000001</v>
      </c>
      <c r="FG218" s="9">
        <v>-3.5</v>
      </c>
      <c r="FH218" s="9">
        <v>1.1000000000000001</v>
      </c>
      <c r="FI218" s="9">
        <v>0.9</v>
      </c>
      <c r="FJ218" s="9">
        <v>1.2</v>
      </c>
      <c r="FK218" s="9">
        <v>0.5</v>
      </c>
      <c r="FL218" s="9">
        <v>0.8</v>
      </c>
      <c r="FM218" s="9">
        <v>1.2</v>
      </c>
      <c r="FN218" s="9">
        <v>0.6</v>
      </c>
      <c r="FO218" s="9">
        <v>0.4</v>
      </c>
      <c r="FP218" s="9">
        <v>1.8</v>
      </c>
      <c r="FQ218" s="9">
        <v>0.3</v>
      </c>
      <c r="FR218" s="9">
        <v>0.3</v>
      </c>
      <c r="FS218" s="9">
        <v>0.9</v>
      </c>
      <c r="FT218" s="9">
        <v>1.5</v>
      </c>
      <c r="FU218" s="9">
        <v>0.6</v>
      </c>
      <c r="FV218" s="9">
        <v>2.2000000000000002</v>
      </c>
      <c r="FW218" s="9">
        <v>0.2</v>
      </c>
      <c r="FX218" s="9">
        <v>0</v>
      </c>
      <c r="FY218" s="9">
        <v>-0.8</v>
      </c>
      <c r="FZ218" s="9">
        <v>0.3</v>
      </c>
      <c r="GA218" s="9">
        <v>0.1</v>
      </c>
      <c r="GB218" s="9">
        <v>-0.9</v>
      </c>
      <c r="GC218" s="9">
        <v>-2.2999999999999998</v>
      </c>
      <c r="GD218" s="9">
        <v>0.6</v>
      </c>
      <c r="GE218" s="9">
        <v>0.5</v>
      </c>
      <c r="GF218" s="9">
        <v>1</v>
      </c>
      <c r="GG218" s="9">
        <v>1</v>
      </c>
      <c r="GH218" s="9">
        <v>0.4</v>
      </c>
      <c r="GI218" s="9">
        <v>0.4</v>
      </c>
      <c r="GJ218" s="9">
        <v>0.8</v>
      </c>
      <c r="GK218" s="9">
        <v>0.2</v>
      </c>
      <c r="GL218" s="9">
        <v>0</v>
      </c>
      <c r="GM218" s="9">
        <v>-0.4</v>
      </c>
      <c r="GN218" s="9">
        <v>0</v>
      </c>
      <c r="GO218" s="9">
        <v>-1.1000000000000001</v>
      </c>
      <c r="GP218" s="9">
        <v>0.7</v>
      </c>
      <c r="GQ218" s="9">
        <v>1.1000000000000001</v>
      </c>
      <c r="GR218" s="9">
        <v>1.6</v>
      </c>
      <c r="GS218" s="9">
        <v>1.7</v>
      </c>
      <c r="GT218" s="9">
        <v>1.1000000000000001</v>
      </c>
      <c r="GU218" s="9">
        <v>-0.9</v>
      </c>
      <c r="GV218" s="9">
        <v>-0.9</v>
      </c>
      <c r="GW218" s="9">
        <v>0</v>
      </c>
      <c r="GX218" s="9">
        <v>-0.2</v>
      </c>
      <c r="GY218" s="9">
        <v>-0.2</v>
      </c>
      <c r="GZ218" s="9">
        <v>0.4</v>
      </c>
      <c r="HA218" s="9">
        <v>0.3</v>
      </c>
      <c r="HB218" s="9">
        <v>1.7</v>
      </c>
      <c r="HC218" s="9">
        <v>-0.2</v>
      </c>
      <c r="HD218" s="9">
        <v>0.1</v>
      </c>
      <c r="HE218" s="9">
        <v>1.9</v>
      </c>
      <c r="HF218" s="9">
        <v>1.9</v>
      </c>
      <c r="HG218" s="9">
        <v>0.3</v>
      </c>
      <c r="HH218" s="9">
        <v>1</v>
      </c>
      <c r="HI218" s="9">
        <v>1.9</v>
      </c>
      <c r="HJ218" s="9">
        <v>0.7</v>
      </c>
      <c r="HK218" s="9">
        <v>-0.4</v>
      </c>
      <c r="HL218" s="9">
        <v>-0.4</v>
      </c>
      <c r="HM218" s="9">
        <v>0</v>
      </c>
      <c r="HN218" s="9">
        <v>1</v>
      </c>
      <c r="HO218" s="9">
        <v>0.9</v>
      </c>
      <c r="HP218" s="9">
        <v>1.6</v>
      </c>
      <c r="HQ218" s="9">
        <v>1.6</v>
      </c>
      <c r="HR218" s="9">
        <v>1.7</v>
      </c>
      <c r="HS218" s="9">
        <v>0</v>
      </c>
      <c r="HT218" s="9">
        <v>-0.6</v>
      </c>
      <c r="HU218" s="9">
        <v>3.2</v>
      </c>
      <c r="HV218" s="9">
        <v>0</v>
      </c>
      <c r="HW218" s="9">
        <v>0.3</v>
      </c>
      <c r="HX218" s="9">
        <v>0</v>
      </c>
      <c r="HY218" s="9">
        <v>0</v>
      </c>
      <c r="HZ218" s="9">
        <v>1.3</v>
      </c>
      <c r="IA218" s="9">
        <v>1.3</v>
      </c>
      <c r="IB218" s="9">
        <v>0</v>
      </c>
      <c r="IC218" s="9">
        <v>1.5</v>
      </c>
      <c r="ID218" s="9">
        <v>-0.2</v>
      </c>
      <c r="IE218" s="9">
        <v>-0.9</v>
      </c>
      <c r="IF218" s="9">
        <v>-1.3</v>
      </c>
      <c r="IG218" s="9">
        <v>-0.9</v>
      </c>
      <c r="IH218" s="9">
        <v>0.3</v>
      </c>
      <c r="II218" s="9">
        <v>0.5</v>
      </c>
      <c r="IJ218" s="9">
        <v>0.2</v>
      </c>
      <c r="IK218" s="9">
        <v>-0.8</v>
      </c>
      <c r="IL218" s="9">
        <v>-4.3</v>
      </c>
      <c r="IM218" s="9">
        <v>4.3</v>
      </c>
      <c r="IN218" s="9">
        <v>1.2</v>
      </c>
      <c r="IO218" s="9">
        <v>-0.5</v>
      </c>
      <c r="IP218" s="9">
        <v>-0.5</v>
      </c>
      <c r="IQ218" s="9">
        <v>3</v>
      </c>
    </row>
    <row r="219" spans="1:251" x14ac:dyDescent="0.2">
      <c r="A219" s="10">
        <v>36770</v>
      </c>
      <c r="B219" s="8">
        <v>50.59</v>
      </c>
      <c r="C219" s="8">
        <v>48.22</v>
      </c>
      <c r="D219" s="8">
        <v>54.04</v>
      </c>
      <c r="E219" s="8">
        <v>52.87</v>
      </c>
      <c r="F219" s="8">
        <v>51.74</v>
      </c>
      <c r="G219" s="8">
        <v>64.040000000000006</v>
      </c>
      <c r="H219" s="8">
        <v>59.75</v>
      </c>
      <c r="I219" s="8">
        <v>47.08</v>
      </c>
      <c r="J219" s="8">
        <v>38.04</v>
      </c>
      <c r="K219" s="8">
        <v>49.78</v>
      </c>
      <c r="L219" s="8">
        <v>31.28</v>
      </c>
      <c r="M219" s="8">
        <v>71.19</v>
      </c>
      <c r="N219" s="8">
        <v>41.98</v>
      </c>
      <c r="O219" s="8">
        <v>54.39</v>
      </c>
      <c r="P219" s="8">
        <v>54.26</v>
      </c>
      <c r="Q219" s="8">
        <v>60.05</v>
      </c>
      <c r="R219" s="8">
        <v>42.8</v>
      </c>
      <c r="S219" s="8">
        <v>57.28</v>
      </c>
      <c r="T219" s="8">
        <v>43.71</v>
      </c>
      <c r="U219" s="8">
        <v>43.56</v>
      </c>
      <c r="V219" s="8">
        <v>43.88</v>
      </c>
      <c r="W219" s="8">
        <v>51.97</v>
      </c>
      <c r="X219" s="8">
        <v>46.2</v>
      </c>
      <c r="Y219" s="8">
        <v>54.48</v>
      </c>
      <c r="Z219" s="8">
        <v>64.05</v>
      </c>
      <c r="AA219" s="8">
        <v>35.270000000000003</v>
      </c>
      <c r="AB219" s="8">
        <v>49.18</v>
      </c>
      <c r="AC219" s="8">
        <v>61.91</v>
      </c>
      <c r="AD219" s="8">
        <v>51.31</v>
      </c>
      <c r="AE219" s="8">
        <v>61.5</v>
      </c>
      <c r="AF219" s="8">
        <v>49.11</v>
      </c>
      <c r="AG219" s="8">
        <v>45.88</v>
      </c>
      <c r="AH219" s="8">
        <v>48.45</v>
      </c>
      <c r="AI219" s="8">
        <v>43.4</v>
      </c>
      <c r="AJ219" s="8">
        <v>27.9</v>
      </c>
      <c r="AK219" s="8">
        <v>51.44</v>
      </c>
      <c r="AL219" s="8">
        <v>43.34</v>
      </c>
      <c r="AM219" s="8">
        <v>79.12</v>
      </c>
      <c r="AN219" s="8">
        <v>40.340000000000003</v>
      </c>
      <c r="AO219" s="8">
        <v>10.32</v>
      </c>
      <c r="AP219" s="8">
        <v>10.32</v>
      </c>
      <c r="AQ219" s="8">
        <v>102.33</v>
      </c>
      <c r="AR219" s="8">
        <v>122.9</v>
      </c>
      <c r="AS219" s="8">
        <v>117.7</v>
      </c>
      <c r="AT219" s="8">
        <v>131.1</v>
      </c>
      <c r="AU219" s="8">
        <v>104.96</v>
      </c>
      <c r="AV219" s="8">
        <v>113.41</v>
      </c>
      <c r="AW219" s="8">
        <v>114.03</v>
      </c>
      <c r="AX219" s="8">
        <v>118.1</v>
      </c>
      <c r="AY219" s="8">
        <v>101.44</v>
      </c>
      <c r="AZ219" s="8">
        <v>57.31</v>
      </c>
      <c r="BA219" s="8">
        <v>62.91</v>
      </c>
      <c r="BB219" s="8">
        <v>45.15</v>
      </c>
      <c r="BC219" s="8">
        <v>39.700000000000003</v>
      </c>
      <c r="BD219" s="8">
        <v>46.64</v>
      </c>
      <c r="BE219" s="8">
        <v>46.64</v>
      </c>
      <c r="BF219" s="8">
        <v>39.74</v>
      </c>
      <c r="BG219" s="8">
        <v>39.729999999999997</v>
      </c>
      <c r="BH219" s="8">
        <v>40.58</v>
      </c>
      <c r="BI219" s="8">
        <v>49.49</v>
      </c>
      <c r="BJ219" s="8">
        <v>29.92</v>
      </c>
      <c r="BK219" s="8">
        <v>30.02</v>
      </c>
      <c r="BL219" s="8">
        <v>34.06</v>
      </c>
      <c r="BM219" s="8">
        <v>31.25</v>
      </c>
      <c r="BN219" s="8">
        <v>24.6</v>
      </c>
      <c r="BO219" s="8">
        <v>72.760000000000005</v>
      </c>
      <c r="BP219" s="8">
        <v>73.88</v>
      </c>
      <c r="BQ219" s="8">
        <v>80.27</v>
      </c>
      <c r="BR219" s="8">
        <v>53.16</v>
      </c>
      <c r="BS219" s="8">
        <v>131.24</v>
      </c>
      <c r="BT219" s="8">
        <v>131.24</v>
      </c>
      <c r="BU219" s="8">
        <v>105.75</v>
      </c>
      <c r="BV219" s="8">
        <v>105.88</v>
      </c>
      <c r="BW219" s="8">
        <v>118.77</v>
      </c>
      <c r="BX219" s="8">
        <v>128.96</v>
      </c>
      <c r="BY219" s="8">
        <v>76.069999999999993</v>
      </c>
      <c r="BZ219" s="8">
        <v>74.260000000000005</v>
      </c>
      <c r="CA219" s="8">
        <v>71.83</v>
      </c>
      <c r="CB219" s="8">
        <v>94.97</v>
      </c>
      <c r="CC219" s="8">
        <v>64.06</v>
      </c>
      <c r="CD219" s="8">
        <v>44.01</v>
      </c>
      <c r="CE219" s="8">
        <v>41.55</v>
      </c>
      <c r="CF219" s="8">
        <v>46.49</v>
      </c>
      <c r="CG219" s="8">
        <v>39.1</v>
      </c>
      <c r="CH219" s="8">
        <v>33.53</v>
      </c>
      <c r="CI219" s="8">
        <v>70.81</v>
      </c>
      <c r="CJ219" s="8">
        <v>69.69</v>
      </c>
      <c r="CK219" s="8">
        <v>80.06</v>
      </c>
      <c r="CL219" s="8">
        <v>27</v>
      </c>
      <c r="CM219" s="8">
        <v>24.92</v>
      </c>
      <c r="CN219" s="8">
        <v>43.4</v>
      </c>
      <c r="CO219" s="8">
        <v>59.63</v>
      </c>
      <c r="CP219" s="8">
        <v>60.1</v>
      </c>
      <c r="CQ219" s="8">
        <v>98.32</v>
      </c>
      <c r="CR219" s="8">
        <v>50.26</v>
      </c>
      <c r="CS219" s="8">
        <v>48.86</v>
      </c>
      <c r="CT219" s="8">
        <v>48.82</v>
      </c>
      <c r="CU219" s="8">
        <v>39.56</v>
      </c>
      <c r="CV219" s="8">
        <v>55.13</v>
      </c>
      <c r="CW219" s="8">
        <v>55.13</v>
      </c>
      <c r="CX219" s="8">
        <v>116.12</v>
      </c>
      <c r="CY219" s="8">
        <v>116.12</v>
      </c>
      <c r="CZ219" s="8">
        <v>40.08</v>
      </c>
      <c r="DA219" s="8">
        <v>121.8</v>
      </c>
      <c r="DB219" s="8">
        <v>72.319999999999993</v>
      </c>
      <c r="DC219" s="8">
        <v>306.14999999999998</v>
      </c>
      <c r="DD219" s="8">
        <v>1000.64</v>
      </c>
      <c r="DE219" s="8">
        <v>82.72</v>
      </c>
      <c r="DF219" s="8">
        <v>61.68</v>
      </c>
      <c r="DG219" s="8">
        <v>87.19</v>
      </c>
      <c r="DH219" s="8">
        <v>52.4</v>
      </c>
      <c r="DI219" s="8">
        <v>51.24</v>
      </c>
      <c r="DJ219" s="8">
        <v>48.77</v>
      </c>
      <c r="DK219" s="8">
        <v>47.29</v>
      </c>
      <c r="DL219" s="8">
        <v>54.78</v>
      </c>
      <c r="DM219" s="8">
        <v>101.3</v>
      </c>
      <c r="DN219" s="8">
        <v>121.06</v>
      </c>
      <c r="DO219" s="8">
        <v>43.82</v>
      </c>
      <c r="DP219" s="8">
        <v>37.340000000000003</v>
      </c>
      <c r="DQ219" s="8">
        <v>42.66</v>
      </c>
      <c r="DR219" s="8">
        <v>43.08</v>
      </c>
      <c r="DS219" s="8">
        <v>31.91</v>
      </c>
      <c r="DT219" s="8">
        <v>31.91</v>
      </c>
      <c r="DU219" s="8">
        <v>32.880000000000003</v>
      </c>
      <c r="DV219" s="8">
        <v>25.75</v>
      </c>
      <c r="DW219" s="8">
        <v>37.590000000000003</v>
      </c>
      <c r="DY219" s="8">
        <v>30.45</v>
      </c>
      <c r="DZ219" s="8">
        <v>30.45</v>
      </c>
      <c r="ED219" s="9">
        <v>3.7</v>
      </c>
      <c r="EE219" s="9">
        <v>1.7</v>
      </c>
      <c r="EF219" s="9">
        <v>1.7</v>
      </c>
      <c r="EG219" s="9">
        <v>-0.3</v>
      </c>
      <c r="EH219" s="9">
        <v>4.4000000000000004</v>
      </c>
      <c r="EI219" s="9">
        <v>2</v>
      </c>
      <c r="EJ219" s="9">
        <v>-1.6</v>
      </c>
      <c r="EK219" s="9">
        <v>-1.3</v>
      </c>
      <c r="EL219" s="9">
        <v>-1.6</v>
      </c>
      <c r="EM219" s="9">
        <v>0.2</v>
      </c>
      <c r="EN219" s="9">
        <v>-1.8</v>
      </c>
      <c r="EO219" s="9">
        <v>-4.3</v>
      </c>
      <c r="EP219" s="9">
        <v>-0.8</v>
      </c>
      <c r="EQ219" s="9">
        <v>0.5</v>
      </c>
      <c r="ER219" s="9">
        <v>-1.6</v>
      </c>
      <c r="ES219" s="9">
        <v>-2.5</v>
      </c>
      <c r="ET219" s="9">
        <v>-0.6</v>
      </c>
      <c r="EU219" s="9">
        <v>-0.5</v>
      </c>
      <c r="EV219" s="9">
        <v>-1.2</v>
      </c>
      <c r="EW219" s="9">
        <v>5.9</v>
      </c>
      <c r="EX219" s="9">
        <v>-6.3</v>
      </c>
      <c r="EY219" s="9">
        <v>0.1</v>
      </c>
      <c r="EZ219" s="9">
        <v>-1.5</v>
      </c>
      <c r="FA219" s="9">
        <v>2.2000000000000002</v>
      </c>
      <c r="FB219" s="9">
        <v>-1.3</v>
      </c>
      <c r="FC219" s="9">
        <v>-1.7</v>
      </c>
      <c r="FD219" s="9">
        <v>0.1</v>
      </c>
      <c r="FE219" s="9">
        <v>1.4</v>
      </c>
      <c r="FF219" s="9">
        <v>-3</v>
      </c>
      <c r="FG219" s="9">
        <v>1.6</v>
      </c>
      <c r="FH219" s="9">
        <v>-4.2</v>
      </c>
      <c r="FI219" s="9">
        <v>8.1999999999999993</v>
      </c>
      <c r="FJ219" s="9">
        <v>9</v>
      </c>
      <c r="FK219" s="9">
        <v>7.6</v>
      </c>
      <c r="FL219" s="9">
        <v>6.5</v>
      </c>
      <c r="FM219" s="9">
        <v>4.4000000000000004</v>
      </c>
      <c r="FN219" s="9">
        <v>4.0999999999999996</v>
      </c>
      <c r="FO219" s="9">
        <v>4</v>
      </c>
      <c r="FP219" s="9">
        <v>4.8</v>
      </c>
      <c r="FQ219" s="9">
        <v>11.1</v>
      </c>
      <c r="FR219" s="9">
        <v>11.1</v>
      </c>
      <c r="FS219" s="9">
        <v>7.4</v>
      </c>
      <c r="FT219" s="9">
        <v>8.6</v>
      </c>
      <c r="FU219" s="9">
        <v>8.6999999999999993</v>
      </c>
      <c r="FV219" s="9">
        <v>8.3000000000000007</v>
      </c>
      <c r="FW219" s="9">
        <v>10</v>
      </c>
      <c r="FX219" s="9">
        <v>7.6</v>
      </c>
      <c r="FY219" s="9">
        <v>7.3</v>
      </c>
      <c r="FZ219" s="9">
        <v>8.4</v>
      </c>
      <c r="GA219" s="9">
        <v>6.3</v>
      </c>
      <c r="GB219" s="9">
        <v>3.4</v>
      </c>
      <c r="GC219" s="9">
        <v>-0.1</v>
      </c>
      <c r="GD219" s="9">
        <v>8</v>
      </c>
      <c r="GE219" s="9">
        <v>6.1</v>
      </c>
      <c r="GF219" s="9">
        <v>0.7</v>
      </c>
      <c r="GG219" s="9">
        <v>0.7</v>
      </c>
      <c r="GH219" s="9">
        <v>8</v>
      </c>
      <c r="GI219" s="9">
        <v>8.1</v>
      </c>
      <c r="GJ219" s="9">
        <v>8.1</v>
      </c>
      <c r="GK219" s="9">
        <v>10.199999999999999</v>
      </c>
      <c r="GL219" s="9">
        <v>4.9000000000000004</v>
      </c>
      <c r="GM219" s="9">
        <v>8.8000000000000007</v>
      </c>
      <c r="GN219" s="9">
        <v>1.5</v>
      </c>
      <c r="GO219" s="9">
        <v>10.9</v>
      </c>
      <c r="GP219" s="9">
        <v>12.5</v>
      </c>
      <c r="GQ219" s="9">
        <v>2</v>
      </c>
      <c r="GR219" s="9">
        <v>4</v>
      </c>
      <c r="GS219" s="9">
        <v>3.5</v>
      </c>
      <c r="GT219" s="9">
        <v>5.6</v>
      </c>
      <c r="GU219" s="9">
        <v>4.0999999999999996</v>
      </c>
      <c r="GV219" s="9">
        <v>4.0999999999999996</v>
      </c>
      <c r="GW219" s="9">
        <v>1.6</v>
      </c>
      <c r="GX219" s="9">
        <v>2.9</v>
      </c>
      <c r="GY219" s="9">
        <v>1.2</v>
      </c>
      <c r="GZ219" s="9">
        <v>3.3</v>
      </c>
      <c r="HA219" s="9">
        <v>-3.7</v>
      </c>
      <c r="HB219" s="9">
        <v>-3.5</v>
      </c>
      <c r="HC219" s="9">
        <v>-8.6</v>
      </c>
      <c r="HD219" s="9">
        <v>-0.2</v>
      </c>
      <c r="HE219" s="9">
        <v>-2</v>
      </c>
      <c r="HF219" s="9">
        <v>8.1999999999999993</v>
      </c>
      <c r="HG219" s="9">
        <v>-15.1</v>
      </c>
      <c r="HH219" s="9">
        <v>10.3</v>
      </c>
      <c r="HI219" s="9">
        <v>8.1999999999999993</v>
      </c>
      <c r="HJ219" s="9">
        <v>0.5</v>
      </c>
      <c r="HK219" s="9">
        <v>0.4</v>
      </c>
      <c r="HL219" s="9">
        <v>-0.3</v>
      </c>
      <c r="HM219" s="9">
        <v>5.7</v>
      </c>
      <c r="HN219" s="9">
        <v>0.6</v>
      </c>
      <c r="HO219" s="9">
        <v>0.3</v>
      </c>
      <c r="HP219" s="9">
        <v>1.3</v>
      </c>
      <c r="HQ219" s="9">
        <v>2.7</v>
      </c>
      <c r="HR219" s="9">
        <v>2.2999999999999998</v>
      </c>
      <c r="HS219" s="9">
        <v>-2.5</v>
      </c>
      <c r="HT219" s="9">
        <v>-3.7</v>
      </c>
      <c r="HU219" s="9">
        <v>10.4</v>
      </c>
      <c r="HV219" s="9">
        <v>1.9</v>
      </c>
      <c r="HW219" s="9">
        <v>3</v>
      </c>
      <c r="HX219" s="9">
        <v>8.1</v>
      </c>
      <c r="HY219" s="9">
        <v>8.1</v>
      </c>
      <c r="HZ219" s="9">
        <v>6.9</v>
      </c>
      <c r="IA219" s="9">
        <v>6.9</v>
      </c>
      <c r="IB219" s="9">
        <v>2.8</v>
      </c>
      <c r="IC219" s="9">
        <v>7.2</v>
      </c>
      <c r="ID219" s="9">
        <v>4</v>
      </c>
      <c r="IE219" s="9">
        <v>-3.9</v>
      </c>
      <c r="IF219" s="9">
        <v>-4.8</v>
      </c>
      <c r="IG219" s="9">
        <v>-2.2999999999999998</v>
      </c>
      <c r="IH219" s="9">
        <v>5.0999999999999996</v>
      </c>
      <c r="II219" s="9">
        <v>6.8</v>
      </c>
      <c r="IJ219" s="9">
        <v>4.4000000000000004</v>
      </c>
      <c r="IK219" s="9">
        <v>7</v>
      </c>
      <c r="IL219" s="9">
        <v>10</v>
      </c>
      <c r="IM219" s="9">
        <v>3.3</v>
      </c>
      <c r="IN219" s="9">
        <v>4.3</v>
      </c>
      <c r="IO219" s="9">
        <v>-1.8</v>
      </c>
      <c r="IP219" s="9">
        <v>-4.5999999999999996</v>
      </c>
      <c r="IQ219" s="9">
        <v>-2.8</v>
      </c>
    </row>
    <row r="220" spans="1:251" x14ac:dyDescent="0.2">
      <c r="A220" s="10">
        <v>36861</v>
      </c>
      <c r="B220" s="8">
        <v>50.76</v>
      </c>
      <c r="C220" s="8">
        <v>48.56</v>
      </c>
      <c r="D220" s="8">
        <v>54.07</v>
      </c>
      <c r="E220" s="8">
        <v>53.59</v>
      </c>
      <c r="F220" s="8">
        <v>51.93</v>
      </c>
      <c r="G220" s="8">
        <v>62.28</v>
      </c>
      <c r="H220" s="8">
        <v>58.17</v>
      </c>
      <c r="I220" s="8">
        <v>47.77</v>
      </c>
      <c r="J220" s="8">
        <v>38.33</v>
      </c>
      <c r="K220" s="8">
        <v>50.54</v>
      </c>
      <c r="L220" s="8">
        <v>30.91</v>
      </c>
      <c r="M220" s="8">
        <v>71.97</v>
      </c>
      <c r="N220" s="8">
        <v>43.05</v>
      </c>
      <c r="O220" s="8">
        <v>56.07</v>
      </c>
      <c r="P220" s="8">
        <v>53.83</v>
      </c>
      <c r="Q220" s="8">
        <v>58.06</v>
      </c>
      <c r="R220" s="8">
        <v>43.24</v>
      </c>
      <c r="S220" s="8">
        <v>59.06</v>
      </c>
      <c r="T220" s="8">
        <v>44.11</v>
      </c>
      <c r="U220" s="8">
        <v>45.94</v>
      </c>
      <c r="V220" s="8">
        <v>42.68</v>
      </c>
      <c r="W220" s="8">
        <v>52.59</v>
      </c>
      <c r="X220" s="8">
        <v>45.43</v>
      </c>
      <c r="Y220" s="8">
        <v>52.81</v>
      </c>
      <c r="Z220" s="8">
        <v>64.55</v>
      </c>
      <c r="AA220" s="8">
        <v>35.71</v>
      </c>
      <c r="AB220" s="8">
        <v>49.89</v>
      </c>
      <c r="AC220" s="8">
        <v>63.71</v>
      </c>
      <c r="AD220" s="8">
        <v>50.43</v>
      </c>
      <c r="AE220" s="8">
        <v>61.88</v>
      </c>
      <c r="AF220" s="8">
        <v>47.97</v>
      </c>
      <c r="AG220" s="8">
        <v>46.52</v>
      </c>
      <c r="AH220" s="8">
        <v>48.79</v>
      </c>
      <c r="AI220" s="8">
        <v>44.23</v>
      </c>
      <c r="AJ220" s="8">
        <v>28.19</v>
      </c>
      <c r="AK220" s="8">
        <v>51.71</v>
      </c>
      <c r="AL220" s="8">
        <v>43.37</v>
      </c>
      <c r="AM220" s="8">
        <v>78.95</v>
      </c>
      <c r="AN220" s="8">
        <v>40.85</v>
      </c>
      <c r="AO220" s="8">
        <v>10.54</v>
      </c>
      <c r="AP220" s="8">
        <v>10.54</v>
      </c>
      <c r="AQ220" s="8">
        <v>101.95</v>
      </c>
      <c r="AR220" s="8">
        <v>121.85</v>
      </c>
      <c r="AS220" s="8">
        <v>114.62</v>
      </c>
      <c r="AT220" s="8">
        <v>131.22</v>
      </c>
      <c r="AU220" s="8">
        <v>103.9</v>
      </c>
      <c r="AV220" s="8">
        <v>112.54</v>
      </c>
      <c r="AW220" s="8">
        <v>114.95</v>
      </c>
      <c r="AX220" s="8">
        <v>116.56</v>
      </c>
      <c r="AY220" s="8">
        <v>99.67</v>
      </c>
      <c r="AZ220" s="8">
        <v>58.19</v>
      </c>
      <c r="BA220" s="8">
        <v>64.209999999999994</v>
      </c>
      <c r="BB220" s="8">
        <v>46.06</v>
      </c>
      <c r="BC220" s="8">
        <v>39.82</v>
      </c>
      <c r="BD220" s="8">
        <v>46.91</v>
      </c>
      <c r="BE220" s="8">
        <v>46.91</v>
      </c>
      <c r="BF220" s="8">
        <v>39.85</v>
      </c>
      <c r="BG220" s="8">
        <v>39.85</v>
      </c>
      <c r="BH220" s="8">
        <v>40.69</v>
      </c>
      <c r="BI220" s="8">
        <v>49.72</v>
      </c>
      <c r="BJ220" s="8">
        <v>29.92</v>
      </c>
      <c r="BK220" s="8">
        <v>29.98</v>
      </c>
      <c r="BL220" s="8">
        <v>34.130000000000003</v>
      </c>
      <c r="BM220" s="8">
        <v>31.4</v>
      </c>
      <c r="BN220" s="8">
        <v>24.12</v>
      </c>
      <c r="BO220" s="8">
        <v>72.75</v>
      </c>
      <c r="BP220" s="8">
        <v>73.64</v>
      </c>
      <c r="BQ220" s="8">
        <v>79.86</v>
      </c>
      <c r="BR220" s="8">
        <v>53.33</v>
      </c>
      <c r="BS220" s="8">
        <v>127.01</v>
      </c>
      <c r="BT220" s="8">
        <v>127.01</v>
      </c>
      <c r="BU220" s="8">
        <v>104.88</v>
      </c>
      <c r="BV220" s="8">
        <v>106.39</v>
      </c>
      <c r="BW220" s="8">
        <v>118.43</v>
      </c>
      <c r="BX220" s="8">
        <v>124.17</v>
      </c>
      <c r="BY220" s="8">
        <v>75.739999999999995</v>
      </c>
      <c r="BZ220" s="8">
        <v>75.87</v>
      </c>
      <c r="CA220" s="8">
        <v>72.709999999999994</v>
      </c>
      <c r="CB220" s="8">
        <v>95.74</v>
      </c>
      <c r="CC220" s="8">
        <v>65.599999999999994</v>
      </c>
      <c r="CD220" s="8">
        <v>44.48</v>
      </c>
      <c r="CE220" s="8">
        <v>42.54</v>
      </c>
      <c r="CF220" s="8">
        <v>46.72</v>
      </c>
      <c r="CG220" s="8">
        <v>39.51</v>
      </c>
      <c r="CH220" s="8">
        <v>33.49</v>
      </c>
      <c r="CI220" s="8">
        <v>68.55</v>
      </c>
      <c r="CJ220" s="8">
        <v>67.14</v>
      </c>
      <c r="CK220" s="8">
        <v>80.260000000000005</v>
      </c>
      <c r="CL220" s="8">
        <v>27.28</v>
      </c>
      <c r="CM220" s="8">
        <v>25.21</v>
      </c>
      <c r="CN220" s="8">
        <v>43.67</v>
      </c>
      <c r="CO220" s="8">
        <v>59.98</v>
      </c>
      <c r="CP220" s="8">
        <v>60.43</v>
      </c>
      <c r="CQ220" s="8">
        <v>97.95</v>
      </c>
      <c r="CR220" s="8">
        <v>50.76</v>
      </c>
      <c r="CS220" s="8">
        <v>49.51</v>
      </c>
      <c r="CT220" s="8">
        <v>49.43</v>
      </c>
      <c r="CU220" s="8">
        <v>39.65</v>
      </c>
      <c r="CV220" s="8">
        <v>55.64</v>
      </c>
      <c r="CW220" s="8">
        <v>55.64</v>
      </c>
      <c r="CX220" s="8">
        <v>115.34</v>
      </c>
      <c r="CY220" s="8">
        <v>115.34</v>
      </c>
      <c r="CZ220" s="8">
        <v>40.08</v>
      </c>
      <c r="DA220" s="8">
        <v>120.94</v>
      </c>
      <c r="DB220" s="8">
        <v>72.22</v>
      </c>
      <c r="DC220" s="8">
        <v>307.7</v>
      </c>
      <c r="DD220" s="8">
        <v>1002.77</v>
      </c>
      <c r="DE220" s="8">
        <v>83.7</v>
      </c>
      <c r="DF220" s="8">
        <v>61.42</v>
      </c>
      <c r="DG220" s="8">
        <v>85.94</v>
      </c>
      <c r="DH220" s="8">
        <v>52.4</v>
      </c>
      <c r="DI220" s="8">
        <v>51.16</v>
      </c>
      <c r="DJ220" s="8">
        <v>48.7</v>
      </c>
      <c r="DK220" s="8">
        <v>47.23</v>
      </c>
      <c r="DL220" s="8">
        <v>54.6</v>
      </c>
      <c r="DM220" s="8">
        <v>100.1</v>
      </c>
      <c r="DN220" s="8">
        <v>120.63</v>
      </c>
      <c r="DO220" s="8">
        <v>42.6</v>
      </c>
      <c r="DP220" s="8">
        <v>37.43</v>
      </c>
      <c r="DQ220" s="8">
        <v>43.34</v>
      </c>
      <c r="DR220" s="8">
        <v>42.84</v>
      </c>
      <c r="DS220" s="8">
        <v>31.93</v>
      </c>
      <c r="DT220" s="8">
        <v>31.93</v>
      </c>
      <c r="DU220" s="8">
        <v>33.03</v>
      </c>
      <c r="DV220" s="8">
        <v>25.75</v>
      </c>
      <c r="DW220" s="8">
        <v>37.590000000000003</v>
      </c>
      <c r="DY220" s="8">
        <v>30.7</v>
      </c>
      <c r="DZ220" s="8">
        <v>30.7</v>
      </c>
      <c r="ED220" s="9">
        <v>0.3</v>
      </c>
      <c r="EE220" s="9">
        <v>0.7</v>
      </c>
      <c r="EF220" s="9">
        <v>0.1</v>
      </c>
      <c r="EG220" s="9">
        <v>1.4</v>
      </c>
      <c r="EH220" s="9">
        <v>0.4</v>
      </c>
      <c r="EI220" s="9">
        <v>-2.7</v>
      </c>
      <c r="EJ220" s="9">
        <v>-2.6</v>
      </c>
      <c r="EK220" s="9">
        <v>1.5</v>
      </c>
      <c r="EL220" s="9">
        <v>0.8</v>
      </c>
      <c r="EM220" s="9">
        <v>1.5</v>
      </c>
      <c r="EN220" s="9">
        <v>-1.2</v>
      </c>
      <c r="EO220" s="9">
        <v>1.1000000000000001</v>
      </c>
      <c r="EP220" s="9">
        <v>2.5</v>
      </c>
      <c r="EQ220" s="9">
        <v>3.1</v>
      </c>
      <c r="ER220" s="9">
        <v>-0.8</v>
      </c>
      <c r="ES220" s="9">
        <v>-3.3</v>
      </c>
      <c r="ET220" s="9">
        <v>1</v>
      </c>
      <c r="EU220" s="9">
        <v>3.1</v>
      </c>
      <c r="EV220" s="9">
        <v>0.9</v>
      </c>
      <c r="EW220" s="9">
        <v>5.5</v>
      </c>
      <c r="EX220" s="9">
        <v>-2.7</v>
      </c>
      <c r="EY220" s="9">
        <v>1.2</v>
      </c>
      <c r="EZ220" s="9">
        <v>-1.7</v>
      </c>
      <c r="FA220" s="9">
        <v>-3.1</v>
      </c>
      <c r="FB220" s="9">
        <v>0.8</v>
      </c>
      <c r="FC220" s="9">
        <v>1.2</v>
      </c>
      <c r="FD220" s="9">
        <v>1.4</v>
      </c>
      <c r="FE220" s="9">
        <v>2.9</v>
      </c>
      <c r="FF220" s="9">
        <v>-1.7</v>
      </c>
      <c r="FG220" s="9">
        <v>0.6</v>
      </c>
      <c r="FH220" s="9">
        <v>-2.2999999999999998</v>
      </c>
      <c r="FI220" s="9">
        <v>1.4</v>
      </c>
      <c r="FJ220" s="9">
        <v>0.7</v>
      </c>
      <c r="FK220" s="9">
        <v>1.9</v>
      </c>
      <c r="FL220" s="9">
        <v>1</v>
      </c>
      <c r="FM220" s="9">
        <v>0.5</v>
      </c>
      <c r="FN220" s="9">
        <v>0.1</v>
      </c>
      <c r="FO220" s="9">
        <v>-0.2</v>
      </c>
      <c r="FP220" s="9">
        <v>1.3</v>
      </c>
      <c r="FQ220" s="9">
        <v>2.1</v>
      </c>
      <c r="FR220" s="9">
        <v>2.1</v>
      </c>
      <c r="FS220" s="9">
        <v>-0.4</v>
      </c>
      <c r="FT220" s="9">
        <v>-0.9</v>
      </c>
      <c r="FU220" s="9">
        <v>-2.6</v>
      </c>
      <c r="FV220" s="9">
        <v>0.1</v>
      </c>
      <c r="FW220" s="9">
        <v>-1</v>
      </c>
      <c r="FX220" s="9">
        <v>-0.8</v>
      </c>
      <c r="FY220" s="9">
        <v>0.8</v>
      </c>
      <c r="FZ220" s="9">
        <v>-1.3</v>
      </c>
      <c r="GA220" s="9">
        <v>-1.7</v>
      </c>
      <c r="GB220" s="9">
        <v>1.5</v>
      </c>
      <c r="GC220" s="9">
        <v>2.1</v>
      </c>
      <c r="GD220" s="9">
        <v>2</v>
      </c>
      <c r="GE220" s="9">
        <v>0.3</v>
      </c>
      <c r="GF220" s="9">
        <v>0.6</v>
      </c>
      <c r="GG220" s="9">
        <v>0.6</v>
      </c>
      <c r="GH220" s="9">
        <v>0.3</v>
      </c>
      <c r="GI220" s="9">
        <v>0.3</v>
      </c>
      <c r="GJ220" s="9">
        <v>0.3</v>
      </c>
      <c r="GK220" s="9">
        <v>0.5</v>
      </c>
      <c r="GL220" s="9">
        <v>0</v>
      </c>
      <c r="GM220" s="9">
        <v>-0.1</v>
      </c>
      <c r="GN220" s="9">
        <v>0.2</v>
      </c>
      <c r="GO220" s="9">
        <v>0.5</v>
      </c>
      <c r="GP220" s="9">
        <v>-2</v>
      </c>
      <c r="GQ220" s="9">
        <v>0</v>
      </c>
      <c r="GR220" s="9">
        <v>-0.3</v>
      </c>
      <c r="GS220" s="9">
        <v>-0.5</v>
      </c>
      <c r="GT220" s="9">
        <v>0.3</v>
      </c>
      <c r="GU220" s="9">
        <v>-3.2</v>
      </c>
      <c r="GV220" s="9">
        <v>-3.2</v>
      </c>
      <c r="GW220" s="9">
        <v>-0.8</v>
      </c>
      <c r="GX220" s="9">
        <v>0.5</v>
      </c>
      <c r="GY220" s="9">
        <v>-0.3</v>
      </c>
      <c r="GZ220" s="9">
        <v>-3.7</v>
      </c>
      <c r="HA220" s="9">
        <v>-0.4</v>
      </c>
      <c r="HB220" s="9">
        <v>2.2000000000000002</v>
      </c>
      <c r="HC220" s="9">
        <v>1.2</v>
      </c>
      <c r="HD220" s="9">
        <v>0.8</v>
      </c>
      <c r="HE220" s="9">
        <v>2.4</v>
      </c>
      <c r="HF220" s="9">
        <v>1.1000000000000001</v>
      </c>
      <c r="HG220" s="9">
        <v>2.4</v>
      </c>
      <c r="HH220" s="9">
        <v>0.5</v>
      </c>
      <c r="HI220" s="9">
        <v>1</v>
      </c>
      <c r="HJ220" s="9">
        <v>-0.1</v>
      </c>
      <c r="HK220" s="9">
        <v>-3.2</v>
      </c>
      <c r="HL220" s="9">
        <v>-3.7</v>
      </c>
      <c r="HM220" s="9">
        <v>0.2</v>
      </c>
      <c r="HN220" s="9">
        <v>1</v>
      </c>
      <c r="HO220" s="9">
        <v>1.2</v>
      </c>
      <c r="HP220" s="9">
        <v>0.6</v>
      </c>
      <c r="HQ220" s="9">
        <v>0.6</v>
      </c>
      <c r="HR220" s="9">
        <v>0.5</v>
      </c>
      <c r="HS220" s="9">
        <v>-0.4</v>
      </c>
      <c r="HT220" s="9">
        <v>1</v>
      </c>
      <c r="HU220" s="9">
        <v>1.3</v>
      </c>
      <c r="HV220" s="9">
        <v>1.2</v>
      </c>
      <c r="HW220" s="9">
        <v>0.2</v>
      </c>
      <c r="HX220" s="9">
        <v>0.9</v>
      </c>
      <c r="HY220" s="9">
        <v>0.9</v>
      </c>
      <c r="HZ220" s="9">
        <v>-0.7</v>
      </c>
      <c r="IA220" s="9">
        <v>-0.7</v>
      </c>
      <c r="IB220" s="9">
        <v>0</v>
      </c>
      <c r="IC220" s="9">
        <v>-0.7</v>
      </c>
      <c r="ID220" s="9">
        <v>-0.1</v>
      </c>
      <c r="IE220" s="9">
        <v>0.5</v>
      </c>
      <c r="IF220" s="9">
        <v>0.2</v>
      </c>
      <c r="IG220" s="9">
        <v>1.2</v>
      </c>
      <c r="IH220" s="9">
        <v>-0.4</v>
      </c>
      <c r="II220" s="9">
        <v>-1.4</v>
      </c>
      <c r="IJ220" s="9">
        <v>0</v>
      </c>
      <c r="IK220" s="9">
        <v>-0.2</v>
      </c>
      <c r="IL220" s="9">
        <v>-0.1</v>
      </c>
      <c r="IM220" s="9">
        <v>-0.1</v>
      </c>
      <c r="IN220" s="9">
        <v>-0.3</v>
      </c>
      <c r="IO220" s="9">
        <v>-1.2</v>
      </c>
      <c r="IP220" s="9">
        <v>-0.4</v>
      </c>
      <c r="IQ220" s="9">
        <v>-2.8</v>
      </c>
    </row>
    <row r="221" spans="1:251" x14ac:dyDescent="0.2">
      <c r="A221" s="10">
        <v>36951</v>
      </c>
      <c r="B221" s="8">
        <v>51.3</v>
      </c>
      <c r="C221" s="8">
        <v>50.1</v>
      </c>
      <c r="D221" s="8">
        <v>55.25</v>
      </c>
      <c r="E221" s="8">
        <v>55.1</v>
      </c>
      <c r="F221" s="8">
        <v>52.86</v>
      </c>
      <c r="G221" s="8">
        <v>62.97</v>
      </c>
      <c r="H221" s="8">
        <v>59.69</v>
      </c>
      <c r="I221" s="8">
        <v>49.69</v>
      </c>
      <c r="J221" s="8">
        <v>40.1</v>
      </c>
      <c r="K221" s="8">
        <v>52.37</v>
      </c>
      <c r="L221" s="8">
        <v>33.06</v>
      </c>
      <c r="M221" s="8">
        <v>75.17</v>
      </c>
      <c r="N221" s="8">
        <v>44.51</v>
      </c>
      <c r="O221" s="8">
        <v>57.39</v>
      </c>
      <c r="P221" s="8">
        <v>54.31</v>
      </c>
      <c r="Q221" s="8">
        <v>58.18</v>
      </c>
      <c r="R221" s="8">
        <v>43.67</v>
      </c>
      <c r="S221" s="8">
        <v>60.43</v>
      </c>
      <c r="T221" s="8">
        <v>50.09</v>
      </c>
      <c r="U221" s="8">
        <v>48.76</v>
      </c>
      <c r="V221" s="8">
        <v>51.22</v>
      </c>
      <c r="W221" s="8">
        <v>52.94</v>
      </c>
      <c r="X221" s="8">
        <v>45.88</v>
      </c>
      <c r="Y221" s="8">
        <v>54.85</v>
      </c>
      <c r="Z221" s="8">
        <v>65.12</v>
      </c>
      <c r="AA221" s="8">
        <v>35.54</v>
      </c>
      <c r="AB221" s="8">
        <v>50.28</v>
      </c>
      <c r="AC221" s="8">
        <v>63.63</v>
      </c>
      <c r="AD221" s="8">
        <v>52</v>
      </c>
      <c r="AE221" s="8">
        <v>62.22</v>
      </c>
      <c r="AF221" s="8">
        <v>49.8</v>
      </c>
      <c r="AG221" s="8">
        <v>46.82</v>
      </c>
      <c r="AH221" s="8">
        <v>49.07</v>
      </c>
      <c r="AI221" s="8">
        <v>44.53</v>
      </c>
      <c r="AJ221" s="8">
        <v>28.91</v>
      </c>
      <c r="AK221" s="8">
        <v>52.7</v>
      </c>
      <c r="AL221" s="8">
        <v>44.24</v>
      </c>
      <c r="AM221" s="8">
        <v>80.239999999999995</v>
      </c>
      <c r="AN221" s="8">
        <v>41.7</v>
      </c>
      <c r="AO221" s="8">
        <v>10.96</v>
      </c>
      <c r="AP221" s="8">
        <v>10.96</v>
      </c>
      <c r="AQ221" s="8">
        <v>99.8</v>
      </c>
      <c r="AR221" s="8">
        <v>118.19</v>
      </c>
      <c r="AS221" s="8">
        <v>112.36</v>
      </c>
      <c r="AT221" s="8">
        <v>126.43</v>
      </c>
      <c r="AU221" s="8">
        <v>101.08</v>
      </c>
      <c r="AV221" s="8">
        <v>112.24</v>
      </c>
      <c r="AW221" s="8">
        <v>113.15</v>
      </c>
      <c r="AX221" s="8">
        <v>116.93</v>
      </c>
      <c r="AY221" s="8">
        <v>99.96</v>
      </c>
      <c r="AZ221" s="8">
        <v>57.74</v>
      </c>
      <c r="BA221" s="8">
        <v>63.3</v>
      </c>
      <c r="BB221" s="8">
        <v>46.05</v>
      </c>
      <c r="BC221" s="8">
        <v>39.99</v>
      </c>
      <c r="BD221" s="8">
        <v>47.32</v>
      </c>
      <c r="BE221" s="8">
        <v>47.32</v>
      </c>
      <c r="BF221" s="8">
        <v>39.94</v>
      </c>
      <c r="BG221" s="8">
        <v>39.93</v>
      </c>
      <c r="BH221" s="8">
        <v>40.86</v>
      </c>
      <c r="BI221" s="8">
        <v>50.25</v>
      </c>
      <c r="BJ221" s="8">
        <v>29.75</v>
      </c>
      <c r="BK221" s="8">
        <v>30.04</v>
      </c>
      <c r="BL221" s="8">
        <v>34.01</v>
      </c>
      <c r="BM221" s="8">
        <v>31.58</v>
      </c>
      <c r="BN221" s="8">
        <v>24.13</v>
      </c>
      <c r="BO221" s="8">
        <v>73.3</v>
      </c>
      <c r="BP221" s="8">
        <v>73.52</v>
      </c>
      <c r="BQ221" s="8">
        <v>79.650000000000006</v>
      </c>
      <c r="BR221" s="8">
        <v>53.47</v>
      </c>
      <c r="BS221" s="8">
        <v>127.96</v>
      </c>
      <c r="BT221" s="8">
        <v>127.96</v>
      </c>
      <c r="BU221" s="8">
        <v>106.32</v>
      </c>
      <c r="BV221" s="8">
        <v>108.78</v>
      </c>
      <c r="BW221" s="8">
        <v>119.95</v>
      </c>
      <c r="BX221" s="8">
        <v>124.15</v>
      </c>
      <c r="BY221" s="8">
        <v>76.55</v>
      </c>
      <c r="BZ221" s="8">
        <v>76.989999999999995</v>
      </c>
      <c r="CA221" s="8">
        <v>74.069999999999993</v>
      </c>
      <c r="CB221" s="8">
        <v>95.22</v>
      </c>
      <c r="CC221" s="8">
        <v>66.510000000000005</v>
      </c>
      <c r="CD221" s="8">
        <v>44.99</v>
      </c>
      <c r="CE221" s="8">
        <v>44.5</v>
      </c>
      <c r="CF221" s="8">
        <v>47.06</v>
      </c>
      <c r="CG221" s="8">
        <v>39.96</v>
      </c>
      <c r="CH221" s="8">
        <v>34.409999999999997</v>
      </c>
      <c r="CI221" s="8">
        <v>74.13</v>
      </c>
      <c r="CJ221" s="8">
        <v>73.39</v>
      </c>
      <c r="CK221" s="8">
        <v>80.61</v>
      </c>
      <c r="CL221" s="8">
        <v>27.49</v>
      </c>
      <c r="CM221" s="8">
        <v>25.37</v>
      </c>
      <c r="CN221" s="8">
        <v>44.21</v>
      </c>
      <c r="CO221" s="8">
        <v>60.12</v>
      </c>
      <c r="CP221" s="8">
        <v>60.52</v>
      </c>
      <c r="CQ221" s="8">
        <v>99.82</v>
      </c>
      <c r="CR221" s="8">
        <v>51.6</v>
      </c>
      <c r="CS221" s="8">
        <v>47.71</v>
      </c>
      <c r="CT221" s="8">
        <v>50.82</v>
      </c>
      <c r="CU221" s="8">
        <v>39.869999999999997</v>
      </c>
      <c r="CV221" s="8">
        <v>56.58</v>
      </c>
      <c r="CW221" s="8">
        <v>56.58</v>
      </c>
      <c r="CX221" s="8">
        <v>114.78</v>
      </c>
      <c r="CY221" s="8">
        <v>114.78</v>
      </c>
      <c r="CZ221" s="8">
        <v>40.08</v>
      </c>
      <c r="DA221" s="8">
        <v>120.32</v>
      </c>
      <c r="DB221" s="8">
        <v>72.13</v>
      </c>
      <c r="DC221" s="8">
        <v>309.55</v>
      </c>
      <c r="DD221" s="8">
        <v>1005.27</v>
      </c>
      <c r="DE221" s="8">
        <v>84.68</v>
      </c>
      <c r="DF221" s="8">
        <v>62.42</v>
      </c>
      <c r="DG221" s="8">
        <v>87.36</v>
      </c>
      <c r="DH221" s="8">
        <v>53.29</v>
      </c>
      <c r="DI221" s="8">
        <v>49.8</v>
      </c>
      <c r="DJ221" s="8">
        <v>46.15</v>
      </c>
      <c r="DK221" s="8">
        <v>47.56</v>
      </c>
      <c r="DL221" s="8">
        <v>55.44</v>
      </c>
      <c r="DM221" s="8">
        <v>100.89</v>
      </c>
      <c r="DN221" s="8">
        <v>126.55</v>
      </c>
      <c r="DO221" s="8">
        <v>43.69</v>
      </c>
      <c r="DP221" s="8">
        <v>37.880000000000003</v>
      </c>
      <c r="DQ221" s="8">
        <v>43.74</v>
      </c>
      <c r="DR221" s="8">
        <v>43.25</v>
      </c>
      <c r="DS221" s="8">
        <v>33.270000000000003</v>
      </c>
      <c r="DT221" s="8">
        <v>33.270000000000003</v>
      </c>
      <c r="DU221" s="8">
        <v>34.47</v>
      </c>
      <c r="DV221" s="8">
        <v>27.38</v>
      </c>
      <c r="DW221" s="8">
        <v>38.549999999999997</v>
      </c>
      <c r="DY221" s="8">
        <v>31.24</v>
      </c>
      <c r="DZ221" s="8">
        <v>31.24</v>
      </c>
      <c r="ED221" s="9">
        <v>1.1000000000000001</v>
      </c>
      <c r="EE221" s="9">
        <v>3.2</v>
      </c>
      <c r="EF221" s="9">
        <v>2.2000000000000002</v>
      </c>
      <c r="EG221" s="9">
        <v>2.8</v>
      </c>
      <c r="EH221" s="9">
        <v>1.8</v>
      </c>
      <c r="EI221" s="9">
        <v>1.1000000000000001</v>
      </c>
      <c r="EJ221" s="9">
        <v>2.6</v>
      </c>
      <c r="EK221" s="9">
        <v>4</v>
      </c>
      <c r="EL221" s="9">
        <v>4.5999999999999996</v>
      </c>
      <c r="EM221" s="9">
        <v>3.6</v>
      </c>
      <c r="EN221" s="9">
        <v>7</v>
      </c>
      <c r="EO221" s="9">
        <v>4.4000000000000004</v>
      </c>
      <c r="EP221" s="9">
        <v>3.4</v>
      </c>
      <c r="EQ221" s="9">
        <v>2.4</v>
      </c>
      <c r="ER221" s="9">
        <v>0.9</v>
      </c>
      <c r="ES221" s="9">
        <v>0.2</v>
      </c>
      <c r="ET221" s="9">
        <v>1</v>
      </c>
      <c r="EU221" s="9">
        <v>2.2999999999999998</v>
      </c>
      <c r="EV221" s="9">
        <v>13.6</v>
      </c>
      <c r="EW221" s="9">
        <v>6.1</v>
      </c>
      <c r="EX221" s="9">
        <v>20</v>
      </c>
      <c r="EY221" s="9">
        <v>0.7</v>
      </c>
      <c r="EZ221" s="9">
        <v>1</v>
      </c>
      <c r="FA221" s="9">
        <v>3.9</v>
      </c>
      <c r="FB221" s="9">
        <v>0.9</v>
      </c>
      <c r="FC221" s="9">
        <v>-0.5</v>
      </c>
      <c r="FD221" s="9">
        <v>0.8</v>
      </c>
      <c r="FE221" s="9">
        <v>-0.1</v>
      </c>
      <c r="FF221" s="9">
        <v>3.1</v>
      </c>
      <c r="FG221" s="9">
        <v>0.5</v>
      </c>
      <c r="FH221" s="9">
        <v>3.8</v>
      </c>
      <c r="FI221" s="9">
        <v>0.6</v>
      </c>
      <c r="FJ221" s="9">
        <v>0.6</v>
      </c>
      <c r="FK221" s="9">
        <v>0.7</v>
      </c>
      <c r="FL221" s="9">
        <v>2.6</v>
      </c>
      <c r="FM221" s="9">
        <v>1.9</v>
      </c>
      <c r="FN221" s="9">
        <v>2</v>
      </c>
      <c r="FO221" s="9">
        <v>1.6</v>
      </c>
      <c r="FP221" s="9">
        <v>2.1</v>
      </c>
      <c r="FQ221" s="9">
        <v>4</v>
      </c>
      <c r="FR221" s="9">
        <v>4</v>
      </c>
      <c r="FS221" s="9">
        <v>-2.1</v>
      </c>
      <c r="FT221" s="9">
        <v>-3</v>
      </c>
      <c r="FU221" s="9">
        <v>-2</v>
      </c>
      <c r="FV221" s="9">
        <v>-3.7</v>
      </c>
      <c r="FW221" s="9">
        <v>-2.7</v>
      </c>
      <c r="FX221" s="9">
        <v>-0.3</v>
      </c>
      <c r="FY221" s="9">
        <v>-1.6</v>
      </c>
      <c r="FZ221" s="9">
        <v>0.3</v>
      </c>
      <c r="GA221" s="9">
        <v>0.3</v>
      </c>
      <c r="GB221" s="9">
        <v>-0.8</v>
      </c>
      <c r="GC221" s="9">
        <v>-1.4</v>
      </c>
      <c r="GD221" s="9">
        <v>0</v>
      </c>
      <c r="GE221" s="9">
        <v>0.4</v>
      </c>
      <c r="GF221" s="9">
        <v>0.9</v>
      </c>
      <c r="GG221" s="9">
        <v>0.9</v>
      </c>
      <c r="GH221" s="9">
        <v>0.2</v>
      </c>
      <c r="GI221" s="9">
        <v>0.2</v>
      </c>
      <c r="GJ221" s="9">
        <v>0.4</v>
      </c>
      <c r="GK221" s="9">
        <v>1.1000000000000001</v>
      </c>
      <c r="GL221" s="9">
        <v>-0.6</v>
      </c>
      <c r="GM221" s="9">
        <v>0.2</v>
      </c>
      <c r="GN221" s="9">
        <v>-0.4</v>
      </c>
      <c r="GO221" s="9">
        <v>0.6</v>
      </c>
      <c r="GP221" s="9">
        <v>0</v>
      </c>
      <c r="GQ221" s="9">
        <v>0.8</v>
      </c>
      <c r="GR221" s="9">
        <v>-0.2</v>
      </c>
      <c r="GS221" s="9">
        <v>-0.3</v>
      </c>
      <c r="GT221" s="9">
        <v>0.3</v>
      </c>
      <c r="GU221" s="9">
        <v>0.7</v>
      </c>
      <c r="GV221" s="9">
        <v>0.7</v>
      </c>
      <c r="GW221" s="9">
        <v>1.4</v>
      </c>
      <c r="GX221" s="9">
        <v>2.2000000000000002</v>
      </c>
      <c r="GY221" s="9">
        <v>1.3</v>
      </c>
      <c r="GZ221" s="9">
        <v>0</v>
      </c>
      <c r="HA221" s="9">
        <v>1.1000000000000001</v>
      </c>
      <c r="HB221" s="9">
        <v>1.5</v>
      </c>
      <c r="HC221" s="9">
        <v>1.9</v>
      </c>
      <c r="HD221" s="9">
        <v>-0.5</v>
      </c>
      <c r="HE221" s="9">
        <v>1.4</v>
      </c>
      <c r="HF221" s="9">
        <v>1.1000000000000001</v>
      </c>
      <c r="HG221" s="9">
        <v>4.5999999999999996</v>
      </c>
      <c r="HH221" s="9">
        <v>0.7</v>
      </c>
      <c r="HI221" s="9">
        <v>1.1000000000000001</v>
      </c>
      <c r="HJ221" s="9">
        <v>2.7</v>
      </c>
      <c r="HK221" s="9">
        <v>8.1</v>
      </c>
      <c r="HL221" s="9">
        <v>9.3000000000000007</v>
      </c>
      <c r="HM221" s="9">
        <v>0.4</v>
      </c>
      <c r="HN221" s="9">
        <v>0.8</v>
      </c>
      <c r="HO221" s="9">
        <v>0.6</v>
      </c>
      <c r="HP221" s="9">
        <v>1.2</v>
      </c>
      <c r="HQ221" s="9">
        <v>0.2</v>
      </c>
      <c r="HR221" s="9">
        <v>0.1</v>
      </c>
      <c r="HS221" s="9">
        <v>1.9</v>
      </c>
      <c r="HT221" s="9">
        <v>1.7</v>
      </c>
      <c r="HU221" s="9">
        <v>-3.6</v>
      </c>
      <c r="HV221" s="9">
        <v>2.8</v>
      </c>
      <c r="HW221" s="9">
        <v>0.6</v>
      </c>
      <c r="HX221" s="9">
        <v>1.7</v>
      </c>
      <c r="HY221" s="9">
        <v>1.7</v>
      </c>
      <c r="HZ221" s="9">
        <v>-0.5</v>
      </c>
      <c r="IA221" s="9">
        <v>-0.5</v>
      </c>
      <c r="IB221" s="9">
        <v>0</v>
      </c>
      <c r="IC221" s="9">
        <v>-0.5</v>
      </c>
      <c r="ID221" s="9">
        <v>-0.1</v>
      </c>
      <c r="IE221" s="9">
        <v>0.6</v>
      </c>
      <c r="IF221" s="9">
        <v>0.2</v>
      </c>
      <c r="IG221" s="9">
        <v>1.2</v>
      </c>
      <c r="IH221" s="9">
        <v>1.6</v>
      </c>
      <c r="II221" s="9">
        <v>1.7</v>
      </c>
      <c r="IJ221" s="9">
        <v>1.7</v>
      </c>
      <c r="IK221" s="9">
        <v>-2.7</v>
      </c>
      <c r="IL221" s="9">
        <v>-5.2</v>
      </c>
      <c r="IM221" s="9">
        <v>0.7</v>
      </c>
      <c r="IN221" s="9">
        <v>1.5</v>
      </c>
      <c r="IO221" s="9">
        <v>0.8</v>
      </c>
      <c r="IP221" s="9">
        <v>4.9000000000000004</v>
      </c>
      <c r="IQ221" s="9">
        <v>2.6</v>
      </c>
    </row>
    <row r="222" spans="1:251" x14ac:dyDescent="0.2">
      <c r="A222" s="10">
        <v>37043</v>
      </c>
      <c r="B222" s="8">
        <v>51.73</v>
      </c>
      <c r="C222" s="8">
        <v>50.55</v>
      </c>
      <c r="D222" s="8">
        <v>56.07</v>
      </c>
      <c r="E222" s="8">
        <v>55.69</v>
      </c>
      <c r="F222" s="8">
        <v>53.72</v>
      </c>
      <c r="G222" s="8">
        <v>63.8</v>
      </c>
      <c r="H222" s="8">
        <v>61.16</v>
      </c>
      <c r="I222" s="8">
        <v>51.87</v>
      </c>
      <c r="J222" s="8">
        <v>43.71</v>
      </c>
      <c r="K222" s="8">
        <v>54.4</v>
      </c>
      <c r="L222" s="8">
        <v>36.65</v>
      </c>
      <c r="M222" s="8">
        <v>75.760000000000005</v>
      </c>
      <c r="N222" s="8">
        <v>46.8</v>
      </c>
      <c r="O222" s="8">
        <v>56.64</v>
      </c>
      <c r="P222" s="8">
        <v>54.7</v>
      </c>
      <c r="Q222" s="8">
        <v>58.44</v>
      </c>
      <c r="R222" s="8">
        <v>44.03</v>
      </c>
      <c r="S222" s="8">
        <v>61.12</v>
      </c>
      <c r="T222" s="8">
        <v>47.26</v>
      </c>
      <c r="U222" s="8">
        <v>45.52</v>
      </c>
      <c r="V222" s="8">
        <v>48.73</v>
      </c>
      <c r="W222" s="8">
        <v>53.77</v>
      </c>
      <c r="X222" s="8">
        <v>48.55</v>
      </c>
      <c r="Y222" s="8">
        <v>55.97</v>
      </c>
      <c r="Z222" s="8">
        <v>65.540000000000006</v>
      </c>
      <c r="AA222" s="8">
        <v>36.35</v>
      </c>
      <c r="AB222" s="8">
        <v>50.72</v>
      </c>
      <c r="AC222" s="8">
        <v>64.91</v>
      </c>
      <c r="AD222" s="8">
        <v>53.36</v>
      </c>
      <c r="AE222" s="8">
        <v>64.55</v>
      </c>
      <c r="AF222" s="8">
        <v>50.95</v>
      </c>
      <c r="AG222" s="8">
        <v>47.4</v>
      </c>
      <c r="AH222" s="8">
        <v>49.66</v>
      </c>
      <c r="AI222" s="8">
        <v>45.09</v>
      </c>
      <c r="AJ222" s="8">
        <v>29.25</v>
      </c>
      <c r="AK222" s="8">
        <v>53.1</v>
      </c>
      <c r="AL222" s="8">
        <v>44.61</v>
      </c>
      <c r="AM222" s="8">
        <v>81.63</v>
      </c>
      <c r="AN222" s="8">
        <v>41.71</v>
      </c>
      <c r="AO222" s="8">
        <v>11.18</v>
      </c>
      <c r="AP222" s="8">
        <v>11.18</v>
      </c>
      <c r="AQ222" s="8">
        <v>101.42</v>
      </c>
      <c r="AR222" s="8">
        <v>120.7</v>
      </c>
      <c r="AS222" s="8">
        <v>113.66</v>
      </c>
      <c r="AT222" s="8">
        <v>129.93</v>
      </c>
      <c r="AU222" s="8">
        <v>103.14</v>
      </c>
      <c r="AV222" s="8">
        <v>113.19</v>
      </c>
      <c r="AW222" s="8">
        <v>115.55</v>
      </c>
      <c r="AX222" s="8">
        <v>116.83</v>
      </c>
      <c r="AY222" s="8">
        <v>101.08</v>
      </c>
      <c r="AZ222" s="8">
        <v>58.07</v>
      </c>
      <c r="BA222" s="8">
        <v>63.82</v>
      </c>
      <c r="BB222" s="8">
        <v>45.87</v>
      </c>
      <c r="BC222" s="8">
        <v>40.06</v>
      </c>
      <c r="BD222" s="8">
        <v>47.79</v>
      </c>
      <c r="BE222" s="8">
        <v>47.79</v>
      </c>
      <c r="BF222" s="8">
        <v>39.81</v>
      </c>
      <c r="BG222" s="8">
        <v>39.82</v>
      </c>
      <c r="BH222" s="8">
        <v>41</v>
      </c>
      <c r="BI222" s="8">
        <v>50.51</v>
      </c>
      <c r="BJ222" s="8">
        <v>29.75</v>
      </c>
      <c r="BK222" s="8">
        <v>29.99</v>
      </c>
      <c r="BL222" s="8">
        <v>34.01</v>
      </c>
      <c r="BM222" s="8">
        <v>31.3</v>
      </c>
      <c r="BN222" s="8">
        <v>24.44</v>
      </c>
      <c r="BO222" s="8">
        <v>74.569999999999993</v>
      </c>
      <c r="BP222" s="8">
        <v>75.22</v>
      </c>
      <c r="BQ222" s="8">
        <v>81.37</v>
      </c>
      <c r="BR222" s="8">
        <v>55.02</v>
      </c>
      <c r="BS222" s="8">
        <v>130.29</v>
      </c>
      <c r="BT222" s="8">
        <v>130.29</v>
      </c>
      <c r="BU222" s="8">
        <v>107.42</v>
      </c>
      <c r="BV222" s="8">
        <v>108.95</v>
      </c>
      <c r="BW222" s="8">
        <v>119.07</v>
      </c>
      <c r="BX222" s="8">
        <v>127.8</v>
      </c>
      <c r="BY222" s="8">
        <v>78.260000000000005</v>
      </c>
      <c r="BZ222" s="8">
        <v>78.459999999999994</v>
      </c>
      <c r="CA222" s="8">
        <v>75.31</v>
      </c>
      <c r="CB222" s="8">
        <v>96.73</v>
      </c>
      <c r="CC222" s="8">
        <v>67.81</v>
      </c>
      <c r="CD222" s="8">
        <v>45.26</v>
      </c>
      <c r="CE222" s="8">
        <v>44.67</v>
      </c>
      <c r="CF222" s="8">
        <v>47.23</v>
      </c>
      <c r="CG222" s="8">
        <v>40.200000000000003</v>
      </c>
      <c r="CH222" s="8">
        <v>34.479999999999997</v>
      </c>
      <c r="CI222" s="8">
        <v>73.650000000000006</v>
      </c>
      <c r="CJ222" s="8">
        <v>72.8</v>
      </c>
      <c r="CK222" s="8">
        <v>80.930000000000007</v>
      </c>
      <c r="CL222" s="8">
        <v>27.64</v>
      </c>
      <c r="CM222" s="8">
        <v>25.48</v>
      </c>
      <c r="CN222" s="8">
        <v>44.71</v>
      </c>
      <c r="CO222" s="8">
        <v>61.31</v>
      </c>
      <c r="CP222" s="8">
        <v>61.8</v>
      </c>
      <c r="CQ222" s="8">
        <v>101.84</v>
      </c>
      <c r="CR222" s="8">
        <v>53.02</v>
      </c>
      <c r="CS222" s="8">
        <v>49.22</v>
      </c>
      <c r="CT222" s="8">
        <v>51.34</v>
      </c>
      <c r="CU222" s="8">
        <v>39.869999999999997</v>
      </c>
      <c r="CV222" s="8">
        <v>56.58</v>
      </c>
      <c r="CW222" s="8">
        <v>56.58</v>
      </c>
      <c r="CX222" s="8">
        <v>114.11</v>
      </c>
      <c r="CY222" s="8">
        <v>114.11</v>
      </c>
      <c r="CZ222" s="8">
        <v>40.08</v>
      </c>
      <c r="DA222" s="8">
        <v>119.57</v>
      </c>
      <c r="DB222" s="8">
        <v>72.069999999999993</v>
      </c>
      <c r="DC222" s="8">
        <v>303.68</v>
      </c>
      <c r="DD222" s="8">
        <v>970.84</v>
      </c>
      <c r="DE222" s="8">
        <v>85.09</v>
      </c>
      <c r="DF222" s="8">
        <v>62.68</v>
      </c>
      <c r="DG222" s="8">
        <v>89.15</v>
      </c>
      <c r="DH222" s="8">
        <v>53.15</v>
      </c>
      <c r="DI222" s="8">
        <v>49.8</v>
      </c>
      <c r="DJ222" s="8">
        <v>45.14</v>
      </c>
      <c r="DK222" s="8">
        <v>48.83</v>
      </c>
      <c r="DL222" s="8">
        <v>55.7</v>
      </c>
      <c r="DM222" s="8">
        <v>101.11</v>
      </c>
      <c r="DN222" s="8">
        <v>129.07</v>
      </c>
      <c r="DO222" s="8">
        <v>43.28</v>
      </c>
      <c r="DP222" s="8">
        <v>38.18</v>
      </c>
      <c r="DQ222" s="8">
        <v>43.87</v>
      </c>
      <c r="DR222" s="8">
        <v>43.45</v>
      </c>
      <c r="DS222" s="8">
        <v>33.270000000000003</v>
      </c>
      <c r="DT222" s="8">
        <v>33.270000000000003</v>
      </c>
      <c r="DU222" s="8">
        <v>34.47</v>
      </c>
      <c r="DV222" s="8">
        <v>27.38</v>
      </c>
      <c r="DW222" s="8">
        <v>38.549999999999997</v>
      </c>
      <c r="DY222" s="8">
        <v>31.74</v>
      </c>
      <c r="DZ222" s="8">
        <v>31.74</v>
      </c>
      <c r="ED222" s="9">
        <v>0.8</v>
      </c>
      <c r="EE222" s="9">
        <v>0.9</v>
      </c>
      <c r="EF222" s="9">
        <v>1.5</v>
      </c>
      <c r="EG222" s="9">
        <v>1.1000000000000001</v>
      </c>
      <c r="EH222" s="9">
        <v>1.6</v>
      </c>
      <c r="EI222" s="9">
        <v>1.3</v>
      </c>
      <c r="EJ222" s="9">
        <v>2.5</v>
      </c>
      <c r="EK222" s="9">
        <v>4.4000000000000004</v>
      </c>
      <c r="EL222" s="9">
        <v>9</v>
      </c>
      <c r="EM222" s="9">
        <v>3.9</v>
      </c>
      <c r="EN222" s="9">
        <v>10.9</v>
      </c>
      <c r="EO222" s="9">
        <v>0.8</v>
      </c>
      <c r="EP222" s="9">
        <v>5.0999999999999996</v>
      </c>
      <c r="EQ222" s="9">
        <v>-1.3</v>
      </c>
      <c r="ER222" s="9">
        <v>0.7</v>
      </c>
      <c r="ES222" s="9">
        <v>0.4</v>
      </c>
      <c r="ET222" s="9">
        <v>0.8</v>
      </c>
      <c r="EU222" s="9">
        <v>1.1000000000000001</v>
      </c>
      <c r="EV222" s="9">
        <v>-5.6</v>
      </c>
      <c r="EW222" s="9">
        <v>-6.6</v>
      </c>
      <c r="EX222" s="9">
        <v>-4.9000000000000004</v>
      </c>
      <c r="EY222" s="9">
        <v>1.6</v>
      </c>
      <c r="EZ222" s="9">
        <v>5.8</v>
      </c>
      <c r="FA222" s="9">
        <v>2</v>
      </c>
      <c r="FB222" s="9">
        <v>0.6</v>
      </c>
      <c r="FC222" s="9">
        <v>2.2999999999999998</v>
      </c>
      <c r="FD222" s="9">
        <v>0.9</v>
      </c>
      <c r="FE222" s="9">
        <v>2</v>
      </c>
      <c r="FF222" s="9">
        <v>2.6</v>
      </c>
      <c r="FG222" s="9">
        <v>3.7</v>
      </c>
      <c r="FH222" s="9">
        <v>2.2999999999999998</v>
      </c>
      <c r="FI222" s="9">
        <v>1.2</v>
      </c>
      <c r="FJ222" s="9">
        <v>1.2</v>
      </c>
      <c r="FK222" s="9">
        <v>1.3</v>
      </c>
      <c r="FL222" s="9">
        <v>1.2</v>
      </c>
      <c r="FM222" s="9">
        <v>0.8</v>
      </c>
      <c r="FN222" s="9">
        <v>0.8</v>
      </c>
      <c r="FO222" s="9">
        <v>1.7</v>
      </c>
      <c r="FP222" s="9">
        <v>0</v>
      </c>
      <c r="FQ222" s="9">
        <v>2</v>
      </c>
      <c r="FR222" s="9">
        <v>2</v>
      </c>
      <c r="FS222" s="9">
        <v>1.6</v>
      </c>
      <c r="FT222" s="9">
        <v>2.1</v>
      </c>
      <c r="FU222" s="9">
        <v>1.2</v>
      </c>
      <c r="FV222" s="9">
        <v>2.8</v>
      </c>
      <c r="FW222" s="9">
        <v>2</v>
      </c>
      <c r="FX222" s="9">
        <v>0.8</v>
      </c>
      <c r="FY222" s="9">
        <v>2.1</v>
      </c>
      <c r="FZ222" s="9">
        <v>-0.1</v>
      </c>
      <c r="GA222" s="9">
        <v>1.1000000000000001</v>
      </c>
      <c r="GB222" s="9">
        <v>0.6</v>
      </c>
      <c r="GC222" s="9">
        <v>0.8</v>
      </c>
      <c r="GD222" s="9">
        <v>-0.4</v>
      </c>
      <c r="GE222" s="9">
        <v>0.2</v>
      </c>
      <c r="GF222" s="9">
        <v>1</v>
      </c>
      <c r="GG222" s="9">
        <v>1</v>
      </c>
      <c r="GH222" s="9">
        <v>-0.3</v>
      </c>
      <c r="GI222" s="9">
        <v>-0.3</v>
      </c>
      <c r="GJ222" s="9">
        <v>0.3</v>
      </c>
      <c r="GK222" s="9">
        <v>0.5</v>
      </c>
      <c r="GL222" s="9">
        <v>0</v>
      </c>
      <c r="GM222" s="9">
        <v>-0.2</v>
      </c>
      <c r="GN222" s="9">
        <v>0</v>
      </c>
      <c r="GO222" s="9">
        <v>-0.9</v>
      </c>
      <c r="GP222" s="9">
        <v>1.3</v>
      </c>
      <c r="GQ222" s="9">
        <v>1.7</v>
      </c>
      <c r="GR222" s="9">
        <v>2.2999999999999998</v>
      </c>
      <c r="GS222" s="9">
        <v>2.2000000000000002</v>
      </c>
      <c r="GT222" s="9">
        <v>2.9</v>
      </c>
      <c r="GU222" s="9">
        <v>1.8</v>
      </c>
      <c r="GV222" s="9">
        <v>1.8</v>
      </c>
      <c r="GW222" s="9">
        <v>1</v>
      </c>
      <c r="GX222" s="9">
        <v>0.2</v>
      </c>
      <c r="GY222" s="9">
        <v>-0.7</v>
      </c>
      <c r="GZ222" s="9">
        <v>2.9</v>
      </c>
      <c r="HA222" s="9">
        <v>2.2000000000000002</v>
      </c>
      <c r="HB222" s="9">
        <v>1.9</v>
      </c>
      <c r="HC222" s="9">
        <v>1.7</v>
      </c>
      <c r="HD222" s="9">
        <v>1.6</v>
      </c>
      <c r="HE222" s="9">
        <v>2</v>
      </c>
      <c r="HF222" s="9">
        <v>0.6</v>
      </c>
      <c r="HG222" s="9">
        <v>0.4</v>
      </c>
      <c r="HH222" s="9">
        <v>0.4</v>
      </c>
      <c r="HI222" s="9">
        <v>0.6</v>
      </c>
      <c r="HJ222" s="9">
        <v>0.2</v>
      </c>
      <c r="HK222" s="9">
        <v>-0.6</v>
      </c>
      <c r="HL222" s="9">
        <v>-0.8</v>
      </c>
      <c r="HM222" s="9">
        <v>0.4</v>
      </c>
      <c r="HN222" s="9">
        <v>0.5</v>
      </c>
      <c r="HO222" s="9">
        <v>0.4</v>
      </c>
      <c r="HP222" s="9">
        <v>1.1000000000000001</v>
      </c>
      <c r="HQ222" s="9">
        <v>2</v>
      </c>
      <c r="HR222" s="9">
        <v>2.1</v>
      </c>
      <c r="HS222" s="9">
        <v>2</v>
      </c>
      <c r="HT222" s="9">
        <v>2.8</v>
      </c>
      <c r="HU222" s="9">
        <v>3.2</v>
      </c>
      <c r="HV222" s="9">
        <v>1</v>
      </c>
      <c r="HW222" s="9">
        <v>0</v>
      </c>
      <c r="HX222" s="9">
        <v>0</v>
      </c>
      <c r="HY222" s="9">
        <v>0</v>
      </c>
      <c r="HZ222" s="9">
        <v>-0.6</v>
      </c>
      <c r="IA222" s="9">
        <v>-0.6</v>
      </c>
      <c r="IB222" s="9">
        <v>0</v>
      </c>
      <c r="IC222" s="9">
        <v>-0.6</v>
      </c>
      <c r="ID222" s="9">
        <v>-0.1</v>
      </c>
      <c r="IE222" s="9">
        <v>-1.9</v>
      </c>
      <c r="IF222" s="9">
        <v>-3.4</v>
      </c>
      <c r="IG222" s="9">
        <v>0.5</v>
      </c>
      <c r="IH222" s="9">
        <v>0.4</v>
      </c>
      <c r="II222" s="9">
        <v>2</v>
      </c>
      <c r="IJ222" s="9">
        <v>-0.3</v>
      </c>
      <c r="IK222" s="9">
        <v>0</v>
      </c>
      <c r="IL222" s="9">
        <v>-2.2000000000000002</v>
      </c>
      <c r="IM222" s="9">
        <v>2.7</v>
      </c>
      <c r="IN222" s="9">
        <v>0.5</v>
      </c>
      <c r="IO222" s="9">
        <v>0.2</v>
      </c>
      <c r="IP222" s="9">
        <v>2</v>
      </c>
      <c r="IQ222" s="9">
        <v>-0.9</v>
      </c>
    </row>
    <row r="223" spans="1:251" x14ac:dyDescent="0.2">
      <c r="A223" s="10">
        <v>37135</v>
      </c>
      <c r="B223" s="8">
        <v>51.87</v>
      </c>
      <c r="C223" s="8">
        <v>50.88</v>
      </c>
      <c r="D223" s="8">
        <v>56.85</v>
      </c>
      <c r="E223" s="8">
        <v>57.01</v>
      </c>
      <c r="F223" s="8">
        <v>53.9</v>
      </c>
      <c r="G223" s="8">
        <v>65.62</v>
      </c>
      <c r="H223" s="8">
        <v>61.62</v>
      </c>
      <c r="I223" s="8">
        <v>53.43</v>
      </c>
      <c r="J223" s="8">
        <v>45.12</v>
      </c>
      <c r="K223" s="8">
        <v>56.99</v>
      </c>
      <c r="L223" s="8">
        <v>38.79</v>
      </c>
      <c r="M223" s="8">
        <v>76.2</v>
      </c>
      <c r="N223" s="8">
        <v>48.17</v>
      </c>
      <c r="O223" s="8">
        <v>57.62</v>
      </c>
      <c r="P223" s="8">
        <v>55.91</v>
      </c>
      <c r="Q223" s="8">
        <v>59.15</v>
      </c>
      <c r="R223" s="8">
        <v>45.57</v>
      </c>
      <c r="S223" s="8">
        <v>63</v>
      </c>
      <c r="T223" s="8">
        <v>46.3</v>
      </c>
      <c r="U223" s="8">
        <v>48.4</v>
      </c>
      <c r="V223" s="8">
        <v>44.65</v>
      </c>
      <c r="W223" s="8">
        <v>54.15</v>
      </c>
      <c r="X223" s="8">
        <v>49.94</v>
      </c>
      <c r="Y223" s="8">
        <v>55.75</v>
      </c>
      <c r="Z223" s="8">
        <v>68.099999999999994</v>
      </c>
      <c r="AA223" s="8">
        <v>36.630000000000003</v>
      </c>
      <c r="AB223" s="8">
        <v>50.82</v>
      </c>
      <c r="AC223" s="8">
        <v>64.849999999999994</v>
      </c>
      <c r="AD223" s="8">
        <v>52.36</v>
      </c>
      <c r="AE223" s="8">
        <v>62.79</v>
      </c>
      <c r="AF223" s="8">
        <v>50.08</v>
      </c>
      <c r="AG223" s="8">
        <v>47.71</v>
      </c>
      <c r="AH223" s="8">
        <v>49.99</v>
      </c>
      <c r="AI223" s="8">
        <v>45.38</v>
      </c>
      <c r="AJ223" s="8">
        <v>29.56</v>
      </c>
      <c r="AK223" s="8">
        <v>53.51</v>
      </c>
      <c r="AL223" s="8">
        <v>44.98</v>
      </c>
      <c r="AM223" s="8">
        <v>82.28</v>
      </c>
      <c r="AN223" s="8">
        <v>42.01</v>
      </c>
      <c r="AO223" s="8">
        <v>11.36</v>
      </c>
      <c r="AP223" s="8">
        <v>11.36</v>
      </c>
      <c r="AQ223" s="8">
        <v>100.15</v>
      </c>
      <c r="AR223" s="8">
        <v>117.88</v>
      </c>
      <c r="AS223" s="8">
        <v>111.85</v>
      </c>
      <c r="AT223" s="8">
        <v>126.41</v>
      </c>
      <c r="AU223" s="8">
        <v>100.42</v>
      </c>
      <c r="AV223" s="8">
        <v>113.28</v>
      </c>
      <c r="AW223" s="8">
        <v>115.55</v>
      </c>
      <c r="AX223" s="8">
        <v>116.36</v>
      </c>
      <c r="AY223" s="8">
        <v>102.32</v>
      </c>
      <c r="AZ223" s="8">
        <v>58.7</v>
      </c>
      <c r="BA223" s="8">
        <v>63.78</v>
      </c>
      <c r="BB223" s="8">
        <v>46.76</v>
      </c>
      <c r="BC223" s="8">
        <v>40.659999999999997</v>
      </c>
      <c r="BD223" s="8">
        <v>48.09</v>
      </c>
      <c r="BE223" s="8">
        <v>48.09</v>
      </c>
      <c r="BF223" s="8">
        <v>40.17</v>
      </c>
      <c r="BG223" s="8">
        <v>40.19</v>
      </c>
      <c r="BH223" s="8">
        <v>42.11</v>
      </c>
      <c r="BI223" s="8">
        <v>51.19</v>
      </c>
      <c r="BJ223" s="8">
        <v>31.2</v>
      </c>
      <c r="BK223" s="8">
        <v>30.96</v>
      </c>
      <c r="BL223" s="8">
        <v>34.979999999999997</v>
      </c>
      <c r="BM223" s="8">
        <v>32.229999999999997</v>
      </c>
      <c r="BN223" s="8">
        <v>25.49</v>
      </c>
      <c r="BO223" s="8">
        <v>74.37</v>
      </c>
      <c r="BP223" s="8">
        <v>74.930000000000007</v>
      </c>
      <c r="BQ223" s="8">
        <v>80.78</v>
      </c>
      <c r="BR223" s="8">
        <v>55.55</v>
      </c>
      <c r="BS223" s="8">
        <v>126.8</v>
      </c>
      <c r="BT223" s="8">
        <v>126.8</v>
      </c>
      <c r="BU223" s="8">
        <v>106.62</v>
      </c>
      <c r="BV223" s="8">
        <v>108.11</v>
      </c>
      <c r="BW223" s="8">
        <v>120.16</v>
      </c>
      <c r="BX223" s="8">
        <v>124.34</v>
      </c>
      <c r="BY223" s="8">
        <v>78.92</v>
      </c>
      <c r="BZ223" s="8">
        <v>79.2</v>
      </c>
      <c r="CA223" s="8">
        <v>75.849999999999994</v>
      </c>
      <c r="CB223" s="8">
        <v>98.26</v>
      </c>
      <c r="CC223" s="8">
        <v>68.5</v>
      </c>
      <c r="CD223" s="8">
        <v>45.56</v>
      </c>
      <c r="CE223" s="8">
        <v>41.8</v>
      </c>
      <c r="CF223" s="8">
        <v>47.35</v>
      </c>
      <c r="CG223" s="8">
        <v>40.479999999999997</v>
      </c>
      <c r="CH223" s="8">
        <v>34.43</v>
      </c>
      <c r="CI223" s="8">
        <v>71.39</v>
      </c>
      <c r="CJ223" s="8">
        <v>70.209999999999994</v>
      </c>
      <c r="CK223" s="8">
        <v>81.400000000000006</v>
      </c>
      <c r="CL223" s="8">
        <v>27.91</v>
      </c>
      <c r="CM223" s="8">
        <v>25.71</v>
      </c>
      <c r="CN223" s="8">
        <v>45.31</v>
      </c>
      <c r="CO223" s="8">
        <v>60.24</v>
      </c>
      <c r="CP223" s="8">
        <v>60.56</v>
      </c>
      <c r="CQ223" s="8">
        <v>102.19</v>
      </c>
      <c r="CR223" s="8">
        <v>53.89</v>
      </c>
      <c r="CS223" s="8">
        <v>45.14</v>
      </c>
      <c r="CT223" s="8">
        <v>52.05</v>
      </c>
      <c r="CU223" s="8">
        <v>40.549999999999997</v>
      </c>
      <c r="CV223" s="8">
        <v>57.92</v>
      </c>
      <c r="CW223" s="8">
        <v>57.92</v>
      </c>
      <c r="CX223" s="8">
        <v>113.87</v>
      </c>
      <c r="CY223" s="8">
        <v>113.87</v>
      </c>
      <c r="CZ223" s="8">
        <v>40.08</v>
      </c>
      <c r="DA223" s="8">
        <v>119.31</v>
      </c>
      <c r="DB223" s="8">
        <v>72.66</v>
      </c>
      <c r="DC223" s="8">
        <v>302.13</v>
      </c>
      <c r="DD223" s="8">
        <v>964.62</v>
      </c>
      <c r="DE223" s="8">
        <v>84.76</v>
      </c>
      <c r="DF223" s="8">
        <v>62.98</v>
      </c>
      <c r="DG223" s="8">
        <v>90.02</v>
      </c>
      <c r="DH223" s="8">
        <v>53.29</v>
      </c>
      <c r="DI223" s="8">
        <v>50.51</v>
      </c>
      <c r="DJ223" s="8">
        <v>45.19</v>
      </c>
      <c r="DK223" s="8">
        <v>50.29</v>
      </c>
      <c r="DL223" s="8">
        <v>56.23</v>
      </c>
      <c r="DM223" s="8">
        <v>102.03</v>
      </c>
      <c r="DN223" s="8">
        <v>126.55</v>
      </c>
      <c r="DO223" s="8">
        <v>45.65</v>
      </c>
      <c r="DP223" s="8">
        <v>38.380000000000003</v>
      </c>
      <c r="DQ223" s="8">
        <v>44.42</v>
      </c>
      <c r="DR223" s="8">
        <v>43.75</v>
      </c>
      <c r="DS223" s="8">
        <v>33.29</v>
      </c>
      <c r="DT223" s="8">
        <v>33.29</v>
      </c>
      <c r="DU223" s="8">
        <v>34.54</v>
      </c>
      <c r="DV223" s="8">
        <v>27.38</v>
      </c>
      <c r="DW223" s="8">
        <v>38.549999999999997</v>
      </c>
      <c r="DY223" s="8">
        <v>32.6</v>
      </c>
      <c r="DZ223" s="8">
        <v>32.6</v>
      </c>
      <c r="ED223" s="9">
        <v>0.3</v>
      </c>
      <c r="EE223" s="9">
        <v>0.7</v>
      </c>
      <c r="EF223" s="9">
        <v>1.4</v>
      </c>
      <c r="EG223" s="9">
        <v>2.4</v>
      </c>
      <c r="EH223" s="9">
        <v>0.3</v>
      </c>
      <c r="EI223" s="9">
        <v>2.9</v>
      </c>
      <c r="EJ223" s="9">
        <v>0.8</v>
      </c>
      <c r="EK223" s="9">
        <v>3</v>
      </c>
      <c r="EL223" s="9">
        <v>3.2</v>
      </c>
      <c r="EM223" s="9">
        <v>4.8</v>
      </c>
      <c r="EN223" s="9">
        <v>5.8</v>
      </c>
      <c r="EO223" s="9">
        <v>0.6</v>
      </c>
      <c r="EP223" s="9">
        <v>2.9</v>
      </c>
      <c r="EQ223" s="9">
        <v>1.7</v>
      </c>
      <c r="ER223" s="9">
        <v>2.2000000000000002</v>
      </c>
      <c r="ES223" s="9">
        <v>1.2</v>
      </c>
      <c r="ET223" s="9">
        <v>3.5</v>
      </c>
      <c r="EU223" s="9">
        <v>3.1</v>
      </c>
      <c r="EV223" s="9">
        <v>-2</v>
      </c>
      <c r="EW223" s="9">
        <v>6.3</v>
      </c>
      <c r="EX223" s="9">
        <v>-8.4</v>
      </c>
      <c r="EY223" s="9">
        <v>0.7</v>
      </c>
      <c r="EZ223" s="9">
        <v>2.9</v>
      </c>
      <c r="FA223" s="9">
        <v>-0.4</v>
      </c>
      <c r="FB223" s="9">
        <v>3.9</v>
      </c>
      <c r="FC223" s="9">
        <v>0.8</v>
      </c>
      <c r="FD223" s="9">
        <v>0.2</v>
      </c>
      <c r="FE223" s="9">
        <v>-0.1</v>
      </c>
      <c r="FF223" s="9">
        <v>-1.9</v>
      </c>
      <c r="FG223" s="9">
        <v>-2.7</v>
      </c>
      <c r="FH223" s="9">
        <v>-1.7</v>
      </c>
      <c r="FI223" s="9">
        <v>0.7</v>
      </c>
      <c r="FJ223" s="9">
        <v>0.7</v>
      </c>
      <c r="FK223" s="9">
        <v>0.6</v>
      </c>
      <c r="FL223" s="9">
        <v>1.1000000000000001</v>
      </c>
      <c r="FM223" s="9">
        <v>0.8</v>
      </c>
      <c r="FN223" s="9">
        <v>0.8</v>
      </c>
      <c r="FO223" s="9">
        <v>0.8</v>
      </c>
      <c r="FP223" s="9">
        <v>0.7</v>
      </c>
      <c r="FQ223" s="9">
        <v>1.6</v>
      </c>
      <c r="FR223" s="9">
        <v>1.6</v>
      </c>
      <c r="FS223" s="9">
        <v>-1.3</v>
      </c>
      <c r="FT223" s="9">
        <v>-2.2999999999999998</v>
      </c>
      <c r="FU223" s="9">
        <v>-1.6</v>
      </c>
      <c r="FV223" s="9">
        <v>-2.7</v>
      </c>
      <c r="FW223" s="9">
        <v>-2.6</v>
      </c>
      <c r="FX223" s="9">
        <v>0.1</v>
      </c>
      <c r="FY223" s="9">
        <v>0</v>
      </c>
      <c r="FZ223" s="9">
        <v>-0.4</v>
      </c>
      <c r="GA223" s="9">
        <v>1.2</v>
      </c>
      <c r="GB223" s="9">
        <v>1.1000000000000001</v>
      </c>
      <c r="GC223" s="9">
        <v>-0.1</v>
      </c>
      <c r="GD223" s="9">
        <v>1.9</v>
      </c>
      <c r="GE223" s="9">
        <v>1.5</v>
      </c>
      <c r="GF223" s="9">
        <v>0.6</v>
      </c>
      <c r="GG223" s="9">
        <v>0.6</v>
      </c>
      <c r="GH223" s="9">
        <v>0.9</v>
      </c>
      <c r="GI223" s="9">
        <v>0.9</v>
      </c>
      <c r="GJ223" s="9">
        <v>2.7</v>
      </c>
      <c r="GK223" s="9">
        <v>1.3</v>
      </c>
      <c r="GL223" s="9">
        <v>4.9000000000000004</v>
      </c>
      <c r="GM223" s="9">
        <v>3.2</v>
      </c>
      <c r="GN223" s="9">
        <v>2.9</v>
      </c>
      <c r="GO223" s="9">
        <v>3</v>
      </c>
      <c r="GP223" s="9">
        <v>4.3</v>
      </c>
      <c r="GQ223" s="9">
        <v>-0.3</v>
      </c>
      <c r="GR223" s="9">
        <v>-0.4</v>
      </c>
      <c r="GS223" s="9">
        <v>-0.7</v>
      </c>
      <c r="GT223" s="9">
        <v>1</v>
      </c>
      <c r="GU223" s="9">
        <v>-2.7</v>
      </c>
      <c r="GV223" s="9">
        <v>-2.7</v>
      </c>
      <c r="GW223" s="9">
        <v>-0.7</v>
      </c>
      <c r="GX223" s="9">
        <v>-0.8</v>
      </c>
      <c r="GY223" s="9">
        <v>0.9</v>
      </c>
      <c r="GZ223" s="9">
        <v>-2.7</v>
      </c>
      <c r="HA223" s="9">
        <v>0.8</v>
      </c>
      <c r="HB223" s="9">
        <v>0.9</v>
      </c>
      <c r="HC223" s="9">
        <v>0.7</v>
      </c>
      <c r="HD223" s="9">
        <v>1.6</v>
      </c>
      <c r="HE223" s="9">
        <v>1</v>
      </c>
      <c r="HF223" s="9">
        <v>0.7</v>
      </c>
      <c r="HG223" s="9">
        <v>-6.4</v>
      </c>
      <c r="HH223" s="9">
        <v>0.3</v>
      </c>
      <c r="HI223" s="9">
        <v>0.7</v>
      </c>
      <c r="HJ223" s="9">
        <v>-0.1</v>
      </c>
      <c r="HK223" s="9">
        <v>-3.1</v>
      </c>
      <c r="HL223" s="9">
        <v>-3.6</v>
      </c>
      <c r="HM223" s="9">
        <v>0.6</v>
      </c>
      <c r="HN223" s="9">
        <v>1</v>
      </c>
      <c r="HO223" s="9">
        <v>0.9</v>
      </c>
      <c r="HP223" s="9">
        <v>1.3</v>
      </c>
      <c r="HQ223" s="9">
        <v>-1.7</v>
      </c>
      <c r="HR223" s="9">
        <v>-2</v>
      </c>
      <c r="HS223" s="9">
        <v>0.3</v>
      </c>
      <c r="HT223" s="9">
        <v>1.6</v>
      </c>
      <c r="HU223" s="9">
        <v>-8.3000000000000007</v>
      </c>
      <c r="HV223" s="9">
        <v>1.4</v>
      </c>
      <c r="HW223" s="9">
        <v>1.7</v>
      </c>
      <c r="HX223" s="9">
        <v>2.4</v>
      </c>
      <c r="HY223" s="9">
        <v>2.4</v>
      </c>
      <c r="HZ223" s="9">
        <v>-0.2</v>
      </c>
      <c r="IA223" s="9">
        <v>-0.2</v>
      </c>
      <c r="IB223" s="9">
        <v>0</v>
      </c>
      <c r="IC223" s="9">
        <v>-0.2</v>
      </c>
      <c r="ID223" s="9">
        <v>0.8</v>
      </c>
      <c r="IE223" s="9">
        <v>-0.5</v>
      </c>
      <c r="IF223" s="9">
        <v>-0.6</v>
      </c>
      <c r="IG223" s="9">
        <v>-0.4</v>
      </c>
      <c r="IH223" s="9">
        <v>0.5</v>
      </c>
      <c r="II223" s="9">
        <v>1</v>
      </c>
      <c r="IJ223" s="9">
        <v>0.3</v>
      </c>
      <c r="IK223" s="9">
        <v>1.4</v>
      </c>
      <c r="IL223" s="9">
        <v>0.1</v>
      </c>
      <c r="IM223" s="9">
        <v>3</v>
      </c>
      <c r="IN223" s="9">
        <v>1</v>
      </c>
      <c r="IO223" s="9">
        <v>0.9</v>
      </c>
      <c r="IP223" s="9">
        <v>-2</v>
      </c>
      <c r="IQ223" s="9">
        <v>5.5</v>
      </c>
    </row>
    <row r="224" spans="1:251" x14ac:dyDescent="0.2">
      <c r="A224" s="10">
        <v>37226</v>
      </c>
      <c r="B224" s="8">
        <v>52.35</v>
      </c>
      <c r="C224" s="8">
        <v>52.22</v>
      </c>
      <c r="D224" s="8">
        <v>57.06</v>
      </c>
      <c r="E224" s="8">
        <v>56.7</v>
      </c>
      <c r="F224" s="8">
        <v>54.05</v>
      </c>
      <c r="G224" s="8">
        <v>67.62</v>
      </c>
      <c r="H224" s="8">
        <v>62.31</v>
      </c>
      <c r="I224" s="8">
        <v>54.81</v>
      </c>
      <c r="J224" s="8">
        <v>47.62</v>
      </c>
      <c r="K224" s="8">
        <v>58.09</v>
      </c>
      <c r="L224" s="8">
        <v>39.83</v>
      </c>
      <c r="M224" s="8">
        <v>76.41</v>
      </c>
      <c r="N224" s="8">
        <v>49.41</v>
      </c>
      <c r="O224" s="8">
        <v>58.64</v>
      </c>
      <c r="P224" s="8">
        <v>58.07</v>
      </c>
      <c r="Q224" s="8">
        <v>61.53</v>
      </c>
      <c r="R224" s="8">
        <v>48.87</v>
      </c>
      <c r="S224" s="8">
        <v>63.21</v>
      </c>
      <c r="T224" s="8">
        <v>51.02</v>
      </c>
      <c r="U224" s="8">
        <v>55.87</v>
      </c>
      <c r="V224" s="8">
        <v>47.16</v>
      </c>
      <c r="W224" s="8">
        <v>55.01</v>
      </c>
      <c r="X224" s="8">
        <v>50.68</v>
      </c>
      <c r="Y224" s="8">
        <v>56.34</v>
      </c>
      <c r="Z224" s="8">
        <v>66.77</v>
      </c>
      <c r="AA224" s="8">
        <v>37.450000000000003</v>
      </c>
      <c r="AB224" s="8">
        <v>51.66</v>
      </c>
      <c r="AC224" s="8">
        <v>67.209999999999994</v>
      </c>
      <c r="AD224" s="8">
        <v>53.12</v>
      </c>
      <c r="AE224" s="8">
        <v>65.36</v>
      </c>
      <c r="AF224" s="8">
        <v>50.48</v>
      </c>
      <c r="AG224" s="8">
        <v>48.1</v>
      </c>
      <c r="AH224" s="8">
        <v>50.06</v>
      </c>
      <c r="AI224" s="8">
        <v>45.98</v>
      </c>
      <c r="AJ224" s="8">
        <v>29.61</v>
      </c>
      <c r="AK224" s="8">
        <v>53.57</v>
      </c>
      <c r="AL224" s="8">
        <v>44.97</v>
      </c>
      <c r="AM224" s="8">
        <v>82.05</v>
      </c>
      <c r="AN224" s="8">
        <v>42.2</v>
      </c>
      <c r="AO224" s="8">
        <v>11.4</v>
      </c>
      <c r="AP224" s="8">
        <v>11.4</v>
      </c>
      <c r="AQ224" s="8">
        <v>101.55</v>
      </c>
      <c r="AR224" s="8">
        <v>120.7</v>
      </c>
      <c r="AS224" s="8">
        <v>113.1</v>
      </c>
      <c r="AT224" s="8">
        <v>130.47</v>
      </c>
      <c r="AU224" s="8">
        <v>102.64</v>
      </c>
      <c r="AV224" s="8">
        <v>114.66</v>
      </c>
      <c r="AW224" s="8">
        <v>116.87</v>
      </c>
      <c r="AX224" s="8">
        <v>118.65</v>
      </c>
      <c r="AY224" s="8">
        <v>102.02</v>
      </c>
      <c r="AZ224" s="8">
        <v>57.81</v>
      </c>
      <c r="BA224" s="8">
        <v>61.79</v>
      </c>
      <c r="BB224" s="8">
        <v>46.76</v>
      </c>
      <c r="BC224" s="8">
        <v>40.909999999999997</v>
      </c>
      <c r="BD224" s="8">
        <v>48.38</v>
      </c>
      <c r="BE224" s="8">
        <v>48.38</v>
      </c>
      <c r="BF224" s="8">
        <v>40.6</v>
      </c>
      <c r="BG224" s="8">
        <v>40.58</v>
      </c>
      <c r="BH224" s="8">
        <v>42.36</v>
      </c>
      <c r="BI224" s="8">
        <v>51.73</v>
      </c>
      <c r="BJ224" s="8">
        <v>31.2</v>
      </c>
      <c r="BK224" s="8">
        <v>30.87</v>
      </c>
      <c r="BL224" s="8">
        <v>35.299999999999997</v>
      </c>
      <c r="BM224" s="8">
        <v>32.5</v>
      </c>
      <c r="BN224" s="8">
        <v>24.41</v>
      </c>
      <c r="BO224" s="8">
        <v>75.2</v>
      </c>
      <c r="BP224" s="8">
        <v>76.040000000000006</v>
      </c>
      <c r="BQ224" s="8">
        <v>82.27</v>
      </c>
      <c r="BR224" s="8">
        <v>55.64</v>
      </c>
      <c r="BS224" s="8">
        <v>128.91</v>
      </c>
      <c r="BT224" s="8">
        <v>128.91</v>
      </c>
      <c r="BU224" s="8">
        <v>107.61</v>
      </c>
      <c r="BV224" s="8">
        <v>108.1</v>
      </c>
      <c r="BW224" s="8">
        <v>121.09</v>
      </c>
      <c r="BX224" s="8">
        <v>128.57</v>
      </c>
      <c r="BY224" s="8">
        <v>78.95</v>
      </c>
      <c r="BZ224" s="8">
        <v>79.790000000000006</v>
      </c>
      <c r="CA224" s="8">
        <v>75.510000000000005</v>
      </c>
      <c r="CB224" s="8">
        <v>97.93</v>
      </c>
      <c r="CC224" s="8">
        <v>69.23</v>
      </c>
      <c r="CD224" s="8">
        <v>45.79</v>
      </c>
      <c r="CE224" s="8">
        <v>42.52</v>
      </c>
      <c r="CF224" s="8">
        <v>47.68</v>
      </c>
      <c r="CG224" s="8">
        <v>40.68</v>
      </c>
      <c r="CH224" s="8">
        <v>34.36</v>
      </c>
      <c r="CI224" s="8">
        <v>68.5</v>
      </c>
      <c r="CJ224" s="8">
        <v>66.849999999999994</v>
      </c>
      <c r="CK224" s="8">
        <v>81.78</v>
      </c>
      <c r="CL224" s="8">
        <v>28.26</v>
      </c>
      <c r="CM224" s="8">
        <v>26.03</v>
      </c>
      <c r="CN224" s="8">
        <v>45.81</v>
      </c>
      <c r="CO224" s="8">
        <v>59.87</v>
      </c>
      <c r="CP224" s="8">
        <v>60.16</v>
      </c>
      <c r="CQ224" s="8">
        <v>102.77</v>
      </c>
      <c r="CR224" s="8">
        <v>54.35</v>
      </c>
      <c r="CS224" s="8">
        <v>43.5</v>
      </c>
      <c r="CT224" s="8">
        <v>52.4</v>
      </c>
      <c r="CU224" s="8">
        <v>40.57</v>
      </c>
      <c r="CV224" s="8">
        <v>57.91</v>
      </c>
      <c r="CW224" s="8">
        <v>57.91</v>
      </c>
      <c r="CX224" s="8">
        <v>115.88</v>
      </c>
      <c r="CY224" s="8">
        <v>115.88</v>
      </c>
      <c r="CZ224" s="8">
        <v>40.68</v>
      </c>
      <c r="DA224" s="8">
        <v>121.44</v>
      </c>
      <c r="DB224" s="8">
        <v>73.900000000000006</v>
      </c>
      <c r="DC224" s="8">
        <v>296.26</v>
      </c>
      <c r="DD224" s="8">
        <v>948.57</v>
      </c>
      <c r="DE224" s="8">
        <v>82.72</v>
      </c>
      <c r="DF224" s="8">
        <v>63.72</v>
      </c>
      <c r="DG224" s="8">
        <v>90.08</v>
      </c>
      <c r="DH224" s="8">
        <v>54.18</v>
      </c>
      <c r="DI224" s="8">
        <v>52.95</v>
      </c>
      <c r="DJ224" s="8">
        <v>48.69</v>
      </c>
      <c r="DK224" s="8">
        <v>51.06</v>
      </c>
      <c r="DL224" s="8">
        <v>56.39</v>
      </c>
      <c r="DM224" s="8">
        <v>101.92</v>
      </c>
      <c r="DN224" s="8">
        <v>126.11</v>
      </c>
      <c r="DO224" s="8">
        <v>46.65</v>
      </c>
      <c r="DP224" s="8">
        <v>38.67</v>
      </c>
      <c r="DQ224" s="8">
        <v>44.65</v>
      </c>
      <c r="DR224" s="8">
        <v>43.69</v>
      </c>
      <c r="DS224" s="8">
        <v>33.299999999999997</v>
      </c>
      <c r="DT224" s="8">
        <v>33.299999999999997</v>
      </c>
      <c r="DU224" s="8">
        <v>34.619999999999997</v>
      </c>
      <c r="DV224" s="8">
        <v>27.38</v>
      </c>
      <c r="DW224" s="8">
        <v>38.549999999999997</v>
      </c>
      <c r="DY224" s="8">
        <v>32.549999999999997</v>
      </c>
      <c r="DZ224" s="8">
        <v>32.549999999999997</v>
      </c>
      <c r="ED224" s="9">
        <v>0.9</v>
      </c>
      <c r="EE224" s="9">
        <v>2.6</v>
      </c>
      <c r="EF224" s="9">
        <v>0.4</v>
      </c>
      <c r="EG224" s="9">
        <v>-0.5</v>
      </c>
      <c r="EH224" s="9">
        <v>0.3</v>
      </c>
      <c r="EI224" s="9">
        <v>3</v>
      </c>
      <c r="EJ224" s="9">
        <v>1.1000000000000001</v>
      </c>
      <c r="EK224" s="9">
        <v>2.6</v>
      </c>
      <c r="EL224" s="9">
        <v>5.5</v>
      </c>
      <c r="EM224" s="9">
        <v>1.9</v>
      </c>
      <c r="EN224" s="9">
        <v>2.7</v>
      </c>
      <c r="EO224" s="9">
        <v>0.3</v>
      </c>
      <c r="EP224" s="9">
        <v>2.6</v>
      </c>
      <c r="EQ224" s="9">
        <v>1.8</v>
      </c>
      <c r="ER224" s="9">
        <v>3.9</v>
      </c>
      <c r="ES224" s="9">
        <v>4</v>
      </c>
      <c r="ET224" s="9">
        <v>7.2</v>
      </c>
      <c r="EU224" s="9">
        <v>0.3</v>
      </c>
      <c r="EV224" s="9">
        <v>10.199999999999999</v>
      </c>
      <c r="EW224" s="9">
        <v>15.4</v>
      </c>
      <c r="EX224" s="9">
        <v>5.6</v>
      </c>
      <c r="EY224" s="9">
        <v>1.6</v>
      </c>
      <c r="EZ224" s="9">
        <v>1.5</v>
      </c>
      <c r="FA224" s="9">
        <v>1.1000000000000001</v>
      </c>
      <c r="FB224" s="9">
        <v>-2</v>
      </c>
      <c r="FC224" s="9">
        <v>2.2000000000000002</v>
      </c>
      <c r="FD224" s="9">
        <v>1.7</v>
      </c>
      <c r="FE224" s="9">
        <v>3.6</v>
      </c>
      <c r="FF224" s="9">
        <v>1.5</v>
      </c>
      <c r="FG224" s="9">
        <v>4.0999999999999996</v>
      </c>
      <c r="FH224" s="9">
        <v>0.8</v>
      </c>
      <c r="FI224" s="9">
        <v>0.8</v>
      </c>
      <c r="FJ224" s="9">
        <v>0.1</v>
      </c>
      <c r="FK224" s="9">
        <v>1.3</v>
      </c>
      <c r="FL224" s="9">
        <v>0.2</v>
      </c>
      <c r="FM224" s="9">
        <v>0.1</v>
      </c>
      <c r="FN224" s="9">
        <v>0</v>
      </c>
      <c r="FO224" s="9">
        <v>-0.3</v>
      </c>
      <c r="FP224" s="9">
        <v>0.5</v>
      </c>
      <c r="FQ224" s="9">
        <v>0.4</v>
      </c>
      <c r="FR224" s="9">
        <v>0.4</v>
      </c>
      <c r="FS224" s="9">
        <v>1.4</v>
      </c>
      <c r="FT224" s="9">
        <v>2.4</v>
      </c>
      <c r="FU224" s="9">
        <v>1.1000000000000001</v>
      </c>
      <c r="FV224" s="9">
        <v>3.2</v>
      </c>
      <c r="FW224" s="9">
        <v>2.2000000000000002</v>
      </c>
      <c r="FX224" s="9">
        <v>1.2</v>
      </c>
      <c r="FY224" s="9">
        <v>1.1000000000000001</v>
      </c>
      <c r="FZ224" s="9">
        <v>2</v>
      </c>
      <c r="GA224" s="9">
        <v>-0.3</v>
      </c>
      <c r="GB224" s="9">
        <v>-1.5</v>
      </c>
      <c r="GC224" s="9">
        <v>-3.1</v>
      </c>
      <c r="GD224" s="9">
        <v>0</v>
      </c>
      <c r="GE224" s="9">
        <v>0.6</v>
      </c>
      <c r="GF224" s="9">
        <v>0.6</v>
      </c>
      <c r="GG224" s="9">
        <v>0.6</v>
      </c>
      <c r="GH224" s="9">
        <v>1.1000000000000001</v>
      </c>
      <c r="GI224" s="9">
        <v>1</v>
      </c>
      <c r="GJ224" s="9">
        <v>0.6</v>
      </c>
      <c r="GK224" s="9">
        <v>1.1000000000000001</v>
      </c>
      <c r="GL224" s="9">
        <v>0</v>
      </c>
      <c r="GM224" s="9">
        <v>-0.3</v>
      </c>
      <c r="GN224" s="9">
        <v>0.9</v>
      </c>
      <c r="GO224" s="9">
        <v>0.8</v>
      </c>
      <c r="GP224" s="9">
        <v>-4.2</v>
      </c>
      <c r="GQ224" s="9">
        <v>1.1000000000000001</v>
      </c>
      <c r="GR224" s="9">
        <v>1.5</v>
      </c>
      <c r="GS224" s="9">
        <v>1.8</v>
      </c>
      <c r="GT224" s="9">
        <v>0.2</v>
      </c>
      <c r="GU224" s="9">
        <v>1.7</v>
      </c>
      <c r="GV224" s="9">
        <v>1.7</v>
      </c>
      <c r="GW224" s="9">
        <v>0.9</v>
      </c>
      <c r="GX224" s="9">
        <v>0</v>
      </c>
      <c r="GY224" s="9">
        <v>0.8</v>
      </c>
      <c r="GZ224" s="9">
        <v>3.4</v>
      </c>
      <c r="HA224" s="9">
        <v>0</v>
      </c>
      <c r="HB224" s="9">
        <v>0.7</v>
      </c>
      <c r="HC224" s="9">
        <v>-0.4</v>
      </c>
      <c r="HD224" s="9">
        <v>-0.3</v>
      </c>
      <c r="HE224" s="9">
        <v>1.1000000000000001</v>
      </c>
      <c r="HF224" s="9">
        <v>0.5</v>
      </c>
      <c r="HG224" s="9">
        <v>1.7</v>
      </c>
      <c r="HH224" s="9">
        <v>0.7</v>
      </c>
      <c r="HI224" s="9">
        <v>0.5</v>
      </c>
      <c r="HJ224" s="9">
        <v>-0.2</v>
      </c>
      <c r="HK224" s="9">
        <v>-4</v>
      </c>
      <c r="HL224" s="9">
        <v>-4.8</v>
      </c>
      <c r="HM224" s="9">
        <v>0.5</v>
      </c>
      <c r="HN224" s="9">
        <v>1.3</v>
      </c>
      <c r="HO224" s="9">
        <v>1.2</v>
      </c>
      <c r="HP224" s="9">
        <v>1.1000000000000001</v>
      </c>
      <c r="HQ224" s="9">
        <v>-0.6</v>
      </c>
      <c r="HR224" s="9">
        <v>-0.7</v>
      </c>
      <c r="HS224" s="9">
        <v>0.6</v>
      </c>
      <c r="HT224" s="9">
        <v>0.9</v>
      </c>
      <c r="HU224" s="9">
        <v>-3.6</v>
      </c>
      <c r="HV224" s="9">
        <v>0.7</v>
      </c>
      <c r="HW224" s="9">
        <v>0</v>
      </c>
      <c r="HX224" s="9">
        <v>0</v>
      </c>
      <c r="HY224" s="9">
        <v>0</v>
      </c>
      <c r="HZ224" s="9">
        <v>1.8</v>
      </c>
      <c r="IA224" s="9">
        <v>1.8</v>
      </c>
      <c r="IB224" s="9">
        <v>1.5</v>
      </c>
      <c r="IC224" s="9">
        <v>1.8</v>
      </c>
      <c r="ID224" s="9">
        <v>1.7</v>
      </c>
      <c r="IE224" s="9">
        <v>-1.9</v>
      </c>
      <c r="IF224" s="9">
        <v>-1.7</v>
      </c>
      <c r="IG224" s="9">
        <v>-2.4</v>
      </c>
      <c r="IH224" s="9">
        <v>1.2</v>
      </c>
      <c r="II224" s="9">
        <v>0.1</v>
      </c>
      <c r="IJ224" s="9">
        <v>1.7</v>
      </c>
      <c r="IK224" s="9">
        <v>4.8</v>
      </c>
      <c r="IL224" s="9">
        <v>7.7</v>
      </c>
      <c r="IM224" s="9">
        <v>1.5</v>
      </c>
      <c r="IN224" s="9">
        <v>0.3</v>
      </c>
      <c r="IO224" s="9">
        <v>-0.1</v>
      </c>
      <c r="IP224" s="9">
        <v>-0.3</v>
      </c>
      <c r="IQ224" s="9">
        <v>2.2000000000000002</v>
      </c>
    </row>
    <row r="225" spans="1:251" x14ac:dyDescent="0.2">
      <c r="A225" s="10">
        <v>37316</v>
      </c>
      <c r="B225" s="8">
        <v>52.82</v>
      </c>
      <c r="C225" s="8">
        <v>52.48</v>
      </c>
      <c r="D225" s="8">
        <v>57.91</v>
      </c>
      <c r="E225" s="8">
        <v>56.95</v>
      </c>
      <c r="F225" s="8">
        <v>56.11</v>
      </c>
      <c r="G225" s="8">
        <v>66.540000000000006</v>
      </c>
      <c r="H225" s="8">
        <v>62.12</v>
      </c>
      <c r="I225" s="8">
        <v>55.8</v>
      </c>
      <c r="J225" s="8">
        <v>47.82</v>
      </c>
      <c r="K225" s="8">
        <v>60.38</v>
      </c>
      <c r="L225" s="8">
        <v>41.59</v>
      </c>
      <c r="M225" s="8">
        <v>79.150000000000006</v>
      </c>
      <c r="N225" s="8">
        <v>50.06</v>
      </c>
      <c r="O225" s="8">
        <v>57.56</v>
      </c>
      <c r="P225" s="8">
        <v>58.15</v>
      </c>
      <c r="Q225" s="8">
        <v>61.76</v>
      </c>
      <c r="R225" s="8">
        <v>48.35</v>
      </c>
      <c r="S225" s="8">
        <v>63.71</v>
      </c>
      <c r="T225" s="8">
        <v>50.24</v>
      </c>
      <c r="U225" s="8">
        <v>55.76</v>
      </c>
      <c r="V225" s="8">
        <v>45.82</v>
      </c>
      <c r="W225" s="8">
        <v>55.36</v>
      </c>
      <c r="X225" s="8">
        <v>50.63</v>
      </c>
      <c r="Y225" s="8">
        <v>55.28</v>
      </c>
      <c r="Z225" s="8">
        <v>67.56</v>
      </c>
      <c r="AA225" s="8">
        <v>38.83</v>
      </c>
      <c r="AB225" s="8">
        <v>51.79</v>
      </c>
      <c r="AC225" s="8">
        <v>67.760000000000005</v>
      </c>
      <c r="AD225" s="8">
        <v>52.48</v>
      </c>
      <c r="AE225" s="8">
        <v>65.87</v>
      </c>
      <c r="AF225" s="8">
        <v>49.59</v>
      </c>
      <c r="AG225" s="8">
        <v>48.53</v>
      </c>
      <c r="AH225" s="8">
        <v>50.67</v>
      </c>
      <c r="AI225" s="8">
        <v>46.28</v>
      </c>
      <c r="AJ225" s="8">
        <v>29.92</v>
      </c>
      <c r="AK225" s="8">
        <v>53.84</v>
      </c>
      <c r="AL225" s="8">
        <v>45.41</v>
      </c>
      <c r="AM225" s="8">
        <v>82.3</v>
      </c>
      <c r="AN225" s="8">
        <v>42.4</v>
      </c>
      <c r="AO225" s="8">
        <v>11.63</v>
      </c>
      <c r="AP225" s="8">
        <v>11.63</v>
      </c>
      <c r="AQ225" s="8">
        <v>101.16</v>
      </c>
      <c r="AR225" s="8">
        <v>119.76</v>
      </c>
      <c r="AS225" s="8">
        <v>113.3</v>
      </c>
      <c r="AT225" s="8">
        <v>128.85</v>
      </c>
      <c r="AU225" s="8">
        <v>101.32</v>
      </c>
      <c r="AV225" s="8">
        <v>114.81</v>
      </c>
      <c r="AW225" s="8">
        <v>116.54</v>
      </c>
      <c r="AX225" s="8">
        <v>119.36</v>
      </c>
      <c r="AY225" s="8">
        <v>101.71</v>
      </c>
      <c r="AZ225" s="8">
        <v>58.16</v>
      </c>
      <c r="BA225" s="8">
        <v>62.33</v>
      </c>
      <c r="BB225" s="8">
        <v>47</v>
      </c>
      <c r="BC225" s="8">
        <v>41.21</v>
      </c>
      <c r="BD225" s="8">
        <v>48.61</v>
      </c>
      <c r="BE225" s="8">
        <v>48.61</v>
      </c>
      <c r="BF225" s="8">
        <v>40.9</v>
      </c>
      <c r="BG225" s="8">
        <v>40.9</v>
      </c>
      <c r="BH225" s="8">
        <v>42.29</v>
      </c>
      <c r="BI225" s="8">
        <v>51.58</v>
      </c>
      <c r="BJ225" s="8">
        <v>31.19</v>
      </c>
      <c r="BK225" s="8">
        <v>31.43</v>
      </c>
      <c r="BL225" s="8">
        <v>35.35</v>
      </c>
      <c r="BM225" s="8">
        <v>33</v>
      </c>
      <c r="BN225" s="8">
        <v>25.5</v>
      </c>
      <c r="BO225" s="8">
        <v>74.650000000000006</v>
      </c>
      <c r="BP225" s="8">
        <v>75.28</v>
      </c>
      <c r="BQ225" s="8">
        <v>81.150000000000006</v>
      </c>
      <c r="BR225" s="8">
        <v>55.86</v>
      </c>
      <c r="BS225" s="8">
        <v>127.33</v>
      </c>
      <c r="BT225" s="8">
        <v>127.33</v>
      </c>
      <c r="BU225" s="8">
        <v>105.7</v>
      </c>
      <c r="BV225" s="8">
        <v>106.28</v>
      </c>
      <c r="BW225" s="8">
        <v>119.16</v>
      </c>
      <c r="BX225" s="8">
        <v>124.68</v>
      </c>
      <c r="BY225" s="8">
        <v>78.709999999999994</v>
      </c>
      <c r="BZ225" s="8">
        <v>79.959999999999994</v>
      </c>
      <c r="CA225" s="8">
        <v>76.989999999999995</v>
      </c>
      <c r="CB225" s="8">
        <v>97.48</v>
      </c>
      <c r="CC225" s="8">
        <v>69.06</v>
      </c>
      <c r="CD225" s="8">
        <v>46.32</v>
      </c>
      <c r="CE225" s="8">
        <v>43.93</v>
      </c>
      <c r="CF225" s="8">
        <v>47.92</v>
      </c>
      <c r="CG225" s="8">
        <v>41.15</v>
      </c>
      <c r="CH225" s="8">
        <v>35.39</v>
      </c>
      <c r="CI225" s="8">
        <v>75.290000000000006</v>
      </c>
      <c r="CJ225" s="8">
        <v>74.489999999999995</v>
      </c>
      <c r="CK225" s="8">
        <v>82.05</v>
      </c>
      <c r="CL225" s="8">
        <v>28.42</v>
      </c>
      <c r="CM225" s="8">
        <v>26.15</v>
      </c>
      <c r="CN225" s="8">
        <v>46.27</v>
      </c>
      <c r="CO225" s="8">
        <v>60.15</v>
      </c>
      <c r="CP225" s="8">
        <v>60.44</v>
      </c>
      <c r="CQ225" s="8">
        <v>103.7</v>
      </c>
      <c r="CR225" s="8">
        <v>54.3</v>
      </c>
      <c r="CS225" s="8">
        <v>43.47</v>
      </c>
      <c r="CT225" s="8">
        <v>52.53</v>
      </c>
      <c r="CU225" s="8">
        <v>40.99</v>
      </c>
      <c r="CV225" s="8">
        <v>58.33</v>
      </c>
      <c r="CW225" s="8">
        <v>58.33</v>
      </c>
      <c r="CX225" s="8">
        <v>115.93</v>
      </c>
      <c r="CY225" s="8">
        <v>115.93</v>
      </c>
      <c r="CZ225" s="8">
        <v>40.68</v>
      </c>
      <c r="DA225" s="8">
        <v>121.49</v>
      </c>
      <c r="DB225" s="8">
        <v>75.599999999999994</v>
      </c>
      <c r="DC225" s="8">
        <v>294.08999999999997</v>
      </c>
      <c r="DD225" s="8">
        <v>939.17</v>
      </c>
      <c r="DE225" s="8">
        <v>82.48</v>
      </c>
      <c r="DF225" s="8">
        <v>64.28</v>
      </c>
      <c r="DG225" s="8">
        <v>90.76</v>
      </c>
      <c r="DH225" s="8">
        <v>54.64</v>
      </c>
      <c r="DI225" s="8">
        <v>55.42</v>
      </c>
      <c r="DJ225" s="8">
        <v>49.85</v>
      </c>
      <c r="DK225" s="8">
        <v>54.84</v>
      </c>
      <c r="DL225" s="8">
        <v>57.33</v>
      </c>
      <c r="DM225" s="8">
        <v>101.36</v>
      </c>
      <c r="DN225" s="8">
        <v>131.55000000000001</v>
      </c>
      <c r="DO225" s="8">
        <v>47.97</v>
      </c>
      <c r="DP225" s="8">
        <v>39.020000000000003</v>
      </c>
      <c r="DQ225" s="8">
        <v>45.25</v>
      </c>
      <c r="DR225" s="8">
        <v>44.44</v>
      </c>
      <c r="DS225" s="8">
        <v>34.85</v>
      </c>
      <c r="DT225" s="8">
        <v>34.85</v>
      </c>
      <c r="DU225" s="8">
        <v>36.5</v>
      </c>
      <c r="DV225" s="8">
        <v>29.12</v>
      </c>
      <c r="DW225" s="8">
        <v>39.71</v>
      </c>
      <c r="DY225" s="8">
        <v>33.409999999999997</v>
      </c>
      <c r="DZ225" s="8">
        <v>33.409999999999997</v>
      </c>
      <c r="ED225" s="9">
        <v>0.9</v>
      </c>
      <c r="EE225" s="9">
        <v>0.5</v>
      </c>
      <c r="EF225" s="9">
        <v>1.5</v>
      </c>
      <c r="EG225" s="9">
        <v>0.4</v>
      </c>
      <c r="EH225" s="9">
        <v>3.8</v>
      </c>
      <c r="EI225" s="9">
        <v>-1.6</v>
      </c>
      <c r="EJ225" s="9">
        <v>-0.3</v>
      </c>
      <c r="EK225" s="9">
        <v>1.8</v>
      </c>
      <c r="EL225" s="9">
        <v>0.4</v>
      </c>
      <c r="EM225" s="9">
        <v>3.9</v>
      </c>
      <c r="EN225" s="9">
        <v>4.4000000000000004</v>
      </c>
      <c r="EO225" s="9">
        <v>3.6</v>
      </c>
      <c r="EP225" s="9">
        <v>1.3</v>
      </c>
      <c r="EQ225" s="9">
        <v>-1.8</v>
      </c>
      <c r="ER225" s="9">
        <v>0.1</v>
      </c>
      <c r="ES225" s="9">
        <v>0.4</v>
      </c>
      <c r="ET225" s="9">
        <v>-1.1000000000000001</v>
      </c>
      <c r="EU225" s="9">
        <v>0.8</v>
      </c>
      <c r="EV225" s="9">
        <v>-1.5</v>
      </c>
      <c r="EW225" s="9">
        <v>-0.2</v>
      </c>
      <c r="EX225" s="9">
        <v>-2.8</v>
      </c>
      <c r="EY225" s="9">
        <v>0.6</v>
      </c>
      <c r="EZ225" s="9">
        <v>-0.1</v>
      </c>
      <c r="FA225" s="9">
        <v>-1.9</v>
      </c>
      <c r="FB225" s="9">
        <v>1.2</v>
      </c>
      <c r="FC225" s="9">
        <v>3.7</v>
      </c>
      <c r="FD225" s="9">
        <v>0.3</v>
      </c>
      <c r="FE225" s="9">
        <v>0.8</v>
      </c>
      <c r="FF225" s="9">
        <v>-1.2</v>
      </c>
      <c r="FG225" s="9">
        <v>0.8</v>
      </c>
      <c r="FH225" s="9">
        <v>-1.8</v>
      </c>
      <c r="FI225" s="9">
        <v>0.9</v>
      </c>
      <c r="FJ225" s="9">
        <v>1.2</v>
      </c>
      <c r="FK225" s="9">
        <v>0.7</v>
      </c>
      <c r="FL225" s="9">
        <v>1</v>
      </c>
      <c r="FM225" s="9">
        <v>0.5</v>
      </c>
      <c r="FN225" s="9">
        <v>1</v>
      </c>
      <c r="FO225" s="9">
        <v>0.3</v>
      </c>
      <c r="FP225" s="9">
        <v>0.5</v>
      </c>
      <c r="FQ225" s="9">
        <v>2</v>
      </c>
      <c r="FR225" s="9">
        <v>2</v>
      </c>
      <c r="FS225" s="9">
        <v>-0.4</v>
      </c>
      <c r="FT225" s="9">
        <v>-0.8</v>
      </c>
      <c r="FU225" s="9">
        <v>0.2</v>
      </c>
      <c r="FV225" s="9">
        <v>-1.2</v>
      </c>
      <c r="FW225" s="9">
        <v>-1.3</v>
      </c>
      <c r="FX225" s="9">
        <v>0.1</v>
      </c>
      <c r="FY225" s="9">
        <v>-0.3</v>
      </c>
      <c r="FZ225" s="9">
        <v>0.6</v>
      </c>
      <c r="GA225" s="9">
        <v>-0.3</v>
      </c>
      <c r="GB225" s="9">
        <v>0.6</v>
      </c>
      <c r="GC225" s="9">
        <v>0.9</v>
      </c>
      <c r="GD225" s="9">
        <v>0.5</v>
      </c>
      <c r="GE225" s="9">
        <v>0.7</v>
      </c>
      <c r="GF225" s="9">
        <v>0.5</v>
      </c>
      <c r="GG225" s="9">
        <v>0.5</v>
      </c>
      <c r="GH225" s="9">
        <v>0.7</v>
      </c>
      <c r="GI225" s="9">
        <v>0.8</v>
      </c>
      <c r="GJ225" s="9">
        <v>-0.2</v>
      </c>
      <c r="GK225" s="9">
        <v>-0.3</v>
      </c>
      <c r="GL225" s="9">
        <v>0</v>
      </c>
      <c r="GM225" s="9">
        <v>1.8</v>
      </c>
      <c r="GN225" s="9">
        <v>0.1</v>
      </c>
      <c r="GO225" s="9">
        <v>1.5</v>
      </c>
      <c r="GP225" s="9">
        <v>4.5</v>
      </c>
      <c r="GQ225" s="9">
        <v>-0.7</v>
      </c>
      <c r="GR225" s="9">
        <v>-1</v>
      </c>
      <c r="GS225" s="9">
        <v>-1.4</v>
      </c>
      <c r="GT225" s="9">
        <v>0.4</v>
      </c>
      <c r="GU225" s="9">
        <v>-1.2</v>
      </c>
      <c r="GV225" s="9">
        <v>-1.2</v>
      </c>
      <c r="GW225" s="9">
        <v>-1.8</v>
      </c>
      <c r="GX225" s="9">
        <v>-1.7</v>
      </c>
      <c r="GY225" s="9">
        <v>-1.6</v>
      </c>
      <c r="GZ225" s="9">
        <v>-3</v>
      </c>
      <c r="HA225" s="9">
        <v>-0.3</v>
      </c>
      <c r="HB225" s="9">
        <v>0.2</v>
      </c>
      <c r="HC225" s="9">
        <v>2</v>
      </c>
      <c r="HD225" s="9">
        <v>-0.5</v>
      </c>
      <c r="HE225" s="9">
        <v>-0.2</v>
      </c>
      <c r="HF225" s="9">
        <v>1.2</v>
      </c>
      <c r="HG225" s="9">
        <v>3.3</v>
      </c>
      <c r="HH225" s="9">
        <v>0.5</v>
      </c>
      <c r="HI225" s="9">
        <v>1.2</v>
      </c>
      <c r="HJ225" s="9">
        <v>3</v>
      </c>
      <c r="HK225" s="9">
        <v>9.9</v>
      </c>
      <c r="HL225" s="9">
        <v>11.4</v>
      </c>
      <c r="HM225" s="9">
        <v>0.3</v>
      </c>
      <c r="HN225" s="9">
        <v>0.6</v>
      </c>
      <c r="HO225" s="9">
        <v>0.5</v>
      </c>
      <c r="HP225" s="9">
        <v>1</v>
      </c>
      <c r="HQ225" s="9">
        <v>0.5</v>
      </c>
      <c r="HR225" s="9">
        <v>0.5</v>
      </c>
      <c r="HS225" s="9">
        <v>0.9</v>
      </c>
      <c r="HT225" s="9">
        <v>-0.1</v>
      </c>
      <c r="HU225" s="9">
        <v>-0.1</v>
      </c>
      <c r="HV225" s="9">
        <v>0.2</v>
      </c>
      <c r="HW225" s="9">
        <v>1</v>
      </c>
      <c r="HX225" s="9">
        <v>0.7</v>
      </c>
      <c r="HY225" s="9">
        <v>0.7</v>
      </c>
      <c r="HZ225" s="9">
        <v>0</v>
      </c>
      <c r="IA225" s="9">
        <v>0</v>
      </c>
      <c r="IB225" s="9">
        <v>0</v>
      </c>
      <c r="IC225" s="9">
        <v>0</v>
      </c>
      <c r="ID225" s="9">
        <v>2.2999999999999998</v>
      </c>
      <c r="IE225" s="9">
        <v>-0.7</v>
      </c>
      <c r="IF225" s="9">
        <v>-1</v>
      </c>
      <c r="IG225" s="9">
        <v>-0.3</v>
      </c>
      <c r="IH225" s="9">
        <v>0.9</v>
      </c>
      <c r="II225" s="9">
        <v>0.8</v>
      </c>
      <c r="IJ225" s="9">
        <v>0.8</v>
      </c>
      <c r="IK225" s="9">
        <v>4.7</v>
      </c>
      <c r="IL225" s="9">
        <v>2.4</v>
      </c>
      <c r="IM225" s="9">
        <v>7.4</v>
      </c>
      <c r="IN225" s="9">
        <v>1.7</v>
      </c>
      <c r="IO225" s="9">
        <v>-0.5</v>
      </c>
      <c r="IP225" s="9">
        <v>4.3</v>
      </c>
      <c r="IQ225" s="9">
        <v>2.8</v>
      </c>
    </row>
    <row r="226" spans="1:251" x14ac:dyDescent="0.2">
      <c r="A226" s="10">
        <v>37408</v>
      </c>
      <c r="B226" s="8">
        <v>53.2</v>
      </c>
      <c r="C226" s="8">
        <v>52.23</v>
      </c>
      <c r="D226" s="8">
        <v>57.26</v>
      </c>
      <c r="E226" s="8">
        <v>56.41</v>
      </c>
      <c r="F226" s="8">
        <v>54.76</v>
      </c>
      <c r="G226" s="8">
        <v>68.08</v>
      </c>
      <c r="H226" s="8">
        <v>61.99</v>
      </c>
      <c r="I226" s="8">
        <v>55.93</v>
      </c>
      <c r="J226" s="8">
        <v>48.22</v>
      </c>
      <c r="K226" s="8">
        <v>59.36</v>
      </c>
      <c r="L226" s="8">
        <v>43.56</v>
      </c>
      <c r="M226" s="8">
        <v>77.040000000000006</v>
      </c>
      <c r="N226" s="8">
        <v>50.9</v>
      </c>
      <c r="O226" s="8">
        <v>57.56</v>
      </c>
      <c r="P226" s="8">
        <v>58.34</v>
      </c>
      <c r="Q226" s="8">
        <v>62.23</v>
      </c>
      <c r="R226" s="8">
        <v>48.44</v>
      </c>
      <c r="S226" s="8">
        <v>63.42</v>
      </c>
      <c r="T226" s="8">
        <v>47.33</v>
      </c>
      <c r="U226" s="8">
        <v>52.28</v>
      </c>
      <c r="V226" s="8">
        <v>43.37</v>
      </c>
      <c r="W226" s="8">
        <v>56.05</v>
      </c>
      <c r="X226" s="8">
        <v>50.82</v>
      </c>
      <c r="Y226" s="8">
        <v>57.31</v>
      </c>
      <c r="Z226" s="8">
        <v>67.709999999999994</v>
      </c>
      <c r="AA226" s="8">
        <v>40.49</v>
      </c>
      <c r="AB226" s="8">
        <v>52.41</v>
      </c>
      <c r="AC226" s="8">
        <v>68.010000000000005</v>
      </c>
      <c r="AD226" s="8">
        <v>52.64</v>
      </c>
      <c r="AE226" s="8">
        <v>64.349999999999994</v>
      </c>
      <c r="AF226" s="8">
        <v>50.09</v>
      </c>
      <c r="AG226" s="8">
        <v>48.81</v>
      </c>
      <c r="AH226" s="8">
        <v>51.12</v>
      </c>
      <c r="AI226" s="8">
        <v>46.45</v>
      </c>
      <c r="AJ226" s="8">
        <v>30.08</v>
      </c>
      <c r="AK226" s="8">
        <v>53.97</v>
      </c>
      <c r="AL226" s="8">
        <v>45.55</v>
      </c>
      <c r="AM226" s="8">
        <v>82.44</v>
      </c>
      <c r="AN226" s="8">
        <v>42.51</v>
      </c>
      <c r="AO226" s="8">
        <v>11.76</v>
      </c>
      <c r="AP226" s="8">
        <v>11.76</v>
      </c>
      <c r="AQ226" s="8">
        <v>102.48</v>
      </c>
      <c r="AR226" s="8">
        <v>121.85</v>
      </c>
      <c r="AS226" s="8">
        <v>113.91</v>
      </c>
      <c r="AT226" s="8">
        <v>131.41</v>
      </c>
      <c r="AU226" s="8">
        <v>104.75</v>
      </c>
      <c r="AV226" s="8">
        <v>114.3</v>
      </c>
      <c r="AW226" s="8">
        <v>117.03</v>
      </c>
      <c r="AX226" s="8">
        <v>117.72</v>
      </c>
      <c r="AY226" s="8">
        <v>102.1</v>
      </c>
      <c r="AZ226" s="8">
        <v>58.89</v>
      </c>
      <c r="BA226" s="8">
        <v>63.35</v>
      </c>
      <c r="BB226" s="8">
        <v>47.52</v>
      </c>
      <c r="BC226" s="8">
        <v>41.47</v>
      </c>
      <c r="BD226" s="8">
        <v>49.02</v>
      </c>
      <c r="BE226" s="8">
        <v>49.02</v>
      </c>
      <c r="BF226" s="8">
        <v>41.32</v>
      </c>
      <c r="BG226" s="8">
        <v>41.32</v>
      </c>
      <c r="BH226" s="8">
        <v>42.46</v>
      </c>
      <c r="BI226" s="8">
        <v>51.91</v>
      </c>
      <c r="BJ226" s="8">
        <v>31.19</v>
      </c>
      <c r="BK226" s="8">
        <v>31.34</v>
      </c>
      <c r="BL226" s="8">
        <v>35.35</v>
      </c>
      <c r="BM226" s="8">
        <v>32.700000000000003</v>
      </c>
      <c r="BN226" s="8">
        <v>25.71</v>
      </c>
      <c r="BO226" s="8">
        <v>75.19</v>
      </c>
      <c r="BP226" s="8">
        <v>76.92</v>
      </c>
      <c r="BQ226" s="8">
        <v>82.82</v>
      </c>
      <c r="BR226" s="8">
        <v>57.19</v>
      </c>
      <c r="BS226" s="8">
        <v>124.68</v>
      </c>
      <c r="BT226" s="8">
        <v>124.68</v>
      </c>
      <c r="BU226" s="8">
        <v>105.85</v>
      </c>
      <c r="BV226" s="8">
        <v>105.88</v>
      </c>
      <c r="BW226" s="8">
        <v>119.7</v>
      </c>
      <c r="BX226" s="8">
        <v>126.04</v>
      </c>
      <c r="BY226" s="8">
        <v>78.64</v>
      </c>
      <c r="BZ226" s="8">
        <v>80.209999999999994</v>
      </c>
      <c r="CA226" s="8">
        <v>77.25</v>
      </c>
      <c r="CB226" s="8">
        <v>97.91</v>
      </c>
      <c r="CC226" s="8">
        <v>69.27</v>
      </c>
      <c r="CD226" s="8">
        <v>46.4</v>
      </c>
      <c r="CE226" s="8">
        <v>44.24</v>
      </c>
      <c r="CF226" s="8">
        <v>48.01</v>
      </c>
      <c r="CG226" s="8">
        <v>41.22</v>
      </c>
      <c r="CH226" s="8">
        <v>36.369999999999997</v>
      </c>
      <c r="CI226" s="8">
        <v>74.5</v>
      </c>
      <c r="CJ226" s="8">
        <v>73.59</v>
      </c>
      <c r="CK226" s="8">
        <v>82.33</v>
      </c>
      <c r="CL226" s="8">
        <v>29.62</v>
      </c>
      <c r="CM226" s="8">
        <v>27.44</v>
      </c>
      <c r="CN226" s="8">
        <v>46.93</v>
      </c>
      <c r="CO226" s="8">
        <v>61.26</v>
      </c>
      <c r="CP226" s="8">
        <v>61.63</v>
      </c>
      <c r="CQ226" s="8">
        <v>102.8</v>
      </c>
      <c r="CR226" s="8">
        <v>54.65</v>
      </c>
      <c r="CS226" s="8">
        <v>46.73</v>
      </c>
      <c r="CT226" s="8">
        <v>52.81</v>
      </c>
      <c r="CU226" s="8">
        <v>41.34</v>
      </c>
      <c r="CV226" s="8">
        <v>58.34</v>
      </c>
      <c r="CW226" s="8">
        <v>58.34</v>
      </c>
      <c r="CX226" s="8">
        <v>116.83</v>
      </c>
      <c r="CY226" s="8">
        <v>116.83</v>
      </c>
      <c r="CZ226" s="8">
        <v>40.68</v>
      </c>
      <c r="DA226" s="8">
        <v>122.48</v>
      </c>
      <c r="DB226" s="8">
        <v>76.010000000000005</v>
      </c>
      <c r="DC226" s="8">
        <v>289.76</v>
      </c>
      <c r="DD226" s="8">
        <v>928.88</v>
      </c>
      <c r="DE226" s="8">
        <v>80.930000000000007</v>
      </c>
      <c r="DF226" s="8">
        <v>64.760000000000005</v>
      </c>
      <c r="DG226" s="8">
        <v>91.15</v>
      </c>
      <c r="DH226" s="8">
        <v>55.11</v>
      </c>
      <c r="DI226" s="8">
        <v>56.05</v>
      </c>
      <c r="DJ226" s="8">
        <v>49.09</v>
      </c>
      <c r="DK226" s="8">
        <v>57.14</v>
      </c>
      <c r="DL226" s="8">
        <v>57.71</v>
      </c>
      <c r="DM226" s="8">
        <v>100.72</v>
      </c>
      <c r="DN226" s="8">
        <v>132.43</v>
      </c>
      <c r="DO226" s="8">
        <v>48.36</v>
      </c>
      <c r="DP226" s="8">
        <v>39.47</v>
      </c>
      <c r="DQ226" s="8">
        <v>45.62</v>
      </c>
      <c r="DR226" s="8">
        <v>44.87</v>
      </c>
      <c r="DS226" s="8">
        <v>34.86</v>
      </c>
      <c r="DT226" s="8">
        <v>34.86</v>
      </c>
      <c r="DU226" s="8">
        <v>36.53</v>
      </c>
      <c r="DV226" s="8">
        <v>29.12</v>
      </c>
      <c r="DW226" s="8">
        <v>39.71</v>
      </c>
      <c r="DY226" s="8">
        <v>33.590000000000003</v>
      </c>
      <c r="DZ226" s="8">
        <v>33.590000000000003</v>
      </c>
      <c r="ED226" s="9">
        <v>0.7</v>
      </c>
      <c r="EE226" s="9">
        <v>-0.5</v>
      </c>
      <c r="EF226" s="9">
        <v>-1.1000000000000001</v>
      </c>
      <c r="EG226" s="9">
        <v>-0.9</v>
      </c>
      <c r="EH226" s="9">
        <v>-2.4</v>
      </c>
      <c r="EI226" s="9">
        <v>2.2999999999999998</v>
      </c>
      <c r="EJ226" s="9">
        <v>-0.2</v>
      </c>
      <c r="EK226" s="9">
        <v>0.2</v>
      </c>
      <c r="EL226" s="9">
        <v>0.8</v>
      </c>
      <c r="EM226" s="9">
        <v>-1.7</v>
      </c>
      <c r="EN226" s="9">
        <v>4.7</v>
      </c>
      <c r="EO226" s="9">
        <v>-2.7</v>
      </c>
      <c r="EP226" s="9">
        <v>1.7</v>
      </c>
      <c r="EQ226" s="9">
        <v>0</v>
      </c>
      <c r="ER226" s="9">
        <v>0.3</v>
      </c>
      <c r="ES226" s="9">
        <v>0.8</v>
      </c>
      <c r="ET226" s="9">
        <v>0.2</v>
      </c>
      <c r="EU226" s="9">
        <v>-0.5</v>
      </c>
      <c r="EV226" s="9">
        <v>-5.8</v>
      </c>
      <c r="EW226" s="9">
        <v>-6.2</v>
      </c>
      <c r="EX226" s="9">
        <v>-5.3</v>
      </c>
      <c r="EY226" s="9">
        <v>1.2</v>
      </c>
      <c r="EZ226" s="9">
        <v>0.4</v>
      </c>
      <c r="FA226" s="9">
        <v>3.7</v>
      </c>
      <c r="FB226" s="9">
        <v>0.2</v>
      </c>
      <c r="FC226" s="9">
        <v>4.3</v>
      </c>
      <c r="FD226" s="9">
        <v>1.2</v>
      </c>
      <c r="FE226" s="9">
        <v>0.4</v>
      </c>
      <c r="FF226" s="9">
        <v>0.3</v>
      </c>
      <c r="FG226" s="9">
        <v>-2.2999999999999998</v>
      </c>
      <c r="FH226" s="9">
        <v>1</v>
      </c>
      <c r="FI226" s="9">
        <v>0.6</v>
      </c>
      <c r="FJ226" s="9">
        <v>0.9</v>
      </c>
      <c r="FK226" s="9">
        <v>0.4</v>
      </c>
      <c r="FL226" s="9">
        <v>0.5</v>
      </c>
      <c r="FM226" s="9">
        <v>0.2</v>
      </c>
      <c r="FN226" s="9">
        <v>0.3</v>
      </c>
      <c r="FO226" s="9">
        <v>0.2</v>
      </c>
      <c r="FP226" s="9">
        <v>0.3</v>
      </c>
      <c r="FQ226" s="9">
        <v>1.1000000000000001</v>
      </c>
      <c r="FR226" s="9">
        <v>1.1000000000000001</v>
      </c>
      <c r="FS226" s="9">
        <v>1.3</v>
      </c>
      <c r="FT226" s="9">
        <v>1.7</v>
      </c>
      <c r="FU226" s="9">
        <v>0.5</v>
      </c>
      <c r="FV226" s="9">
        <v>2</v>
      </c>
      <c r="FW226" s="9">
        <v>3.4</v>
      </c>
      <c r="FX226" s="9">
        <v>-0.4</v>
      </c>
      <c r="FY226" s="9">
        <v>0.4</v>
      </c>
      <c r="FZ226" s="9">
        <v>-1.4</v>
      </c>
      <c r="GA226" s="9">
        <v>0.4</v>
      </c>
      <c r="GB226" s="9">
        <v>1.3</v>
      </c>
      <c r="GC226" s="9">
        <v>1.6</v>
      </c>
      <c r="GD226" s="9">
        <v>1.1000000000000001</v>
      </c>
      <c r="GE226" s="9">
        <v>0.6</v>
      </c>
      <c r="GF226" s="9">
        <v>0.8</v>
      </c>
      <c r="GG226" s="9">
        <v>0.8</v>
      </c>
      <c r="GH226" s="9">
        <v>1</v>
      </c>
      <c r="GI226" s="9">
        <v>1</v>
      </c>
      <c r="GJ226" s="9">
        <v>0.4</v>
      </c>
      <c r="GK226" s="9">
        <v>0.6</v>
      </c>
      <c r="GL226" s="9">
        <v>0</v>
      </c>
      <c r="GM226" s="9">
        <v>-0.3</v>
      </c>
      <c r="GN226" s="9">
        <v>0</v>
      </c>
      <c r="GO226" s="9">
        <v>-0.9</v>
      </c>
      <c r="GP226" s="9">
        <v>0.8</v>
      </c>
      <c r="GQ226" s="9">
        <v>0.7</v>
      </c>
      <c r="GR226" s="9">
        <v>2.2000000000000002</v>
      </c>
      <c r="GS226" s="9">
        <v>2.1</v>
      </c>
      <c r="GT226" s="9">
        <v>2.4</v>
      </c>
      <c r="GU226" s="9">
        <v>-2.1</v>
      </c>
      <c r="GV226" s="9">
        <v>-2.1</v>
      </c>
      <c r="GW226" s="9">
        <v>0.1</v>
      </c>
      <c r="GX226" s="9">
        <v>-0.4</v>
      </c>
      <c r="GY226" s="9">
        <v>0.5</v>
      </c>
      <c r="GZ226" s="9">
        <v>1.1000000000000001</v>
      </c>
      <c r="HA226" s="9">
        <v>-0.1</v>
      </c>
      <c r="HB226" s="9">
        <v>0.3</v>
      </c>
      <c r="HC226" s="9">
        <v>0.3</v>
      </c>
      <c r="HD226" s="9">
        <v>0.4</v>
      </c>
      <c r="HE226" s="9">
        <v>0.3</v>
      </c>
      <c r="HF226" s="9">
        <v>0.2</v>
      </c>
      <c r="HG226" s="9">
        <v>0.7</v>
      </c>
      <c r="HH226" s="9">
        <v>0.2</v>
      </c>
      <c r="HI226" s="9">
        <v>0.2</v>
      </c>
      <c r="HJ226" s="9">
        <v>2.8</v>
      </c>
      <c r="HK226" s="9">
        <v>-1</v>
      </c>
      <c r="HL226" s="9">
        <v>-1.2</v>
      </c>
      <c r="HM226" s="9">
        <v>0.3</v>
      </c>
      <c r="HN226" s="9">
        <v>4.2</v>
      </c>
      <c r="HO226" s="9">
        <v>4.9000000000000004</v>
      </c>
      <c r="HP226" s="9">
        <v>1.4</v>
      </c>
      <c r="HQ226" s="9">
        <v>1.8</v>
      </c>
      <c r="HR226" s="9">
        <v>2</v>
      </c>
      <c r="HS226" s="9">
        <v>-0.9</v>
      </c>
      <c r="HT226" s="9">
        <v>0.6</v>
      </c>
      <c r="HU226" s="9">
        <v>7.5</v>
      </c>
      <c r="HV226" s="9">
        <v>0.5</v>
      </c>
      <c r="HW226" s="9">
        <v>0.9</v>
      </c>
      <c r="HX226" s="9">
        <v>0</v>
      </c>
      <c r="HY226" s="9">
        <v>0</v>
      </c>
      <c r="HZ226" s="9">
        <v>0.8</v>
      </c>
      <c r="IA226" s="9">
        <v>0.8</v>
      </c>
      <c r="IB226" s="9">
        <v>0</v>
      </c>
      <c r="IC226" s="9">
        <v>0.8</v>
      </c>
      <c r="ID226" s="9">
        <v>0.5</v>
      </c>
      <c r="IE226" s="9">
        <v>-1.5</v>
      </c>
      <c r="IF226" s="9">
        <v>-1.1000000000000001</v>
      </c>
      <c r="IG226" s="9">
        <v>-1.9</v>
      </c>
      <c r="IH226" s="9">
        <v>0.7</v>
      </c>
      <c r="II226" s="9">
        <v>0.4</v>
      </c>
      <c r="IJ226" s="9">
        <v>0.9</v>
      </c>
      <c r="IK226" s="9">
        <v>1.1000000000000001</v>
      </c>
      <c r="IL226" s="9">
        <v>-1.5</v>
      </c>
      <c r="IM226" s="9">
        <v>4.2</v>
      </c>
      <c r="IN226" s="9">
        <v>0.7</v>
      </c>
      <c r="IO226" s="9">
        <v>-0.6</v>
      </c>
      <c r="IP226" s="9">
        <v>0.7</v>
      </c>
      <c r="IQ226" s="9">
        <v>0.8</v>
      </c>
    </row>
    <row r="227" spans="1:251" x14ac:dyDescent="0.2">
      <c r="A227" s="10">
        <v>37500</v>
      </c>
      <c r="B227" s="8">
        <v>53.56</v>
      </c>
      <c r="C227" s="8">
        <v>52.78</v>
      </c>
      <c r="D227" s="8">
        <v>57.77</v>
      </c>
      <c r="E227" s="8">
        <v>56.6</v>
      </c>
      <c r="F227" s="8">
        <v>55.39</v>
      </c>
      <c r="G227" s="8">
        <v>69.59</v>
      </c>
      <c r="H227" s="8">
        <v>62.23</v>
      </c>
      <c r="I227" s="8">
        <v>55.17</v>
      </c>
      <c r="J227" s="8">
        <v>46.72</v>
      </c>
      <c r="K227" s="8">
        <v>59.15</v>
      </c>
      <c r="L227" s="8">
        <v>42.36</v>
      </c>
      <c r="M227" s="8">
        <v>76.02</v>
      </c>
      <c r="N227" s="8">
        <v>50.35</v>
      </c>
      <c r="O227" s="8">
        <v>57.97</v>
      </c>
      <c r="P227" s="8">
        <v>58.91</v>
      </c>
      <c r="Q227" s="8">
        <v>62.51</v>
      </c>
      <c r="R227" s="8">
        <v>48.66</v>
      </c>
      <c r="S227" s="8">
        <v>65.12</v>
      </c>
      <c r="T227" s="8">
        <v>49.27</v>
      </c>
      <c r="U227" s="8">
        <v>50.15</v>
      </c>
      <c r="V227" s="8">
        <v>48.61</v>
      </c>
      <c r="W227" s="8">
        <v>56.54</v>
      </c>
      <c r="X227" s="8">
        <v>50.89</v>
      </c>
      <c r="Y227" s="8">
        <v>60.89</v>
      </c>
      <c r="Z227" s="8">
        <v>67.66</v>
      </c>
      <c r="AA227" s="8">
        <v>41.19</v>
      </c>
      <c r="AB227" s="8">
        <v>52.8</v>
      </c>
      <c r="AC227" s="8">
        <v>67.760000000000005</v>
      </c>
      <c r="AD227" s="8">
        <v>53.84</v>
      </c>
      <c r="AE227" s="8">
        <v>65.38</v>
      </c>
      <c r="AF227" s="8">
        <v>51.34</v>
      </c>
      <c r="AG227" s="8">
        <v>49.23</v>
      </c>
      <c r="AH227" s="8">
        <v>51.61</v>
      </c>
      <c r="AI227" s="8">
        <v>46.82</v>
      </c>
      <c r="AJ227" s="8">
        <v>30.41</v>
      </c>
      <c r="AK227" s="8">
        <v>54.57</v>
      </c>
      <c r="AL227" s="8">
        <v>45.78</v>
      </c>
      <c r="AM227" s="8">
        <v>82.81</v>
      </c>
      <c r="AN227" s="8">
        <v>43.29</v>
      </c>
      <c r="AO227" s="8">
        <v>11.89</v>
      </c>
      <c r="AP227" s="8">
        <v>11.89</v>
      </c>
      <c r="AQ227" s="8">
        <v>101.81</v>
      </c>
      <c r="AR227" s="8">
        <v>119.86</v>
      </c>
      <c r="AS227" s="8">
        <v>111.91</v>
      </c>
      <c r="AT227" s="8">
        <v>129.1</v>
      </c>
      <c r="AU227" s="8">
        <v>103.9</v>
      </c>
      <c r="AV227" s="8">
        <v>115.67</v>
      </c>
      <c r="AW227" s="8">
        <v>118.99</v>
      </c>
      <c r="AX227" s="8">
        <v>118.99</v>
      </c>
      <c r="AY227" s="8">
        <v>102.91</v>
      </c>
      <c r="AZ227" s="8">
        <v>59.38</v>
      </c>
      <c r="BA227" s="8">
        <v>63.58</v>
      </c>
      <c r="BB227" s="8">
        <v>48.36</v>
      </c>
      <c r="BC227" s="8">
        <v>42.03</v>
      </c>
      <c r="BD227" s="8">
        <v>49.2</v>
      </c>
      <c r="BE227" s="8">
        <v>49.2</v>
      </c>
      <c r="BF227" s="8">
        <v>41.72</v>
      </c>
      <c r="BG227" s="8">
        <v>41.73</v>
      </c>
      <c r="BH227" s="8">
        <v>43.61</v>
      </c>
      <c r="BI227" s="8">
        <v>52.28</v>
      </c>
      <c r="BJ227" s="8">
        <v>33.08</v>
      </c>
      <c r="BK227" s="8">
        <v>32.08</v>
      </c>
      <c r="BL227" s="8">
        <v>36.4</v>
      </c>
      <c r="BM227" s="8">
        <v>33.08</v>
      </c>
      <c r="BN227" s="8">
        <v>26.86</v>
      </c>
      <c r="BO227" s="8">
        <v>75.319999999999993</v>
      </c>
      <c r="BP227" s="8">
        <v>76.45</v>
      </c>
      <c r="BQ227" s="8">
        <v>81.819999999999993</v>
      </c>
      <c r="BR227" s="8">
        <v>58.17</v>
      </c>
      <c r="BS227" s="8">
        <v>122.88</v>
      </c>
      <c r="BT227" s="8">
        <v>122.88</v>
      </c>
      <c r="BU227" s="8">
        <v>105.39</v>
      </c>
      <c r="BV227" s="8">
        <v>105.9</v>
      </c>
      <c r="BW227" s="8">
        <v>119.29</v>
      </c>
      <c r="BX227" s="8">
        <v>123.53</v>
      </c>
      <c r="BY227" s="8">
        <v>79.06</v>
      </c>
      <c r="BZ227" s="8">
        <v>82</v>
      </c>
      <c r="CA227" s="8">
        <v>78.09</v>
      </c>
      <c r="CB227" s="8">
        <v>99.67</v>
      </c>
      <c r="CC227" s="8">
        <v>71.03</v>
      </c>
      <c r="CD227" s="8">
        <v>46.86</v>
      </c>
      <c r="CE227" s="8">
        <v>49.15</v>
      </c>
      <c r="CF227" s="8">
        <v>48.36</v>
      </c>
      <c r="CG227" s="8">
        <v>41.63</v>
      </c>
      <c r="CH227" s="8">
        <v>36.479999999999997</v>
      </c>
      <c r="CI227" s="8">
        <v>71.650000000000006</v>
      </c>
      <c r="CJ227" s="8">
        <v>70.31</v>
      </c>
      <c r="CK227" s="8">
        <v>82.56</v>
      </c>
      <c r="CL227" s="8">
        <v>30.16</v>
      </c>
      <c r="CM227" s="8">
        <v>27.96</v>
      </c>
      <c r="CN227" s="8">
        <v>47.68</v>
      </c>
      <c r="CO227" s="8">
        <v>61.06</v>
      </c>
      <c r="CP227" s="8">
        <v>61.38</v>
      </c>
      <c r="CQ227" s="8">
        <v>101.79</v>
      </c>
      <c r="CR227" s="8">
        <v>53.65</v>
      </c>
      <c r="CS227" s="8">
        <v>46.17</v>
      </c>
      <c r="CT227" s="8">
        <v>53.82</v>
      </c>
      <c r="CU227" s="8">
        <v>42.26</v>
      </c>
      <c r="CV227" s="8">
        <v>58.83</v>
      </c>
      <c r="CW227" s="8">
        <v>58.83</v>
      </c>
      <c r="CX227" s="8">
        <v>118.64</v>
      </c>
      <c r="CY227" s="8">
        <v>118.64</v>
      </c>
      <c r="CZ227" s="8">
        <v>41.68</v>
      </c>
      <c r="DA227" s="8">
        <v>124.32</v>
      </c>
      <c r="DB227" s="8">
        <v>76.38</v>
      </c>
      <c r="DC227" s="8">
        <v>284.2</v>
      </c>
      <c r="DD227" s="8">
        <v>898.01</v>
      </c>
      <c r="DE227" s="8">
        <v>80.680000000000007</v>
      </c>
      <c r="DF227" s="8">
        <v>64.72</v>
      </c>
      <c r="DG227" s="8">
        <v>91.14</v>
      </c>
      <c r="DH227" s="8">
        <v>55.11</v>
      </c>
      <c r="DI227" s="8">
        <v>57.03</v>
      </c>
      <c r="DJ227" s="8">
        <v>49.43</v>
      </c>
      <c r="DK227" s="8">
        <v>58.8</v>
      </c>
      <c r="DL227" s="8">
        <v>57.92</v>
      </c>
      <c r="DM227" s="8">
        <v>99.85</v>
      </c>
      <c r="DN227" s="8">
        <v>130.66</v>
      </c>
      <c r="DO227" s="8">
        <v>47.62</v>
      </c>
      <c r="DP227" s="8">
        <v>39.97</v>
      </c>
      <c r="DQ227" s="8">
        <v>46.28</v>
      </c>
      <c r="DR227" s="8">
        <v>45.37</v>
      </c>
      <c r="DS227" s="8">
        <v>34.92</v>
      </c>
      <c r="DT227" s="8">
        <v>34.92</v>
      </c>
      <c r="DU227" s="8">
        <v>36.89</v>
      </c>
      <c r="DV227" s="8">
        <v>29.12</v>
      </c>
      <c r="DW227" s="8">
        <v>39.71</v>
      </c>
      <c r="DY227" s="8">
        <v>34.03</v>
      </c>
      <c r="DZ227" s="8">
        <v>34.03</v>
      </c>
      <c r="ED227" s="9">
        <v>0.7</v>
      </c>
      <c r="EE227" s="9">
        <v>1.1000000000000001</v>
      </c>
      <c r="EF227" s="9">
        <v>0.9</v>
      </c>
      <c r="EG227" s="9">
        <v>0.3</v>
      </c>
      <c r="EH227" s="9">
        <v>1.2</v>
      </c>
      <c r="EI227" s="9">
        <v>2.2000000000000002</v>
      </c>
      <c r="EJ227" s="9">
        <v>0.4</v>
      </c>
      <c r="EK227" s="9">
        <v>-1.4</v>
      </c>
      <c r="EL227" s="9">
        <v>-3.1</v>
      </c>
      <c r="EM227" s="9">
        <v>-0.4</v>
      </c>
      <c r="EN227" s="9">
        <v>-2.8</v>
      </c>
      <c r="EO227" s="9">
        <v>-1.3</v>
      </c>
      <c r="EP227" s="9">
        <v>-1.1000000000000001</v>
      </c>
      <c r="EQ227" s="9">
        <v>0.7</v>
      </c>
      <c r="ER227" s="9">
        <v>1</v>
      </c>
      <c r="ES227" s="9">
        <v>0.4</v>
      </c>
      <c r="ET227" s="9">
        <v>0.5</v>
      </c>
      <c r="EU227" s="9">
        <v>2.7</v>
      </c>
      <c r="EV227" s="9">
        <v>4.0999999999999996</v>
      </c>
      <c r="EW227" s="9">
        <v>-4.0999999999999996</v>
      </c>
      <c r="EX227" s="9">
        <v>12.1</v>
      </c>
      <c r="EY227" s="9">
        <v>0.9</v>
      </c>
      <c r="EZ227" s="9">
        <v>0.1</v>
      </c>
      <c r="FA227" s="9">
        <v>6.2</v>
      </c>
      <c r="FB227" s="9">
        <v>-0.1</v>
      </c>
      <c r="FC227" s="9">
        <v>1.7</v>
      </c>
      <c r="FD227" s="9">
        <v>0.7</v>
      </c>
      <c r="FE227" s="9">
        <v>-0.4</v>
      </c>
      <c r="FF227" s="9">
        <v>2.2999999999999998</v>
      </c>
      <c r="FG227" s="9">
        <v>1.6</v>
      </c>
      <c r="FH227" s="9">
        <v>2.5</v>
      </c>
      <c r="FI227" s="9">
        <v>0.9</v>
      </c>
      <c r="FJ227" s="9">
        <v>1</v>
      </c>
      <c r="FK227" s="9">
        <v>0.8</v>
      </c>
      <c r="FL227" s="9">
        <v>1.1000000000000001</v>
      </c>
      <c r="FM227" s="9">
        <v>1.1000000000000001</v>
      </c>
      <c r="FN227" s="9">
        <v>0.5</v>
      </c>
      <c r="FO227" s="9">
        <v>0.4</v>
      </c>
      <c r="FP227" s="9">
        <v>1.8</v>
      </c>
      <c r="FQ227" s="9">
        <v>1.1000000000000001</v>
      </c>
      <c r="FR227" s="9">
        <v>1.1000000000000001</v>
      </c>
      <c r="FS227" s="9">
        <v>-0.7</v>
      </c>
      <c r="FT227" s="9">
        <v>-1.6</v>
      </c>
      <c r="FU227" s="9">
        <v>-1.8</v>
      </c>
      <c r="FV227" s="9">
        <v>-1.8</v>
      </c>
      <c r="FW227" s="9">
        <v>-0.8</v>
      </c>
      <c r="FX227" s="9">
        <v>1.2</v>
      </c>
      <c r="FY227" s="9">
        <v>1.7</v>
      </c>
      <c r="FZ227" s="9">
        <v>1.1000000000000001</v>
      </c>
      <c r="GA227" s="9">
        <v>0.8</v>
      </c>
      <c r="GB227" s="9">
        <v>0.8</v>
      </c>
      <c r="GC227" s="9">
        <v>0.4</v>
      </c>
      <c r="GD227" s="9">
        <v>1.8</v>
      </c>
      <c r="GE227" s="9">
        <v>1.4</v>
      </c>
      <c r="GF227" s="9">
        <v>0.4</v>
      </c>
      <c r="GG227" s="9">
        <v>0.4</v>
      </c>
      <c r="GH227" s="9">
        <v>1</v>
      </c>
      <c r="GI227" s="9">
        <v>1</v>
      </c>
      <c r="GJ227" s="9">
        <v>2.7</v>
      </c>
      <c r="GK227" s="9">
        <v>0.7</v>
      </c>
      <c r="GL227" s="9">
        <v>6.1</v>
      </c>
      <c r="GM227" s="9">
        <v>2.4</v>
      </c>
      <c r="GN227" s="9">
        <v>3</v>
      </c>
      <c r="GO227" s="9">
        <v>1.2</v>
      </c>
      <c r="GP227" s="9">
        <v>4.5</v>
      </c>
      <c r="GQ227" s="9">
        <v>0.2</v>
      </c>
      <c r="GR227" s="9">
        <v>-0.6</v>
      </c>
      <c r="GS227" s="9">
        <v>-1.2</v>
      </c>
      <c r="GT227" s="9">
        <v>1.7</v>
      </c>
      <c r="GU227" s="9">
        <v>-1.4</v>
      </c>
      <c r="GV227" s="9">
        <v>-1.4</v>
      </c>
      <c r="GW227" s="9">
        <v>-0.4</v>
      </c>
      <c r="GX227" s="9">
        <v>0</v>
      </c>
      <c r="GY227" s="9">
        <v>-0.3</v>
      </c>
      <c r="GZ227" s="9">
        <v>-2</v>
      </c>
      <c r="HA227" s="9">
        <v>0.5</v>
      </c>
      <c r="HB227" s="9">
        <v>2.2000000000000002</v>
      </c>
      <c r="HC227" s="9">
        <v>1.1000000000000001</v>
      </c>
      <c r="HD227" s="9">
        <v>1.8</v>
      </c>
      <c r="HE227" s="9">
        <v>2.5</v>
      </c>
      <c r="HF227" s="9">
        <v>1</v>
      </c>
      <c r="HG227" s="9">
        <v>11.1</v>
      </c>
      <c r="HH227" s="9">
        <v>0.7</v>
      </c>
      <c r="HI227" s="9">
        <v>1</v>
      </c>
      <c r="HJ227" s="9">
        <v>0.3</v>
      </c>
      <c r="HK227" s="9">
        <v>-3.8</v>
      </c>
      <c r="HL227" s="9">
        <v>-4.5</v>
      </c>
      <c r="HM227" s="9">
        <v>0.3</v>
      </c>
      <c r="HN227" s="9">
        <v>1.8</v>
      </c>
      <c r="HO227" s="9">
        <v>1.9</v>
      </c>
      <c r="HP227" s="9">
        <v>1.6</v>
      </c>
      <c r="HQ227" s="9">
        <v>-0.3</v>
      </c>
      <c r="HR227" s="9">
        <v>-0.4</v>
      </c>
      <c r="HS227" s="9">
        <v>-1</v>
      </c>
      <c r="HT227" s="9">
        <v>-1.8</v>
      </c>
      <c r="HU227" s="9">
        <v>-1.2</v>
      </c>
      <c r="HV227" s="9">
        <v>1.9</v>
      </c>
      <c r="HW227" s="9">
        <v>2.2000000000000002</v>
      </c>
      <c r="HX227" s="9">
        <v>0.8</v>
      </c>
      <c r="HY227" s="9">
        <v>0.8</v>
      </c>
      <c r="HZ227" s="9">
        <v>1.5</v>
      </c>
      <c r="IA227" s="9">
        <v>1.5</v>
      </c>
      <c r="IB227" s="9">
        <v>2.5</v>
      </c>
      <c r="IC227" s="9">
        <v>1.5</v>
      </c>
      <c r="ID227" s="9">
        <v>0.5</v>
      </c>
      <c r="IE227" s="9">
        <v>-1.9</v>
      </c>
      <c r="IF227" s="9">
        <v>-3.3</v>
      </c>
      <c r="IG227" s="9">
        <v>-0.3</v>
      </c>
      <c r="IH227" s="9">
        <v>-0.1</v>
      </c>
      <c r="II227" s="9">
        <v>0</v>
      </c>
      <c r="IJ227" s="9">
        <v>0</v>
      </c>
      <c r="IK227" s="9">
        <v>1.7</v>
      </c>
      <c r="IL227" s="9">
        <v>0.7</v>
      </c>
      <c r="IM227" s="9">
        <v>2.9</v>
      </c>
      <c r="IN227" s="9">
        <v>0.4</v>
      </c>
      <c r="IO227" s="9">
        <v>-0.9</v>
      </c>
      <c r="IP227" s="9">
        <v>-1.3</v>
      </c>
      <c r="IQ227" s="9">
        <v>-1.5</v>
      </c>
    </row>
    <row r="228" spans="1:251" x14ac:dyDescent="0.2">
      <c r="A228" s="10">
        <v>37591</v>
      </c>
      <c r="B228" s="8">
        <v>53.92</v>
      </c>
      <c r="C228" s="8">
        <v>53.51</v>
      </c>
      <c r="D228" s="8">
        <v>59.03</v>
      </c>
      <c r="E228" s="8">
        <v>57.46</v>
      </c>
      <c r="F228" s="8">
        <v>56.93</v>
      </c>
      <c r="G228" s="8">
        <v>71.209999999999994</v>
      </c>
      <c r="H228" s="8">
        <v>63.44</v>
      </c>
      <c r="I228" s="8">
        <v>55.46</v>
      </c>
      <c r="J228" s="8">
        <v>47.41</v>
      </c>
      <c r="K228" s="8">
        <v>58.26</v>
      </c>
      <c r="L228" s="8">
        <v>42.44</v>
      </c>
      <c r="M228" s="8">
        <v>75.260000000000005</v>
      </c>
      <c r="N228" s="8">
        <v>50.85</v>
      </c>
      <c r="O228" s="8">
        <v>59.64</v>
      </c>
      <c r="P228" s="8">
        <v>60.13</v>
      </c>
      <c r="Q228" s="8">
        <v>64.09</v>
      </c>
      <c r="R228" s="8">
        <v>49.37</v>
      </c>
      <c r="S228" s="8">
        <v>66.27</v>
      </c>
      <c r="T228" s="8">
        <v>51.32</v>
      </c>
      <c r="U228" s="8">
        <v>51.39</v>
      </c>
      <c r="V228" s="8">
        <v>51.32</v>
      </c>
      <c r="W228" s="8">
        <v>56.99</v>
      </c>
      <c r="X228" s="8">
        <v>48.53</v>
      </c>
      <c r="Y228" s="8">
        <v>64.87</v>
      </c>
      <c r="Z228" s="8">
        <v>66.510000000000005</v>
      </c>
      <c r="AA228" s="8">
        <v>40.47</v>
      </c>
      <c r="AB228" s="8">
        <v>53.67</v>
      </c>
      <c r="AC228" s="8">
        <v>68.28</v>
      </c>
      <c r="AD228" s="8">
        <v>54.08</v>
      </c>
      <c r="AE228" s="8">
        <v>64.569999999999993</v>
      </c>
      <c r="AF228" s="8">
        <v>51.81</v>
      </c>
      <c r="AG228" s="8">
        <v>49.56</v>
      </c>
      <c r="AH228" s="8">
        <v>52.11</v>
      </c>
      <c r="AI228" s="8">
        <v>47.02</v>
      </c>
      <c r="AJ228" s="8">
        <v>30.42</v>
      </c>
      <c r="AK228" s="8">
        <v>54.5</v>
      </c>
      <c r="AL228" s="8">
        <v>45.84</v>
      </c>
      <c r="AM228" s="8">
        <v>82.5</v>
      </c>
      <c r="AN228" s="8">
        <v>43.25</v>
      </c>
      <c r="AO228" s="8">
        <v>11.93</v>
      </c>
      <c r="AP228" s="8">
        <v>11.93</v>
      </c>
      <c r="AQ228" s="8">
        <v>102.74</v>
      </c>
      <c r="AR228" s="8">
        <v>122.16</v>
      </c>
      <c r="AS228" s="8">
        <v>114.01</v>
      </c>
      <c r="AT228" s="8">
        <v>131.30000000000001</v>
      </c>
      <c r="AU228" s="8">
        <v>106.81</v>
      </c>
      <c r="AV228" s="8">
        <v>114.27</v>
      </c>
      <c r="AW228" s="8">
        <v>116.51</v>
      </c>
      <c r="AX228" s="8">
        <v>117.27</v>
      </c>
      <c r="AY228" s="8">
        <v>103.45</v>
      </c>
      <c r="AZ228" s="8">
        <v>59.15</v>
      </c>
      <c r="BA228" s="8">
        <v>62.73</v>
      </c>
      <c r="BB228" s="8">
        <v>48.61</v>
      </c>
      <c r="BC228" s="8">
        <v>42.2</v>
      </c>
      <c r="BD228" s="8">
        <v>49.39</v>
      </c>
      <c r="BE228" s="8">
        <v>49.39</v>
      </c>
      <c r="BF228" s="8">
        <v>42.01</v>
      </c>
      <c r="BG228" s="8">
        <v>42.02</v>
      </c>
      <c r="BH228" s="8">
        <v>43.82</v>
      </c>
      <c r="BI228" s="8">
        <v>52.71</v>
      </c>
      <c r="BJ228" s="8">
        <v>33.08</v>
      </c>
      <c r="BK228" s="8">
        <v>31.98</v>
      </c>
      <c r="BL228" s="8">
        <v>36.6</v>
      </c>
      <c r="BM228" s="8">
        <v>33.36</v>
      </c>
      <c r="BN228" s="8">
        <v>25.81</v>
      </c>
      <c r="BO228" s="8">
        <v>76.06</v>
      </c>
      <c r="BP228" s="8">
        <v>78.150000000000006</v>
      </c>
      <c r="BQ228" s="8">
        <v>83.78</v>
      </c>
      <c r="BR228" s="8">
        <v>59.05</v>
      </c>
      <c r="BS228" s="8">
        <v>125.1</v>
      </c>
      <c r="BT228" s="8">
        <v>125.1</v>
      </c>
      <c r="BU228" s="8">
        <v>105.47</v>
      </c>
      <c r="BV228" s="8">
        <v>106.02</v>
      </c>
      <c r="BW228" s="8">
        <v>119.68</v>
      </c>
      <c r="BX228" s="8">
        <v>123.62</v>
      </c>
      <c r="BY228" s="8">
        <v>78.87</v>
      </c>
      <c r="BZ228" s="8">
        <v>81.62</v>
      </c>
      <c r="CA228" s="8">
        <v>77.64</v>
      </c>
      <c r="CB228" s="8">
        <v>99.52</v>
      </c>
      <c r="CC228" s="8">
        <v>70.72</v>
      </c>
      <c r="CD228" s="8">
        <v>47.51</v>
      </c>
      <c r="CE228" s="8">
        <v>50.02</v>
      </c>
      <c r="CF228" s="8">
        <v>48.66</v>
      </c>
      <c r="CG228" s="8">
        <v>42.21</v>
      </c>
      <c r="CH228" s="8">
        <v>36.619999999999997</v>
      </c>
      <c r="CI228" s="8">
        <v>69.86</v>
      </c>
      <c r="CJ228" s="8">
        <v>68.290000000000006</v>
      </c>
      <c r="CK228" s="8">
        <v>82.6</v>
      </c>
      <c r="CL228" s="8">
        <v>30.57</v>
      </c>
      <c r="CM228" s="8">
        <v>28.38</v>
      </c>
      <c r="CN228" s="8">
        <v>48.11</v>
      </c>
      <c r="CO228" s="8">
        <v>61.71</v>
      </c>
      <c r="CP228" s="8">
        <v>62.08</v>
      </c>
      <c r="CQ228" s="8">
        <v>102.78</v>
      </c>
      <c r="CR228" s="8">
        <v>55.22</v>
      </c>
      <c r="CS228" s="8">
        <v>47.01</v>
      </c>
      <c r="CT228" s="8">
        <v>53.7</v>
      </c>
      <c r="CU228" s="8">
        <v>42.5</v>
      </c>
      <c r="CV228" s="8">
        <v>58.84</v>
      </c>
      <c r="CW228" s="8">
        <v>58.84</v>
      </c>
      <c r="CX228" s="8">
        <v>119.2</v>
      </c>
      <c r="CY228" s="8">
        <v>119.2</v>
      </c>
      <c r="CZ228" s="8">
        <v>41.68</v>
      </c>
      <c r="DA228" s="8">
        <v>124.94</v>
      </c>
      <c r="DB228" s="8">
        <v>76.430000000000007</v>
      </c>
      <c r="DC228" s="8">
        <v>275.23</v>
      </c>
      <c r="DD228" s="8">
        <v>851.7</v>
      </c>
      <c r="DE228" s="8">
        <v>79.95</v>
      </c>
      <c r="DF228" s="8">
        <v>65.28</v>
      </c>
      <c r="DG228" s="8">
        <v>91.57</v>
      </c>
      <c r="DH228" s="8">
        <v>55.72</v>
      </c>
      <c r="DI228" s="8">
        <v>57.81</v>
      </c>
      <c r="DJ228" s="8">
        <v>50.76</v>
      </c>
      <c r="DK228" s="8">
        <v>58.78</v>
      </c>
      <c r="DL228" s="8">
        <v>57.78</v>
      </c>
      <c r="DM228" s="8">
        <v>99.23</v>
      </c>
      <c r="DN228" s="8">
        <v>126.43</v>
      </c>
      <c r="DO228" s="8">
        <v>47.44</v>
      </c>
      <c r="DP228" s="8">
        <v>40.11</v>
      </c>
      <c r="DQ228" s="8">
        <v>46.59</v>
      </c>
      <c r="DR228" s="8">
        <v>45.49</v>
      </c>
      <c r="DS228" s="8">
        <v>34.96</v>
      </c>
      <c r="DT228" s="8">
        <v>34.96</v>
      </c>
      <c r="DU228" s="8">
        <v>37.11</v>
      </c>
      <c r="DV228" s="8">
        <v>29.12</v>
      </c>
      <c r="DW228" s="8">
        <v>39.71</v>
      </c>
      <c r="DY228" s="8">
        <v>34.119999999999997</v>
      </c>
      <c r="DZ228" s="8">
        <v>34.119999999999997</v>
      </c>
      <c r="ED228" s="9">
        <v>0.7</v>
      </c>
      <c r="EE228" s="9">
        <v>1.4</v>
      </c>
      <c r="EF228" s="9">
        <v>2.2000000000000002</v>
      </c>
      <c r="EG228" s="9">
        <v>1.5</v>
      </c>
      <c r="EH228" s="9">
        <v>2.8</v>
      </c>
      <c r="EI228" s="9">
        <v>2.2999999999999998</v>
      </c>
      <c r="EJ228" s="9">
        <v>1.9</v>
      </c>
      <c r="EK228" s="9">
        <v>0.5</v>
      </c>
      <c r="EL228" s="9">
        <v>1.5</v>
      </c>
      <c r="EM228" s="9">
        <v>-1.5</v>
      </c>
      <c r="EN228" s="9">
        <v>0.2</v>
      </c>
      <c r="EO228" s="9">
        <v>-1</v>
      </c>
      <c r="EP228" s="9">
        <v>1</v>
      </c>
      <c r="EQ228" s="9">
        <v>2.9</v>
      </c>
      <c r="ER228" s="9">
        <v>2.1</v>
      </c>
      <c r="ES228" s="9">
        <v>2.5</v>
      </c>
      <c r="ET228" s="9">
        <v>1.5</v>
      </c>
      <c r="EU228" s="9">
        <v>1.8</v>
      </c>
      <c r="EV228" s="9">
        <v>4.2</v>
      </c>
      <c r="EW228" s="9">
        <v>2.5</v>
      </c>
      <c r="EX228" s="9">
        <v>5.6</v>
      </c>
      <c r="EY228" s="9">
        <v>0.8</v>
      </c>
      <c r="EZ228" s="9">
        <v>-4.5999999999999996</v>
      </c>
      <c r="FA228" s="9">
        <v>6.5</v>
      </c>
      <c r="FB228" s="9">
        <v>-1.7</v>
      </c>
      <c r="FC228" s="9">
        <v>-1.7</v>
      </c>
      <c r="FD228" s="9">
        <v>1.6</v>
      </c>
      <c r="FE228" s="9">
        <v>0.8</v>
      </c>
      <c r="FF228" s="9">
        <v>0.4</v>
      </c>
      <c r="FG228" s="9">
        <v>-1.2</v>
      </c>
      <c r="FH228" s="9">
        <v>0.9</v>
      </c>
      <c r="FI228" s="9">
        <v>0.7</v>
      </c>
      <c r="FJ228" s="9">
        <v>1</v>
      </c>
      <c r="FK228" s="9">
        <v>0.4</v>
      </c>
      <c r="FL228" s="9">
        <v>0</v>
      </c>
      <c r="FM228" s="9">
        <v>-0.1</v>
      </c>
      <c r="FN228" s="9">
        <v>0.1</v>
      </c>
      <c r="FO228" s="9">
        <v>-0.4</v>
      </c>
      <c r="FP228" s="9">
        <v>-0.1</v>
      </c>
      <c r="FQ228" s="9">
        <v>0.3</v>
      </c>
      <c r="FR228" s="9">
        <v>0.3</v>
      </c>
      <c r="FS228" s="9">
        <v>0.9</v>
      </c>
      <c r="FT228" s="9">
        <v>1.9</v>
      </c>
      <c r="FU228" s="9">
        <v>1.9</v>
      </c>
      <c r="FV228" s="9">
        <v>1.7</v>
      </c>
      <c r="FW228" s="9">
        <v>2.8</v>
      </c>
      <c r="FX228" s="9">
        <v>-1.2</v>
      </c>
      <c r="FY228" s="9">
        <v>-2.1</v>
      </c>
      <c r="FZ228" s="9">
        <v>-1.4</v>
      </c>
      <c r="GA228" s="9">
        <v>0.5</v>
      </c>
      <c r="GB228" s="9">
        <v>-0.4</v>
      </c>
      <c r="GC228" s="9">
        <v>-1.3</v>
      </c>
      <c r="GD228" s="9">
        <v>0.5</v>
      </c>
      <c r="GE228" s="9">
        <v>0.4</v>
      </c>
      <c r="GF228" s="9">
        <v>0.4</v>
      </c>
      <c r="GG228" s="9">
        <v>0.4</v>
      </c>
      <c r="GH228" s="9">
        <v>0.7</v>
      </c>
      <c r="GI228" s="9">
        <v>0.7</v>
      </c>
      <c r="GJ228" s="9">
        <v>0.5</v>
      </c>
      <c r="GK228" s="9">
        <v>0.8</v>
      </c>
      <c r="GL228" s="9">
        <v>0</v>
      </c>
      <c r="GM228" s="9">
        <v>-0.3</v>
      </c>
      <c r="GN228" s="9">
        <v>0.5</v>
      </c>
      <c r="GO228" s="9">
        <v>0.8</v>
      </c>
      <c r="GP228" s="9">
        <v>-3.9</v>
      </c>
      <c r="GQ228" s="9">
        <v>1</v>
      </c>
      <c r="GR228" s="9">
        <v>2.2000000000000002</v>
      </c>
      <c r="GS228" s="9">
        <v>2.4</v>
      </c>
      <c r="GT228" s="9">
        <v>1.5</v>
      </c>
      <c r="GU228" s="9">
        <v>1.8</v>
      </c>
      <c r="GV228" s="9">
        <v>1.8</v>
      </c>
      <c r="GW228" s="9">
        <v>0.1</v>
      </c>
      <c r="GX228" s="9">
        <v>0.1</v>
      </c>
      <c r="GY228" s="9">
        <v>0.3</v>
      </c>
      <c r="GZ228" s="9">
        <v>0.1</v>
      </c>
      <c r="HA228" s="9">
        <v>-0.2</v>
      </c>
      <c r="HB228" s="9">
        <v>-0.5</v>
      </c>
      <c r="HC228" s="9">
        <v>-0.6</v>
      </c>
      <c r="HD228" s="9">
        <v>-0.2</v>
      </c>
      <c r="HE228" s="9">
        <v>-0.4</v>
      </c>
      <c r="HF228" s="9">
        <v>1.4</v>
      </c>
      <c r="HG228" s="9">
        <v>1.8</v>
      </c>
      <c r="HH228" s="9">
        <v>0.6</v>
      </c>
      <c r="HI228" s="9">
        <v>1.4</v>
      </c>
      <c r="HJ228" s="9">
        <v>0.4</v>
      </c>
      <c r="HK228" s="9">
        <v>-2.5</v>
      </c>
      <c r="HL228" s="9">
        <v>-2.9</v>
      </c>
      <c r="HM228" s="9">
        <v>0</v>
      </c>
      <c r="HN228" s="9">
        <v>1.4</v>
      </c>
      <c r="HO228" s="9">
        <v>1.5</v>
      </c>
      <c r="HP228" s="9">
        <v>0.9</v>
      </c>
      <c r="HQ228" s="9">
        <v>1.1000000000000001</v>
      </c>
      <c r="HR228" s="9">
        <v>1.1000000000000001</v>
      </c>
      <c r="HS228" s="9">
        <v>1</v>
      </c>
      <c r="HT228" s="9">
        <v>2.9</v>
      </c>
      <c r="HU228" s="9">
        <v>1.8</v>
      </c>
      <c r="HV228" s="9">
        <v>-0.2</v>
      </c>
      <c r="HW228" s="9">
        <v>0.6</v>
      </c>
      <c r="HX228" s="9">
        <v>0</v>
      </c>
      <c r="HY228" s="9">
        <v>0</v>
      </c>
      <c r="HZ228" s="9">
        <v>0.5</v>
      </c>
      <c r="IA228" s="9">
        <v>0.5</v>
      </c>
      <c r="IB228" s="9">
        <v>0</v>
      </c>
      <c r="IC228" s="9">
        <v>0.5</v>
      </c>
      <c r="ID228" s="9">
        <v>0.1</v>
      </c>
      <c r="IE228" s="9">
        <v>-3.2</v>
      </c>
      <c r="IF228" s="9">
        <v>-5.2</v>
      </c>
      <c r="IG228" s="9">
        <v>-0.9</v>
      </c>
      <c r="IH228" s="9">
        <v>0.9</v>
      </c>
      <c r="II228" s="9">
        <v>0.5</v>
      </c>
      <c r="IJ228" s="9">
        <v>1.1000000000000001</v>
      </c>
      <c r="IK228" s="9">
        <v>1.4</v>
      </c>
      <c r="IL228" s="9">
        <v>2.7</v>
      </c>
      <c r="IM228" s="9">
        <v>0</v>
      </c>
      <c r="IN228" s="9">
        <v>-0.2</v>
      </c>
      <c r="IO228" s="9">
        <v>-0.6</v>
      </c>
      <c r="IP228" s="9">
        <v>-3.2</v>
      </c>
      <c r="IQ228" s="9">
        <v>-0.4</v>
      </c>
    </row>
    <row r="229" spans="1:251" x14ac:dyDescent="0.2">
      <c r="A229" s="10">
        <v>37681</v>
      </c>
      <c r="B229" s="8">
        <v>54.62</v>
      </c>
      <c r="C229" s="8">
        <v>54.53</v>
      </c>
      <c r="D229" s="8">
        <v>60.18</v>
      </c>
      <c r="E229" s="8">
        <v>58.6</v>
      </c>
      <c r="F229" s="8">
        <v>58.17</v>
      </c>
      <c r="G229" s="8">
        <v>71.78</v>
      </c>
      <c r="H229" s="8">
        <v>64.819999999999993</v>
      </c>
      <c r="I229" s="8">
        <v>56</v>
      </c>
      <c r="J229" s="8">
        <v>47.72</v>
      </c>
      <c r="K229" s="8">
        <v>58.73</v>
      </c>
      <c r="L229" s="8">
        <v>44.35</v>
      </c>
      <c r="M229" s="8">
        <v>76.69</v>
      </c>
      <c r="N229" s="8">
        <v>50.57</v>
      </c>
      <c r="O229" s="8">
        <v>59.52</v>
      </c>
      <c r="P229" s="8">
        <v>60.33</v>
      </c>
      <c r="Q229" s="8">
        <v>64.83</v>
      </c>
      <c r="R229" s="8">
        <v>48.76</v>
      </c>
      <c r="S229" s="8">
        <v>66.33</v>
      </c>
      <c r="T229" s="8">
        <v>54.44</v>
      </c>
      <c r="U229" s="8">
        <v>50.99</v>
      </c>
      <c r="V229" s="8">
        <v>57.3</v>
      </c>
      <c r="W229" s="8">
        <v>58.75</v>
      </c>
      <c r="X229" s="8">
        <v>55.28</v>
      </c>
      <c r="Y229" s="8">
        <v>65.599999999999994</v>
      </c>
      <c r="Z229" s="8">
        <v>68.27</v>
      </c>
      <c r="AA229" s="8">
        <v>41.04</v>
      </c>
      <c r="AB229" s="8">
        <v>55.85</v>
      </c>
      <c r="AC229" s="8">
        <v>68.55</v>
      </c>
      <c r="AD229" s="8">
        <v>53.96</v>
      </c>
      <c r="AE229" s="8">
        <v>62.51</v>
      </c>
      <c r="AF229" s="8">
        <v>52.1</v>
      </c>
      <c r="AG229" s="8">
        <v>50.01</v>
      </c>
      <c r="AH229" s="8">
        <v>52.29</v>
      </c>
      <c r="AI229" s="8">
        <v>47.64</v>
      </c>
      <c r="AJ229" s="8">
        <v>30.8</v>
      </c>
      <c r="AK229" s="8">
        <v>55.12</v>
      </c>
      <c r="AL229" s="8">
        <v>46.36</v>
      </c>
      <c r="AM229" s="8">
        <v>83.28</v>
      </c>
      <c r="AN229" s="8">
        <v>43.81</v>
      </c>
      <c r="AO229" s="8">
        <v>12.1</v>
      </c>
      <c r="AP229" s="8">
        <v>12.1</v>
      </c>
      <c r="AQ229" s="8">
        <v>101.3</v>
      </c>
      <c r="AR229" s="8">
        <v>119.86</v>
      </c>
      <c r="AS229" s="8">
        <v>111.73</v>
      </c>
      <c r="AT229" s="8">
        <v>129.36000000000001</v>
      </c>
      <c r="AU229" s="8">
        <v>103.34</v>
      </c>
      <c r="AV229" s="8">
        <v>111.98</v>
      </c>
      <c r="AW229" s="8">
        <v>116.48</v>
      </c>
      <c r="AX229" s="8">
        <v>112.68</v>
      </c>
      <c r="AY229" s="8">
        <v>102.77</v>
      </c>
      <c r="AZ229" s="8">
        <v>59.47</v>
      </c>
      <c r="BA229" s="8">
        <v>63.52</v>
      </c>
      <c r="BB229" s="8">
        <v>48.91</v>
      </c>
      <c r="BC229" s="8">
        <v>42.78</v>
      </c>
      <c r="BD229" s="8">
        <v>49.54</v>
      </c>
      <c r="BE229" s="8">
        <v>49.54</v>
      </c>
      <c r="BF229" s="8">
        <v>42.67</v>
      </c>
      <c r="BG229" s="8">
        <v>42.68</v>
      </c>
      <c r="BH229" s="8">
        <v>43.93</v>
      </c>
      <c r="BI229" s="8">
        <v>52.88</v>
      </c>
      <c r="BJ229" s="8">
        <v>33.08</v>
      </c>
      <c r="BK229" s="8">
        <v>33.21</v>
      </c>
      <c r="BL229" s="8">
        <v>36.619999999999997</v>
      </c>
      <c r="BM229" s="8">
        <v>35.1</v>
      </c>
      <c r="BN229" s="8">
        <v>27.09</v>
      </c>
      <c r="BO229" s="8">
        <v>75.28</v>
      </c>
      <c r="BP229" s="8">
        <v>76.75</v>
      </c>
      <c r="BQ229" s="8">
        <v>81.739999999999995</v>
      </c>
      <c r="BR229" s="8">
        <v>59.36</v>
      </c>
      <c r="BS229" s="8">
        <v>123.51</v>
      </c>
      <c r="BT229" s="8">
        <v>123.51</v>
      </c>
      <c r="BU229" s="8">
        <v>103.82</v>
      </c>
      <c r="BV229" s="8">
        <v>104.44</v>
      </c>
      <c r="BW229" s="8">
        <v>118.66</v>
      </c>
      <c r="BX229" s="8">
        <v>120.76</v>
      </c>
      <c r="BY229" s="8">
        <v>77.86</v>
      </c>
      <c r="BZ229" s="8">
        <v>81.56</v>
      </c>
      <c r="CA229" s="8">
        <v>78.23</v>
      </c>
      <c r="CB229" s="8">
        <v>100.41</v>
      </c>
      <c r="CC229" s="8">
        <v>70.510000000000005</v>
      </c>
      <c r="CD229" s="8">
        <v>48.12</v>
      </c>
      <c r="CE229" s="8">
        <v>51.2</v>
      </c>
      <c r="CF229" s="8">
        <v>49.08</v>
      </c>
      <c r="CG229" s="8">
        <v>42.75</v>
      </c>
      <c r="CH229" s="8">
        <v>37.950000000000003</v>
      </c>
      <c r="CI229" s="8">
        <v>77.02</v>
      </c>
      <c r="CJ229" s="8">
        <v>76.36</v>
      </c>
      <c r="CK229" s="8">
        <v>82.75</v>
      </c>
      <c r="CL229" s="8">
        <v>31.01</v>
      </c>
      <c r="CM229" s="8">
        <v>28.77</v>
      </c>
      <c r="CN229" s="8">
        <v>48.86</v>
      </c>
      <c r="CO229" s="8">
        <v>63.2</v>
      </c>
      <c r="CP229" s="8">
        <v>63.64</v>
      </c>
      <c r="CQ229" s="8">
        <v>102.25</v>
      </c>
      <c r="CR229" s="8">
        <v>54.95</v>
      </c>
      <c r="CS229" s="8">
        <v>51.04</v>
      </c>
      <c r="CT229" s="8">
        <v>54.26</v>
      </c>
      <c r="CU229" s="8">
        <v>42.74</v>
      </c>
      <c r="CV229" s="8">
        <v>59.2</v>
      </c>
      <c r="CW229" s="8">
        <v>59.2</v>
      </c>
      <c r="CX229" s="8">
        <v>119.55</v>
      </c>
      <c r="CY229" s="8">
        <v>119.55</v>
      </c>
      <c r="CZ229" s="8">
        <v>43.5</v>
      </c>
      <c r="DA229" s="8">
        <v>125.03</v>
      </c>
      <c r="DB229" s="8">
        <v>76.73</v>
      </c>
      <c r="DC229" s="8">
        <v>269.66000000000003</v>
      </c>
      <c r="DD229" s="8">
        <v>815.15</v>
      </c>
      <c r="DE229" s="8">
        <v>80.19</v>
      </c>
      <c r="DF229" s="8">
        <v>66.02</v>
      </c>
      <c r="DG229" s="8">
        <v>92.48</v>
      </c>
      <c r="DH229" s="8">
        <v>56.37</v>
      </c>
      <c r="DI229" s="8">
        <v>57.94</v>
      </c>
      <c r="DJ229" s="8">
        <v>51.55</v>
      </c>
      <c r="DK229" s="8">
        <v>58.06</v>
      </c>
      <c r="DL229" s="8">
        <v>58.62</v>
      </c>
      <c r="DM229" s="8">
        <v>98.51</v>
      </c>
      <c r="DN229" s="8">
        <v>129.80000000000001</v>
      </c>
      <c r="DO229" s="8">
        <v>50.07</v>
      </c>
      <c r="DP229" s="8">
        <v>40.42</v>
      </c>
      <c r="DQ229" s="8">
        <v>46.97</v>
      </c>
      <c r="DR229" s="8">
        <v>46.07</v>
      </c>
      <c r="DS229" s="8">
        <v>36.58</v>
      </c>
      <c r="DT229" s="8">
        <v>36.58</v>
      </c>
      <c r="DU229" s="8">
        <v>39.15</v>
      </c>
      <c r="DV229" s="8">
        <v>31.13</v>
      </c>
      <c r="DW229" s="8">
        <v>40.67</v>
      </c>
      <c r="DY229" s="8">
        <v>34.1</v>
      </c>
      <c r="DZ229" s="8">
        <v>34.1</v>
      </c>
      <c r="ED229" s="9">
        <v>1.3</v>
      </c>
      <c r="EE229" s="9">
        <v>1.9</v>
      </c>
      <c r="EF229" s="9">
        <v>1.9</v>
      </c>
      <c r="EG229" s="9">
        <v>2</v>
      </c>
      <c r="EH229" s="9">
        <v>2.2000000000000002</v>
      </c>
      <c r="EI229" s="9">
        <v>0.8</v>
      </c>
      <c r="EJ229" s="9">
        <v>2.2000000000000002</v>
      </c>
      <c r="EK229" s="9">
        <v>1</v>
      </c>
      <c r="EL229" s="9">
        <v>0.7</v>
      </c>
      <c r="EM229" s="9">
        <v>0.8</v>
      </c>
      <c r="EN229" s="9">
        <v>4.5</v>
      </c>
      <c r="EO229" s="9">
        <v>1.9</v>
      </c>
      <c r="EP229" s="9">
        <v>-0.6</v>
      </c>
      <c r="EQ229" s="9">
        <v>-0.2</v>
      </c>
      <c r="ER229" s="9">
        <v>0.3</v>
      </c>
      <c r="ES229" s="9">
        <v>1.2</v>
      </c>
      <c r="ET229" s="9">
        <v>-1.2</v>
      </c>
      <c r="EU229" s="9">
        <v>0.1</v>
      </c>
      <c r="EV229" s="9">
        <v>6.1</v>
      </c>
      <c r="EW229" s="9">
        <v>-0.8</v>
      </c>
      <c r="EX229" s="9">
        <v>11.7</v>
      </c>
      <c r="EY229" s="9">
        <v>3.1</v>
      </c>
      <c r="EZ229" s="9">
        <v>13.9</v>
      </c>
      <c r="FA229" s="9">
        <v>1.1000000000000001</v>
      </c>
      <c r="FB229" s="9">
        <v>2.6</v>
      </c>
      <c r="FC229" s="9">
        <v>1.4</v>
      </c>
      <c r="FD229" s="9">
        <v>4.0999999999999996</v>
      </c>
      <c r="FE229" s="9">
        <v>0.4</v>
      </c>
      <c r="FF229" s="9">
        <v>-0.2</v>
      </c>
      <c r="FG229" s="9">
        <v>-3.2</v>
      </c>
      <c r="FH229" s="9">
        <v>0.6</v>
      </c>
      <c r="FI229" s="9">
        <v>0.9</v>
      </c>
      <c r="FJ229" s="9">
        <v>0.3</v>
      </c>
      <c r="FK229" s="9">
        <v>1.3</v>
      </c>
      <c r="FL229" s="9">
        <v>1.2</v>
      </c>
      <c r="FM229" s="9">
        <v>1.1000000000000001</v>
      </c>
      <c r="FN229" s="9">
        <v>1.1000000000000001</v>
      </c>
      <c r="FO229" s="9">
        <v>0.9</v>
      </c>
      <c r="FP229" s="9">
        <v>1.3</v>
      </c>
      <c r="FQ229" s="9">
        <v>1.4</v>
      </c>
      <c r="FR229" s="9">
        <v>1.4</v>
      </c>
      <c r="FS229" s="9">
        <v>-1.4</v>
      </c>
      <c r="FT229" s="9">
        <v>-1.9</v>
      </c>
      <c r="FU229" s="9">
        <v>-2</v>
      </c>
      <c r="FV229" s="9">
        <v>-1.5</v>
      </c>
      <c r="FW229" s="9">
        <v>-3.2</v>
      </c>
      <c r="FX229" s="9">
        <v>-2</v>
      </c>
      <c r="FY229" s="9">
        <v>0</v>
      </c>
      <c r="FZ229" s="9">
        <v>-3.9</v>
      </c>
      <c r="GA229" s="9">
        <v>-0.7</v>
      </c>
      <c r="GB229" s="9">
        <v>0.5</v>
      </c>
      <c r="GC229" s="9">
        <v>1.3</v>
      </c>
      <c r="GD229" s="9">
        <v>0.6</v>
      </c>
      <c r="GE229" s="9">
        <v>1.4</v>
      </c>
      <c r="GF229" s="9">
        <v>0.3</v>
      </c>
      <c r="GG229" s="9">
        <v>0.3</v>
      </c>
      <c r="GH229" s="9">
        <v>1.6</v>
      </c>
      <c r="GI229" s="9">
        <v>1.6</v>
      </c>
      <c r="GJ229" s="9">
        <v>0.3</v>
      </c>
      <c r="GK229" s="9">
        <v>0.3</v>
      </c>
      <c r="GL229" s="9">
        <v>0</v>
      </c>
      <c r="GM229" s="9">
        <v>3.8</v>
      </c>
      <c r="GN229" s="9">
        <v>0.1</v>
      </c>
      <c r="GO229" s="9">
        <v>5.2</v>
      </c>
      <c r="GP229" s="9">
        <v>5</v>
      </c>
      <c r="GQ229" s="9">
        <v>-1</v>
      </c>
      <c r="GR229" s="9">
        <v>-1.8</v>
      </c>
      <c r="GS229" s="9">
        <v>-2.4</v>
      </c>
      <c r="GT229" s="9">
        <v>0.5</v>
      </c>
      <c r="GU229" s="9">
        <v>-1.3</v>
      </c>
      <c r="GV229" s="9">
        <v>-1.3</v>
      </c>
      <c r="GW229" s="9">
        <v>-1.6</v>
      </c>
      <c r="GX229" s="9">
        <v>-1.5</v>
      </c>
      <c r="GY229" s="9">
        <v>-0.9</v>
      </c>
      <c r="GZ229" s="9">
        <v>-2.2999999999999998</v>
      </c>
      <c r="HA229" s="9">
        <v>-1.3</v>
      </c>
      <c r="HB229" s="9">
        <v>-0.1</v>
      </c>
      <c r="HC229" s="9">
        <v>0.8</v>
      </c>
      <c r="HD229" s="9">
        <v>0.9</v>
      </c>
      <c r="HE229" s="9">
        <v>-0.3</v>
      </c>
      <c r="HF229" s="9">
        <v>1.3</v>
      </c>
      <c r="HG229" s="9">
        <v>2.4</v>
      </c>
      <c r="HH229" s="9">
        <v>0.9</v>
      </c>
      <c r="HI229" s="9">
        <v>1.3</v>
      </c>
      <c r="HJ229" s="9">
        <v>3.6</v>
      </c>
      <c r="HK229" s="9">
        <v>10.199999999999999</v>
      </c>
      <c r="HL229" s="9">
        <v>11.8</v>
      </c>
      <c r="HM229" s="9">
        <v>0.2</v>
      </c>
      <c r="HN229" s="9">
        <v>1.4</v>
      </c>
      <c r="HO229" s="9">
        <v>1.4</v>
      </c>
      <c r="HP229" s="9">
        <v>1.6</v>
      </c>
      <c r="HQ229" s="9">
        <v>2.4</v>
      </c>
      <c r="HR229" s="9">
        <v>2.5</v>
      </c>
      <c r="HS229" s="9">
        <v>-0.5</v>
      </c>
      <c r="HT229" s="9">
        <v>-0.5</v>
      </c>
      <c r="HU229" s="9">
        <v>8.6</v>
      </c>
      <c r="HV229" s="9">
        <v>1</v>
      </c>
      <c r="HW229" s="9">
        <v>0.6</v>
      </c>
      <c r="HX229" s="9">
        <v>0.6</v>
      </c>
      <c r="HY229" s="9">
        <v>0.6</v>
      </c>
      <c r="HZ229" s="9">
        <v>0.3</v>
      </c>
      <c r="IA229" s="9">
        <v>0.3</v>
      </c>
      <c r="IB229" s="9">
        <v>4.4000000000000004</v>
      </c>
      <c r="IC229" s="9">
        <v>0.1</v>
      </c>
      <c r="ID229" s="9">
        <v>0.4</v>
      </c>
      <c r="IE229" s="9">
        <v>-2</v>
      </c>
      <c r="IF229" s="9">
        <v>-4.3</v>
      </c>
      <c r="IG229" s="9">
        <v>0.3</v>
      </c>
      <c r="IH229" s="9">
        <v>1.1000000000000001</v>
      </c>
      <c r="II229" s="9">
        <v>1</v>
      </c>
      <c r="IJ229" s="9">
        <v>1.2</v>
      </c>
      <c r="IK229" s="9">
        <v>0.2</v>
      </c>
      <c r="IL229" s="9">
        <v>1.6</v>
      </c>
      <c r="IM229" s="9">
        <v>-1.2</v>
      </c>
      <c r="IN229" s="9">
        <v>1.5</v>
      </c>
      <c r="IO229" s="9">
        <v>-0.7</v>
      </c>
      <c r="IP229" s="9">
        <v>2.7</v>
      </c>
      <c r="IQ229" s="9">
        <v>5.5</v>
      </c>
    </row>
    <row r="230" spans="1:251" x14ac:dyDescent="0.2">
      <c r="A230" s="10">
        <v>37773</v>
      </c>
      <c r="B230" s="8">
        <v>54.62</v>
      </c>
      <c r="C230" s="8">
        <v>54.54</v>
      </c>
      <c r="D230" s="8">
        <v>61.01</v>
      </c>
      <c r="E230" s="8">
        <v>59.51</v>
      </c>
      <c r="F230" s="8">
        <v>57.83</v>
      </c>
      <c r="G230" s="8">
        <v>74.19</v>
      </c>
      <c r="H230" s="8">
        <v>68.81</v>
      </c>
      <c r="I230" s="8">
        <v>56.7</v>
      </c>
      <c r="J230" s="8">
        <v>48.99</v>
      </c>
      <c r="K230" s="8">
        <v>59.36</v>
      </c>
      <c r="L230" s="8">
        <v>46.49</v>
      </c>
      <c r="M230" s="8">
        <v>76.55</v>
      </c>
      <c r="N230" s="8">
        <v>50.61</v>
      </c>
      <c r="O230" s="8">
        <v>59.27</v>
      </c>
      <c r="P230" s="8">
        <v>60.56</v>
      </c>
      <c r="Q230" s="8">
        <v>65.33</v>
      </c>
      <c r="R230" s="8">
        <v>49.36</v>
      </c>
      <c r="S230" s="8">
        <v>65.489999999999995</v>
      </c>
      <c r="T230" s="8">
        <v>51.62</v>
      </c>
      <c r="U230" s="8">
        <v>49.09</v>
      </c>
      <c r="V230" s="8">
        <v>53.73</v>
      </c>
      <c r="W230" s="8">
        <v>58.64</v>
      </c>
      <c r="X230" s="8">
        <v>56.76</v>
      </c>
      <c r="Y230" s="8">
        <v>66.5</v>
      </c>
      <c r="Z230" s="8">
        <v>68.45</v>
      </c>
      <c r="AA230" s="8">
        <v>41.17</v>
      </c>
      <c r="AB230" s="8">
        <v>55.5</v>
      </c>
      <c r="AC230" s="8">
        <v>67.87</v>
      </c>
      <c r="AD230" s="8">
        <v>54.68</v>
      </c>
      <c r="AE230" s="8">
        <v>64.11</v>
      </c>
      <c r="AF230" s="8">
        <v>52.62</v>
      </c>
      <c r="AG230" s="8">
        <v>50.49</v>
      </c>
      <c r="AH230" s="8">
        <v>52.87</v>
      </c>
      <c r="AI230" s="8">
        <v>48.05</v>
      </c>
      <c r="AJ230" s="8">
        <v>30.98</v>
      </c>
      <c r="AK230" s="8">
        <v>55.31</v>
      </c>
      <c r="AL230" s="8">
        <v>46.85</v>
      </c>
      <c r="AM230" s="8">
        <v>83.15</v>
      </c>
      <c r="AN230" s="8">
        <v>43.98</v>
      </c>
      <c r="AO230" s="8">
        <v>12.23</v>
      </c>
      <c r="AP230" s="8">
        <v>12.23</v>
      </c>
      <c r="AQ230" s="8">
        <v>102.49</v>
      </c>
      <c r="AR230" s="8">
        <v>121.43</v>
      </c>
      <c r="AS230" s="8">
        <v>112.5</v>
      </c>
      <c r="AT230" s="8">
        <v>131.44999999999999</v>
      </c>
      <c r="AU230" s="8">
        <v>104.98</v>
      </c>
      <c r="AV230" s="8">
        <v>112.78</v>
      </c>
      <c r="AW230" s="8">
        <v>116.86</v>
      </c>
      <c r="AX230" s="8">
        <v>114.39</v>
      </c>
      <c r="AY230" s="8">
        <v>102.33</v>
      </c>
      <c r="AZ230" s="8">
        <v>60.09</v>
      </c>
      <c r="BA230" s="8">
        <v>64.14</v>
      </c>
      <c r="BB230" s="8">
        <v>49.43</v>
      </c>
      <c r="BC230" s="8">
        <v>43.19</v>
      </c>
      <c r="BD230" s="8">
        <v>49.8</v>
      </c>
      <c r="BE230" s="8">
        <v>49.8</v>
      </c>
      <c r="BF230" s="8">
        <v>43.52</v>
      </c>
      <c r="BG230" s="8">
        <v>43.52</v>
      </c>
      <c r="BH230" s="8">
        <v>44.27</v>
      </c>
      <c r="BI230" s="8">
        <v>53.53</v>
      </c>
      <c r="BJ230" s="8">
        <v>33.08</v>
      </c>
      <c r="BK230" s="8">
        <v>33.01</v>
      </c>
      <c r="BL230" s="8">
        <v>36.619999999999997</v>
      </c>
      <c r="BM230" s="8">
        <v>34.58</v>
      </c>
      <c r="BN230" s="8">
        <v>27.33</v>
      </c>
      <c r="BO230" s="8">
        <v>75.930000000000007</v>
      </c>
      <c r="BP230" s="8">
        <v>78.45</v>
      </c>
      <c r="BQ230" s="8">
        <v>83.44</v>
      </c>
      <c r="BR230" s="8">
        <v>60.92</v>
      </c>
      <c r="BS230" s="8">
        <v>123.94</v>
      </c>
      <c r="BT230" s="8">
        <v>123.94</v>
      </c>
      <c r="BU230" s="8">
        <v>104.54</v>
      </c>
      <c r="BV230" s="8">
        <v>104.43</v>
      </c>
      <c r="BW230" s="8">
        <v>117.78</v>
      </c>
      <c r="BX230" s="8">
        <v>124.81</v>
      </c>
      <c r="BY230" s="8">
        <v>77.87</v>
      </c>
      <c r="BZ230" s="8">
        <v>80.930000000000007</v>
      </c>
      <c r="CA230" s="8">
        <v>78.66</v>
      </c>
      <c r="CB230" s="8">
        <v>100.77</v>
      </c>
      <c r="CC230" s="8">
        <v>69.72</v>
      </c>
      <c r="CD230" s="8">
        <v>48.44</v>
      </c>
      <c r="CE230" s="8">
        <v>51.54</v>
      </c>
      <c r="CF230" s="8">
        <v>49.3</v>
      </c>
      <c r="CG230" s="8">
        <v>43.03</v>
      </c>
      <c r="CH230" s="8">
        <v>39.11</v>
      </c>
      <c r="CI230" s="8">
        <v>76.5</v>
      </c>
      <c r="CJ230" s="8">
        <v>75.83</v>
      </c>
      <c r="CK230" s="8">
        <v>82.51</v>
      </c>
      <c r="CL230" s="8">
        <v>32.369999999999997</v>
      </c>
      <c r="CM230" s="8">
        <v>30.26</v>
      </c>
      <c r="CN230" s="8">
        <v>49.53</v>
      </c>
      <c r="CO230" s="8">
        <v>61.32</v>
      </c>
      <c r="CP230" s="8">
        <v>61.61</v>
      </c>
      <c r="CQ230" s="8">
        <v>101.29</v>
      </c>
      <c r="CR230" s="8">
        <v>55.6</v>
      </c>
      <c r="CS230" s="8">
        <v>46.15</v>
      </c>
      <c r="CT230" s="8">
        <v>54.51</v>
      </c>
      <c r="CU230" s="8">
        <v>42.82</v>
      </c>
      <c r="CV230" s="8">
        <v>59.5</v>
      </c>
      <c r="CW230" s="8">
        <v>59.5</v>
      </c>
      <c r="CX230" s="8">
        <v>119.73</v>
      </c>
      <c r="CY230" s="8">
        <v>119.73</v>
      </c>
      <c r="CZ230" s="8">
        <v>43.78</v>
      </c>
      <c r="DA230" s="8">
        <v>125.19</v>
      </c>
      <c r="DB230" s="8">
        <v>76.2</v>
      </c>
      <c r="DC230" s="8">
        <v>262.24</v>
      </c>
      <c r="DD230" s="8">
        <v>766.13</v>
      </c>
      <c r="DE230" s="8">
        <v>80.680000000000007</v>
      </c>
      <c r="DF230" s="8">
        <v>66.28</v>
      </c>
      <c r="DG230" s="8">
        <v>92.56</v>
      </c>
      <c r="DH230" s="8">
        <v>56.65</v>
      </c>
      <c r="DI230" s="8">
        <v>57.2</v>
      </c>
      <c r="DJ230" s="8">
        <v>49.57</v>
      </c>
      <c r="DK230" s="8">
        <v>58.99</v>
      </c>
      <c r="DL230" s="8">
        <v>58.89</v>
      </c>
      <c r="DM230" s="8">
        <v>98.26</v>
      </c>
      <c r="DN230" s="8">
        <v>130.12</v>
      </c>
      <c r="DO230" s="8">
        <v>49.07</v>
      </c>
      <c r="DP230" s="8">
        <v>40.64</v>
      </c>
      <c r="DQ230" s="8">
        <v>47.49</v>
      </c>
      <c r="DR230" s="8">
        <v>46.6</v>
      </c>
      <c r="DS230" s="8">
        <v>36.58</v>
      </c>
      <c r="DT230" s="8">
        <v>36.58</v>
      </c>
      <c r="DU230" s="8">
        <v>39.159999999999997</v>
      </c>
      <c r="DV230" s="8">
        <v>31.13</v>
      </c>
      <c r="DW230" s="8">
        <v>40.67</v>
      </c>
      <c r="DY230" s="8">
        <v>34.07</v>
      </c>
      <c r="DZ230" s="8">
        <v>34.07</v>
      </c>
      <c r="ED230" s="9">
        <v>0</v>
      </c>
      <c r="EE230" s="9">
        <v>0</v>
      </c>
      <c r="EF230" s="9">
        <v>1.4</v>
      </c>
      <c r="EG230" s="9">
        <v>1.6</v>
      </c>
      <c r="EH230" s="9">
        <v>-0.6</v>
      </c>
      <c r="EI230" s="9">
        <v>3.4</v>
      </c>
      <c r="EJ230" s="9">
        <v>6.2</v>
      </c>
      <c r="EK230" s="9">
        <v>1.3</v>
      </c>
      <c r="EL230" s="9">
        <v>2.7</v>
      </c>
      <c r="EM230" s="9">
        <v>1.1000000000000001</v>
      </c>
      <c r="EN230" s="9">
        <v>4.8</v>
      </c>
      <c r="EO230" s="9">
        <v>-0.2</v>
      </c>
      <c r="EP230" s="9">
        <v>0.1</v>
      </c>
      <c r="EQ230" s="9">
        <v>-0.4</v>
      </c>
      <c r="ER230" s="9">
        <v>0.4</v>
      </c>
      <c r="ES230" s="9">
        <v>0.8</v>
      </c>
      <c r="ET230" s="9">
        <v>1.2</v>
      </c>
      <c r="EU230" s="9">
        <v>-1.3</v>
      </c>
      <c r="EV230" s="9">
        <v>-5.2</v>
      </c>
      <c r="EW230" s="9">
        <v>-3.7</v>
      </c>
      <c r="EX230" s="9">
        <v>-6.2</v>
      </c>
      <c r="EY230" s="9">
        <v>-0.2</v>
      </c>
      <c r="EZ230" s="9">
        <v>2.7</v>
      </c>
      <c r="FA230" s="9">
        <v>1.4</v>
      </c>
      <c r="FB230" s="9">
        <v>0.3</v>
      </c>
      <c r="FC230" s="9">
        <v>0.3</v>
      </c>
      <c r="FD230" s="9">
        <v>-0.6</v>
      </c>
      <c r="FE230" s="9">
        <v>-1</v>
      </c>
      <c r="FF230" s="9">
        <v>1.3</v>
      </c>
      <c r="FG230" s="9">
        <v>2.6</v>
      </c>
      <c r="FH230" s="9">
        <v>1</v>
      </c>
      <c r="FI230" s="9">
        <v>1</v>
      </c>
      <c r="FJ230" s="9">
        <v>1.1000000000000001</v>
      </c>
      <c r="FK230" s="9">
        <v>0.9</v>
      </c>
      <c r="FL230" s="9">
        <v>0.6</v>
      </c>
      <c r="FM230" s="9">
        <v>0.3</v>
      </c>
      <c r="FN230" s="9">
        <v>1.1000000000000001</v>
      </c>
      <c r="FO230" s="9">
        <v>-0.2</v>
      </c>
      <c r="FP230" s="9">
        <v>0.4</v>
      </c>
      <c r="FQ230" s="9">
        <v>1.1000000000000001</v>
      </c>
      <c r="FR230" s="9">
        <v>1.1000000000000001</v>
      </c>
      <c r="FS230" s="9">
        <v>1.2</v>
      </c>
      <c r="FT230" s="9">
        <v>1.3</v>
      </c>
      <c r="FU230" s="9">
        <v>0.7</v>
      </c>
      <c r="FV230" s="9">
        <v>1.6</v>
      </c>
      <c r="FW230" s="9">
        <v>1.6</v>
      </c>
      <c r="FX230" s="9">
        <v>0.7</v>
      </c>
      <c r="FY230" s="9">
        <v>0.3</v>
      </c>
      <c r="FZ230" s="9">
        <v>1.5</v>
      </c>
      <c r="GA230" s="9">
        <v>-0.4</v>
      </c>
      <c r="GB230" s="9">
        <v>1</v>
      </c>
      <c r="GC230" s="9">
        <v>1</v>
      </c>
      <c r="GD230" s="9">
        <v>1.1000000000000001</v>
      </c>
      <c r="GE230" s="9">
        <v>1</v>
      </c>
      <c r="GF230" s="9">
        <v>0.5</v>
      </c>
      <c r="GG230" s="9">
        <v>0.5</v>
      </c>
      <c r="GH230" s="9">
        <v>2</v>
      </c>
      <c r="GI230" s="9">
        <v>2</v>
      </c>
      <c r="GJ230" s="9">
        <v>0.8</v>
      </c>
      <c r="GK230" s="9">
        <v>1.2</v>
      </c>
      <c r="GL230" s="9">
        <v>0</v>
      </c>
      <c r="GM230" s="9">
        <v>-0.6</v>
      </c>
      <c r="GN230" s="9">
        <v>0</v>
      </c>
      <c r="GO230" s="9">
        <v>-1.5</v>
      </c>
      <c r="GP230" s="9">
        <v>0.9</v>
      </c>
      <c r="GQ230" s="9">
        <v>0.9</v>
      </c>
      <c r="GR230" s="9">
        <v>2.2000000000000002</v>
      </c>
      <c r="GS230" s="9">
        <v>2.1</v>
      </c>
      <c r="GT230" s="9">
        <v>2.6</v>
      </c>
      <c r="GU230" s="9">
        <v>0.3</v>
      </c>
      <c r="GV230" s="9">
        <v>0.3</v>
      </c>
      <c r="GW230" s="9">
        <v>0.7</v>
      </c>
      <c r="GX230" s="9">
        <v>0</v>
      </c>
      <c r="GY230" s="9">
        <v>-0.7</v>
      </c>
      <c r="GZ230" s="9">
        <v>3.4</v>
      </c>
      <c r="HA230" s="9">
        <v>0</v>
      </c>
      <c r="HB230" s="9">
        <v>-0.8</v>
      </c>
      <c r="HC230" s="9">
        <v>0.5</v>
      </c>
      <c r="HD230" s="9">
        <v>0.4</v>
      </c>
      <c r="HE230" s="9">
        <v>-1.1000000000000001</v>
      </c>
      <c r="HF230" s="9">
        <v>0.7</v>
      </c>
      <c r="HG230" s="9">
        <v>0.7</v>
      </c>
      <c r="HH230" s="9">
        <v>0.4</v>
      </c>
      <c r="HI230" s="9">
        <v>0.7</v>
      </c>
      <c r="HJ230" s="9">
        <v>3.1</v>
      </c>
      <c r="HK230" s="9">
        <v>-0.7</v>
      </c>
      <c r="HL230" s="9">
        <v>-0.7</v>
      </c>
      <c r="HM230" s="9">
        <v>-0.3</v>
      </c>
      <c r="HN230" s="9">
        <v>4.4000000000000004</v>
      </c>
      <c r="HO230" s="9">
        <v>5.2</v>
      </c>
      <c r="HP230" s="9">
        <v>1.4</v>
      </c>
      <c r="HQ230" s="9">
        <v>-3</v>
      </c>
      <c r="HR230" s="9">
        <v>-3.2</v>
      </c>
      <c r="HS230" s="9">
        <v>-0.9</v>
      </c>
      <c r="HT230" s="9">
        <v>1.2</v>
      </c>
      <c r="HU230" s="9">
        <v>-9.6</v>
      </c>
      <c r="HV230" s="9">
        <v>0.5</v>
      </c>
      <c r="HW230" s="9">
        <v>0.2</v>
      </c>
      <c r="HX230" s="9">
        <v>0.5</v>
      </c>
      <c r="HY230" s="9">
        <v>0.5</v>
      </c>
      <c r="HZ230" s="9">
        <v>0.2</v>
      </c>
      <c r="IA230" s="9">
        <v>0.2</v>
      </c>
      <c r="IB230" s="9">
        <v>0.6</v>
      </c>
      <c r="IC230" s="9">
        <v>0.1</v>
      </c>
      <c r="ID230" s="9">
        <v>-0.7</v>
      </c>
      <c r="IE230" s="9">
        <v>-2.8</v>
      </c>
      <c r="IF230" s="9">
        <v>-6</v>
      </c>
      <c r="IG230" s="9">
        <v>0.6</v>
      </c>
      <c r="IH230" s="9">
        <v>0.4</v>
      </c>
      <c r="II230" s="9">
        <v>0.1</v>
      </c>
      <c r="IJ230" s="9">
        <v>0.5</v>
      </c>
      <c r="IK230" s="9">
        <v>-1.3</v>
      </c>
      <c r="IL230" s="9">
        <v>-3.8</v>
      </c>
      <c r="IM230" s="9">
        <v>1.6</v>
      </c>
      <c r="IN230" s="9">
        <v>0.5</v>
      </c>
      <c r="IO230" s="9">
        <v>-0.3</v>
      </c>
      <c r="IP230" s="9">
        <v>0.2</v>
      </c>
      <c r="IQ230" s="9">
        <v>-2</v>
      </c>
    </row>
    <row r="231" spans="1:251" x14ac:dyDescent="0.2">
      <c r="A231" s="10">
        <v>37865</v>
      </c>
      <c r="B231" s="8">
        <v>54.93</v>
      </c>
      <c r="C231" s="8">
        <v>54.37</v>
      </c>
      <c r="D231" s="8">
        <v>60.62</v>
      </c>
      <c r="E231" s="8">
        <v>59.44</v>
      </c>
      <c r="F231" s="8">
        <v>57.39</v>
      </c>
      <c r="G231" s="8">
        <v>73.48</v>
      </c>
      <c r="H231" s="8">
        <v>67.83</v>
      </c>
      <c r="I231" s="8">
        <v>57.35</v>
      </c>
      <c r="J231" s="8">
        <v>50.07</v>
      </c>
      <c r="K231" s="8">
        <v>58.56</v>
      </c>
      <c r="L231" s="8">
        <v>49.85</v>
      </c>
      <c r="M231" s="8">
        <v>76.98</v>
      </c>
      <c r="N231" s="8">
        <v>51.16</v>
      </c>
      <c r="O231" s="8">
        <v>58.25</v>
      </c>
      <c r="P231" s="8">
        <v>60.38</v>
      </c>
      <c r="Q231" s="8">
        <v>65.11</v>
      </c>
      <c r="R231" s="8">
        <v>49.12</v>
      </c>
      <c r="S231" s="8">
        <v>65.459999999999994</v>
      </c>
      <c r="T231" s="8">
        <v>49.21</v>
      </c>
      <c r="U231" s="8">
        <v>48.91</v>
      </c>
      <c r="V231" s="8">
        <v>49.5</v>
      </c>
      <c r="W231" s="8">
        <v>58.99</v>
      </c>
      <c r="X231" s="8">
        <v>56.39</v>
      </c>
      <c r="Y231" s="8">
        <v>66.319999999999993</v>
      </c>
      <c r="Z231" s="8">
        <v>68.19</v>
      </c>
      <c r="AA231" s="8">
        <v>41.44</v>
      </c>
      <c r="AB231" s="8">
        <v>56.27</v>
      </c>
      <c r="AC231" s="8">
        <v>67.83</v>
      </c>
      <c r="AD231" s="8">
        <v>53.88</v>
      </c>
      <c r="AE231" s="8">
        <v>62.28</v>
      </c>
      <c r="AF231" s="8">
        <v>52.03</v>
      </c>
      <c r="AG231" s="8">
        <v>50.93</v>
      </c>
      <c r="AH231" s="8">
        <v>53.09</v>
      </c>
      <c r="AI231" s="8">
        <v>48.62</v>
      </c>
      <c r="AJ231" s="8">
        <v>31.57</v>
      </c>
      <c r="AK231" s="8">
        <v>56.49</v>
      </c>
      <c r="AL231" s="8">
        <v>47.31</v>
      </c>
      <c r="AM231" s="8">
        <v>83.52</v>
      </c>
      <c r="AN231" s="8">
        <v>45.63</v>
      </c>
      <c r="AO231" s="8">
        <v>12.41</v>
      </c>
      <c r="AP231" s="8">
        <v>12.41</v>
      </c>
      <c r="AQ231" s="8">
        <v>102.15</v>
      </c>
      <c r="AR231" s="8">
        <v>121.22</v>
      </c>
      <c r="AS231" s="8">
        <v>112.77</v>
      </c>
      <c r="AT231" s="8">
        <v>130.37</v>
      </c>
      <c r="AU231" s="8">
        <v>106.05</v>
      </c>
      <c r="AV231" s="8">
        <v>110.68</v>
      </c>
      <c r="AW231" s="8">
        <v>114.55</v>
      </c>
      <c r="AX231" s="8">
        <v>112.66</v>
      </c>
      <c r="AY231" s="8">
        <v>99.85</v>
      </c>
      <c r="AZ231" s="8">
        <v>60.42</v>
      </c>
      <c r="BA231" s="8">
        <v>64.64</v>
      </c>
      <c r="BB231" s="8">
        <v>49.64</v>
      </c>
      <c r="BC231" s="8">
        <v>43.94</v>
      </c>
      <c r="BD231" s="8">
        <v>50.11</v>
      </c>
      <c r="BE231" s="8">
        <v>50.11</v>
      </c>
      <c r="BF231" s="8">
        <v>44.25</v>
      </c>
      <c r="BG231" s="8">
        <v>44.24</v>
      </c>
      <c r="BH231" s="8">
        <v>45.56</v>
      </c>
      <c r="BI231" s="8">
        <v>54.07</v>
      </c>
      <c r="BJ231" s="8">
        <v>35.090000000000003</v>
      </c>
      <c r="BK231" s="8">
        <v>33.81</v>
      </c>
      <c r="BL231" s="8">
        <v>38.1</v>
      </c>
      <c r="BM231" s="8">
        <v>35.06</v>
      </c>
      <c r="BN231" s="8">
        <v>28.18</v>
      </c>
      <c r="BO231" s="8">
        <v>75.959999999999994</v>
      </c>
      <c r="BP231" s="8">
        <v>78.27</v>
      </c>
      <c r="BQ231" s="8">
        <v>82.96</v>
      </c>
      <c r="BR231" s="8">
        <v>61.54</v>
      </c>
      <c r="BS231" s="8">
        <v>125</v>
      </c>
      <c r="BT231" s="8">
        <v>125</v>
      </c>
      <c r="BU231" s="8">
        <v>104.37</v>
      </c>
      <c r="BV231" s="8">
        <v>104.71</v>
      </c>
      <c r="BW231" s="8">
        <v>118</v>
      </c>
      <c r="BX231" s="8">
        <v>123.39</v>
      </c>
      <c r="BY231" s="8">
        <v>77.73</v>
      </c>
      <c r="BZ231" s="8">
        <v>81.069999999999993</v>
      </c>
      <c r="CA231" s="8">
        <v>79.209999999999994</v>
      </c>
      <c r="CB231" s="8">
        <v>100.37</v>
      </c>
      <c r="CC231" s="8">
        <v>69.739999999999995</v>
      </c>
      <c r="CD231" s="8">
        <v>48.76</v>
      </c>
      <c r="CE231" s="8">
        <v>55.28</v>
      </c>
      <c r="CF231" s="8">
        <v>49.84</v>
      </c>
      <c r="CG231" s="8">
        <v>43.31</v>
      </c>
      <c r="CH231" s="8">
        <v>39.119999999999997</v>
      </c>
      <c r="CI231" s="8">
        <v>74.180000000000007</v>
      </c>
      <c r="CJ231" s="8">
        <v>73.099999999999994</v>
      </c>
      <c r="CK231" s="8">
        <v>83.2</v>
      </c>
      <c r="CL231" s="8">
        <v>32.72</v>
      </c>
      <c r="CM231" s="8">
        <v>30.56</v>
      </c>
      <c r="CN231" s="8">
        <v>50.22</v>
      </c>
      <c r="CO231" s="8">
        <v>62.14</v>
      </c>
      <c r="CP231" s="8">
        <v>62.37</v>
      </c>
      <c r="CQ231" s="8">
        <v>100.81</v>
      </c>
      <c r="CR231" s="8">
        <v>55.43</v>
      </c>
      <c r="CS231" s="8">
        <v>47.53</v>
      </c>
      <c r="CT231" s="8">
        <v>55.19</v>
      </c>
      <c r="CU231" s="8">
        <v>44.74</v>
      </c>
      <c r="CV231" s="8">
        <v>61.19</v>
      </c>
      <c r="CW231" s="8">
        <v>61.19</v>
      </c>
      <c r="CX231" s="8">
        <v>120.62</v>
      </c>
      <c r="CY231" s="8">
        <v>120.62</v>
      </c>
      <c r="CZ231" s="8">
        <v>44.03</v>
      </c>
      <c r="DA231" s="8">
        <v>126.13</v>
      </c>
      <c r="DB231" s="8">
        <v>75.36</v>
      </c>
      <c r="DC231" s="8">
        <v>251.72</v>
      </c>
      <c r="DD231" s="8">
        <v>710.85</v>
      </c>
      <c r="DE231" s="8">
        <v>79.95</v>
      </c>
      <c r="DF231" s="8">
        <v>66.62</v>
      </c>
      <c r="DG231" s="8">
        <v>92.99</v>
      </c>
      <c r="DH231" s="8">
        <v>56.93</v>
      </c>
      <c r="DI231" s="8">
        <v>56.15</v>
      </c>
      <c r="DJ231" s="8">
        <v>49.13</v>
      </c>
      <c r="DK231" s="8">
        <v>57.31</v>
      </c>
      <c r="DL231" s="8">
        <v>59.08</v>
      </c>
      <c r="DM231" s="8">
        <v>97.98</v>
      </c>
      <c r="DN231" s="8">
        <v>127.27</v>
      </c>
      <c r="DO231" s="8">
        <v>48.94</v>
      </c>
      <c r="DP231" s="8">
        <v>41</v>
      </c>
      <c r="DQ231" s="8">
        <v>48.25</v>
      </c>
      <c r="DR231" s="8">
        <v>46.89</v>
      </c>
      <c r="DS231" s="8">
        <v>36.64</v>
      </c>
      <c r="DT231" s="8">
        <v>36.64</v>
      </c>
      <c r="DU231" s="8">
        <v>39.49</v>
      </c>
      <c r="DV231" s="8">
        <v>31.13</v>
      </c>
      <c r="DW231" s="8">
        <v>40.67</v>
      </c>
      <c r="DY231" s="8">
        <v>34.590000000000003</v>
      </c>
      <c r="DZ231" s="8">
        <v>34.590000000000003</v>
      </c>
      <c r="ED231" s="9">
        <v>0.6</v>
      </c>
      <c r="EE231" s="9">
        <v>-0.3</v>
      </c>
      <c r="EF231" s="9">
        <v>-0.6</v>
      </c>
      <c r="EG231" s="9">
        <v>-0.1</v>
      </c>
      <c r="EH231" s="9">
        <v>-0.8</v>
      </c>
      <c r="EI231" s="9">
        <v>-1</v>
      </c>
      <c r="EJ231" s="9">
        <v>-1.4</v>
      </c>
      <c r="EK231" s="9">
        <v>1.1000000000000001</v>
      </c>
      <c r="EL231" s="9">
        <v>2.2000000000000002</v>
      </c>
      <c r="EM231" s="9">
        <v>-1.3</v>
      </c>
      <c r="EN231" s="9">
        <v>7.2</v>
      </c>
      <c r="EO231" s="9">
        <v>0.6</v>
      </c>
      <c r="EP231" s="9">
        <v>1.1000000000000001</v>
      </c>
      <c r="EQ231" s="9">
        <v>-1.7</v>
      </c>
      <c r="ER231" s="9">
        <v>-0.3</v>
      </c>
      <c r="ES231" s="9">
        <v>-0.3</v>
      </c>
      <c r="ET231" s="9">
        <v>-0.5</v>
      </c>
      <c r="EU231" s="9">
        <v>0</v>
      </c>
      <c r="EV231" s="9">
        <v>-4.7</v>
      </c>
      <c r="EW231" s="9">
        <v>-0.4</v>
      </c>
      <c r="EX231" s="9">
        <v>-7.9</v>
      </c>
      <c r="EY231" s="9">
        <v>0.6</v>
      </c>
      <c r="EZ231" s="9">
        <v>-0.7</v>
      </c>
      <c r="FA231" s="9">
        <v>-0.3</v>
      </c>
      <c r="FB231" s="9">
        <v>-0.4</v>
      </c>
      <c r="FC231" s="9">
        <v>0.7</v>
      </c>
      <c r="FD231" s="9">
        <v>1.4</v>
      </c>
      <c r="FE231" s="9">
        <v>-0.1</v>
      </c>
      <c r="FF231" s="9">
        <v>-1.5</v>
      </c>
      <c r="FG231" s="9">
        <v>-2.9</v>
      </c>
      <c r="FH231" s="9">
        <v>-1.1000000000000001</v>
      </c>
      <c r="FI231" s="9">
        <v>0.9</v>
      </c>
      <c r="FJ231" s="9">
        <v>0.4</v>
      </c>
      <c r="FK231" s="9">
        <v>1.2</v>
      </c>
      <c r="FL231" s="9">
        <v>1.9</v>
      </c>
      <c r="FM231" s="9">
        <v>2.1</v>
      </c>
      <c r="FN231" s="9">
        <v>1</v>
      </c>
      <c r="FO231" s="9">
        <v>0.4</v>
      </c>
      <c r="FP231" s="9">
        <v>3.8</v>
      </c>
      <c r="FQ231" s="9">
        <v>1.5</v>
      </c>
      <c r="FR231" s="9">
        <v>1.5</v>
      </c>
      <c r="FS231" s="9">
        <v>-0.3</v>
      </c>
      <c r="FT231" s="9">
        <v>-0.2</v>
      </c>
      <c r="FU231" s="9">
        <v>0.2</v>
      </c>
      <c r="FV231" s="9">
        <v>-0.8</v>
      </c>
      <c r="FW231" s="9">
        <v>1</v>
      </c>
      <c r="FX231" s="9">
        <v>-1.9</v>
      </c>
      <c r="FY231" s="9">
        <v>-2</v>
      </c>
      <c r="FZ231" s="9">
        <v>-1.5</v>
      </c>
      <c r="GA231" s="9">
        <v>-2.4</v>
      </c>
      <c r="GB231" s="9">
        <v>0.5</v>
      </c>
      <c r="GC231" s="9">
        <v>0.8</v>
      </c>
      <c r="GD231" s="9">
        <v>0.4</v>
      </c>
      <c r="GE231" s="9">
        <v>1.7</v>
      </c>
      <c r="GF231" s="9">
        <v>0.6</v>
      </c>
      <c r="GG231" s="9">
        <v>0.6</v>
      </c>
      <c r="GH231" s="9">
        <v>1.7</v>
      </c>
      <c r="GI231" s="9">
        <v>1.7</v>
      </c>
      <c r="GJ231" s="9">
        <v>2.9</v>
      </c>
      <c r="GK231" s="9">
        <v>1</v>
      </c>
      <c r="GL231" s="9">
        <v>6.1</v>
      </c>
      <c r="GM231" s="9">
        <v>2.4</v>
      </c>
      <c r="GN231" s="9">
        <v>4</v>
      </c>
      <c r="GO231" s="9">
        <v>1.4</v>
      </c>
      <c r="GP231" s="9">
        <v>3.1</v>
      </c>
      <c r="GQ231" s="9">
        <v>0</v>
      </c>
      <c r="GR231" s="9">
        <v>-0.2</v>
      </c>
      <c r="GS231" s="9">
        <v>-0.6</v>
      </c>
      <c r="GT231" s="9">
        <v>1</v>
      </c>
      <c r="GU231" s="9">
        <v>0.9</v>
      </c>
      <c r="GV231" s="9">
        <v>0.9</v>
      </c>
      <c r="GW231" s="9">
        <v>-0.2</v>
      </c>
      <c r="GX231" s="9">
        <v>0.3</v>
      </c>
      <c r="GY231" s="9">
        <v>0.2</v>
      </c>
      <c r="GZ231" s="9">
        <v>-1.1000000000000001</v>
      </c>
      <c r="HA231" s="9">
        <v>-0.2</v>
      </c>
      <c r="HB231" s="9">
        <v>0.2</v>
      </c>
      <c r="HC231" s="9">
        <v>0.7</v>
      </c>
      <c r="HD231" s="9">
        <v>-0.4</v>
      </c>
      <c r="HE231" s="9">
        <v>0</v>
      </c>
      <c r="HF231" s="9">
        <v>0.7</v>
      </c>
      <c r="HG231" s="9">
        <v>7.3</v>
      </c>
      <c r="HH231" s="9">
        <v>1.1000000000000001</v>
      </c>
      <c r="HI231" s="9">
        <v>0.7</v>
      </c>
      <c r="HJ231" s="9">
        <v>0</v>
      </c>
      <c r="HK231" s="9">
        <v>-3</v>
      </c>
      <c r="HL231" s="9">
        <v>-3.6</v>
      </c>
      <c r="HM231" s="9">
        <v>0.8</v>
      </c>
      <c r="HN231" s="9">
        <v>1.1000000000000001</v>
      </c>
      <c r="HO231" s="9">
        <v>1</v>
      </c>
      <c r="HP231" s="9">
        <v>1.4</v>
      </c>
      <c r="HQ231" s="9">
        <v>1.3</v>
      </c>
      <c r="HR231" s="9">
        <v>1.2</v>
      </c>
      <c r="HS231" s="9">
        <v>-0.5</v>
      </c>
      <c r="HT231" s="9">
        <v>-0.3</v>
      </c>
      <c r="HU231" s="9">
        <v>3</v>
      </c>
      <c r="HV231" s="9">
        <v>1.2</v>
      </c>
      <c r="HW231" s="9">
        <v>4.5</v>
      </c>
      <c r="HX231" s="9">
        <v>2.8</v>
      </c>
      <c r="HY231" s="9">
        <v>2.8</v>
      </c>
      <c r="HZ231" s="9">
        <v>0.7</v>
      </c>
      <c r="IA231" s="9">
        <v>0.7</v>
      </c>
      <c r="IB231" s="9">
        <v>0.6</v>
      </c>
      <c r="IC231" s="9">
        <v>0.8</v>
      </c>
      <c r="ID231" s="9">
        <v>-1.1000000000000001</v>
      </c>
      <c r="IE231" s="9">
        <v>-4</v>
      </c>
      <c r="IF231" s="9">
        <v>-7.2</v>
      </c>
      <c r="IG231" s="9">
        <v>-0.9</v>
      </c>
      <c r="IH231" s="9">
        <v>0.5</v>
      </c>
      <c r="II231" s="9">
        <v>0.5</v>
      </c>
      <c r="IJ231" s="9">
        <v>0.5</v>
      </c>
      <c r="IK231" s="9">
        <v>-1.8</v>
      </c>
      <c r="IL231" s="9">
        <v>-0.9</v>
      </c>
      <c r="IM231" s="9">
        <v>-2.8</v>
      </c>
      <c r="IN231" s="9">
        <v>0.3</v>
      </c>
      <c r="IO231" s="9">
        <v>-0.3</v>
      </c>
      <c r="IP231" s="9">
        <v>-2.2000000000000002</v>
      </c>
      <c r="IQ231" s="9">
        <v>-0.3</v>
      </c>
    </row>
    <row r="232" spans="1:251" x14ac:dyDescent="0.2">
      <c r="A232" s="10">
        <v>37956</v>
      </c>
      <c r="B232" s="8">
        <v>55.22</v>
      </c>
      <c r="C232" s="8">
        <v>55.34</v>
      </c>
      <c r="D232" s="8">
        <v>60.16</v>
      </c>
      <c r="E232" s="8">
        <v>57.49</v>
      </c>
      <c r="F232" s="8">
        <v>57.94</v>
      </c>
      <c r="G232" s="8">
        <v>74.52</v>
      </c>
      <c r="H232" s="8">
        <v>67.239999999999995</v>
      </c>
      <c r="I232" s="8">
        <v>58.27</v>
      </c>
      <c r="J232" s="8">
        <v>50.16</v>
      </c>
      <c r="K232" s="8">
        <v>60.3</v>
      </c>
      <c r="L232" s="8">
        <v>49.05</v>
      </c>
      <c r="M232" s="8">
        <v>80.819999999999993</v>
      </c>
      <c r="N232" s="8">
        <v>51.67</v>
      </c>
      <c r="O232" s="8">
        <v>59.38</v>
      </c>
      <c r="P232" s="8">
        <v>60.49</v>
      </c>
      <c r="Q232" s="8">
        <v>65.569999999999993</v>
      </c>
      <c r="R232" s="8">
        <v>49.34</v>
      </c>
      <c r="S232" s="8">
        <v>64.67</v>
      </c>
      <c r="T232" s="8">
        <v>54.4</v>
      </c>
      <c r="U232" s="8">
        <v>54.98</v>
      </c>
      <c r="V232" s="8">
        <v>54</v>
      </c>
      <c r="W232" s="8">
        <v>58.68</v>
      </c>
      <c r="X232" s="8">
        <v>54.81</v>
      </c>
      <c r="Y232" s="8">
        <v>66.11</v>
      </c>
      <c r="Z232" s="8">
        <v>66.790000000000006</v>
      </c>
      <c r="AA232" s="8">
        <v>41.22</v>
      </c>
      <c r="AB232" s="8">
        <v>56.09</v>
      </c>
      <c r="AC232" s="8">
        <v>68.08</v>
      </c>
      <c r="AD232" s="8">
        <v>54.08</v>
      </c>
      <c r="AE232" s="8">
        <v>62.96</v>
      </c>
      <c r="AF232" s="8">
        <v>52.13</v>
      </c>
      <c r="AG232" s="8">
        <v>51.51</v>
      </c>
      <c r="AH232" s="8">
        <v>53.71</v>
      </c>
      <c r="AI232" s="8">
        <v>49.17</v>
      </c>
      <c r="AJ232" s="8">
        <v>31.76</v>
      </c>
      <c r="AK232" s="8">
        <v>56.86</v>
      </c>
      <c r="AL232" s="8">
        <v>47.2</v>
      </c>
      <c r="AM232" s="8">
        <v>83.66</v>
      </c>
      <c r="AN232" s="8">
        <v>46.24</v>
      </c>
      <c r="AO232" s="8">
        <v>12.48</v>
      </c>
      <c r="AP232" s="8">
        <v>12.48</v>
      </c>
      <c r="AQ232" s="8">
        <v>101.91</v>
      </c>
      <c r="AR232" s="8">
        <v>121.01</v>
      </c>
      <c r="AS232" s="8">
        <v>112.02</v>
      </c>
      <c r="AT232" s="8">
        <v>130.5</v>
      </c>
      <c r="AU232" s="8">
        <v>106.38</v>
      </c>
      <c r="AV232" s="8">
        <v>110.64</v>
      </c>
      <c r="AW232" s="8">
        <v>111.43</v>
      </c>
      <c r="AX232" s="8">
        <v>113.84</v>
      </c>
      <c r="AY232" s="8">
        <v>101.28</v>
      </c>
      <c r="AZ232" s="8">
        <v>59.93</v>
      </c>
      <c r="BA232" s="8">
        <v>63.3</v>
      </c>
      <c r="BB232" s="8">
        <v>49.94</v>
      </c>
      <c r="BC232" s="8">
        <v>44.21</v>
      </c>
      <c r="BD232" s="8">
        <v>50.5</v>
      </c>
      <c r="BE232" s="8">
        <v>50.5</v>
      </c>
      <c r="BF232" s="8">
        <v>44.71</v>
      </c>
      <c r="BG232" s="8">
        <v>44.71</v>
      </c>
      <c r="BH232" s="8">
        <v>45.67</v>
      </c>
      <c r="BI232" s="8">
        <v>54.26</v>
      </c>
      <c r="BJ232" s="8">
        <v>35.090000000000003</v>
      </c>
      <c r="BK232" s="8">
        <v>33.71</v>
      </c>
      <c r="BL232" s="8">
        <v>38.24</v>
      </c>
      <c r="BM232" s="8">
        <v>35.07</v>
      </c>
      <c r="BN232" s="8">
        <v>27.66</v>
      </c>
      <c r="BO232" s="8">
        <v>75.900000000000006</v>
      </c>
      <c r="BP232" s="8">
        <v>78.45</v>
      </c>
      <c r="BQ232" s="8">
        <v>83.14</v>
      </c>
      <c r="BR232" s="8">
        <v>61.63</v>
      </c>
      <c r="BS232" s="8">
        <v>121.92</v>
      </c>
      <c r="BT232" s="8">
        <v>121.92</v>
      </c>
      <c r="BU232" s="8">
        <v>103.82</v>
      </c>
      <c r="BV232" s="8">
        <v>105.42</v>
      </c>
      <c r="BW232" s="8">
        <v>114.19</v>
      </c>
      <c r="BX232" s="8">
        <v>120.77</v>
      </c>
      <c r="BY232" s="8">
        <v>78.42</v>
      </c>
      <c r="BZ232" s="8">
        <v>81.260000000000005</v>
      </c>
      <c r="CA232" s="8">
        <v>78.459999999999994</v>
      </c>
      <c r="CB232" s="8">
        <v>99.28</v>
      </c>
      <c r="CC232" s="8">
        <v>70.13</v>
      </c>
      <c r="CD232" s="8">
        <v>49.28</v>
      </c>
      <c r="CE232" s="8">
        <v>55.29</v>
      </c>
      <c r="CF232" s="8">
        <v>50.84</v>
      </c>
      <c r="CG232" s="8">
        <v>43.78</v>
      </c>
      <c r="CH232" s="8">
        <v>39.17</v>
      </c>
      <c r="CI232" s="8">
        <v>71.650000000000006</v>
      </c>
      <c r="CJ232" s="8">
        <v>70.260000000000005</v>
      </c>
      <c r="CK232" s="8">
        <v>83.25</v>
      </c>
      <c r="CL232" s="8">
        <v>33.15</v>
      </c>
      <c r="CM232" s="8">
        <v>30.96</v>
      </c>
      <c r="CN232" s="8">
        <v>50.85</v>
      </c>
      <c r="CO232" s="8">
        <v>61.89</v>
      </c>
      <c r="CP232" s="8">
        <v>62.09</v>
      </c>
      <c r="CQ232" s="8">
        <v>100.08</v>
      </c>
      <c r="CR232" s="8">
        <v>55.87</v>
      </c>
      <c r="CS232" s="8">
        <v>47.1</v>
      </c>
      <c r="CT232" s="8">
        <v>55.16</v>
      </c>
      <c r="CU232" s="8">
        <v>45.04</v>
      </c>
      <c r="CV232" s="8">
        <v>61.35</v>
      </c>
      <c r="CW232" s="8">
        <v>61.35</v>
      </c>
      <c r="CX232" s="8">
        <v>120.85</v>
      </c>
      <c r="CY232" s="8">
        <v>120.85</v>
      </c>
      <c r="CZ232" s="8">
        <v>44.6</v>
      </c>
      <c r="DA232" s="8">
        <v>126.29</v>
      </c>
      <c r="DB232" s="8">
        <v>75.97</v>
      </c>
      <c r="DC232" s="8">
        <v>244.3</v>
      </c>
      <c r="DD232" s="8">
        <v>670.51</v>
      </c>
      <c r="DE232" s="8">
        <v>79.7</v>
      </c>
      <c r="DF232" s="8">
        <v>66.62</v>
      </c>
      <c r="DG232" s="8">
        <v>92.9</v>
      </c>
      <c r="DH232" s="8">
        <v>57.02</v>
      </c>
      <c r="DI232" s="8">
        <v>58.14</v>
      </c>
      <c r="DJ232" s="8">
        <v>52.37</v>
      </c>
      <c r="DK232" s="8">
        <v>57.45</v>
      </c>
      <c r="DL232" s="8">
        <v>58.82</v>
      </c>
      <c r="DM232" s="8">
        <v>96.61</v>
      </c>
      <c r="DN232" s="8">
        <v>122.95</v>
      </c>
      <c r="DO232" s="8">
        <v>47.26</v>
      </c>
      <c r="DP232" s="8">
        <v>41.17</v>
      </c>
      <c r="DQ232" s="8">
        <v>48.56</v>
      </c>
      <c r="DR232" s="8">
        <v>47.3</v>
      </c>
      <c r="DS232" s="8">
        <v>36.64</v>
      </c>
      <c r="DT232" s="8">
        <v>36.64</v>
      </c>
      <c r="DU232" s="8">
        <v>39.51</v>
      </c>
      <c r="DV232" s="8">
        <v>31.13</v>
      </c>
      <c r="DW232" s="8">
        <v>40.67</v>
      </c>
      <c r="DY232" s="8">
        <v>34.56</v>
      </c>
      <c r="DZ232" s="8">
        <v>34.56</v>
      </c>
      <c r="ED232" s="9">
        <v>0.5</v>
      </c>
      <c r="EE232" s="9">
        <v>1.8</v>
      </c>
      <c r="EF232" s="9">
        <v>-0.8</v>
      </c>
      <c r="EG232" s="9">
        <v>-3.3</v>
      </c>
      <c r="EH232" s="9">
        <v>1</v>
      </c>
      <c r="EI232" s="9">
        <v>1.4</v>
      </c>
      <c r="EJ232" s="9">
        <v>-0.9</v>
      </c>
      <c r="EK232" s="9">
        <v>1.6</v>
      </c>
      <c r="EL232" s="9">
        <v>0.2</v>
      </c>
      <c r="EM232" s="9">
        <v>3</v>
      </c>
      <c r="EN232" s="9">
        <v>-1.6</v>
      </c>
      <c r="EO232" s="9">
        <v>5</v>
      </c>
      <c r="EP232" s="9">
        <v>1</v>
      </c>
      <c r="EQ232" s="9">
        <v>1.9</v>
      </c>
      <c r="ER232" s="9">
        <v>0.2</v>
      </c>
      <c r="ES232" s="9">
        <v>0.7</v>
      </c>
      <c r="ET232" s="9">
        <v>0.4</v>
      </c>
      <c r="EU232" s="9">
        <v>-1.2</v>
      </c>
      <c r="EV232" s="9">
        <v>10.5</v>
      </c>
      <c r="EW232" s="9">
        <v>12.4</v>
      </c>
      <c r="EX232" s="9">
        <v>9.1</v>
      </c>
      <c r="EY232" s="9">
        <v>-0.5</v>
      </c>
      <c r="EZ232" s="9">
        <v>-2.8</v>
      </c>
      <c r="FA232" s="9">
        <v>-0.3</v>
      </c>
      <c r="FB232" s="9">
        <v>-2.1</v>
      </c>
      <c r="FC232" s="9">
        <v>-0.5</v>
      </c>
      <c r="FD232" s="9">
        <v>-0.3</v>
      </c>
      <c r="FE232" s="9">
        <v>0.4</v>
      </c>
      <c r="FF232" s="9">
        <v>0.4</v>
      </c>
      <c r="FG232" s="9">
        <v>1.1000000000000001</v>
      </c>
      <c r="FH232" s="9">
        <v>0.2</v>
      </c>
      <c r="FI232" s="9">
        <v>1.1000000000000001</v>
      </c>
      <c r="FJ232" s="9">
        <v>1.2</v>
      </c>
      <c r="FK232" s="9">
        <v>1.1000000000000001</v>
      </c>
      <c r="FL232" s="9">
        <v>0.6</v>
      </c>
      <c r="FM232" s="9">
        <v>0.7</v>
      </c>
      <c r="FN232" s="9">
        <v>-0.2</v>
      </c>
      <c r="FO232" s="9">
        <v>0.2</v>
      </c>
      <c r="FP232" s="9">
        <v>1.3</v>
      </c>
      <c r="FQ232" s="9">
        <v>0.6</v>
      </c>
      <c r="FR232" s="9">
        <v>0.6</v>
      </c>
      <c r="FS232" s="9">
        <v>-0.2</v>
      </c>
      <c r="FT232" s="9">
        <v>-0.2</v>
      </c>
      <c r="FU232" s="9">
        <v>-0.7</v>
      </c>
      <c r="FV232" s="9">
        <v>0.1</v>
      </c>
      <c r="FW232" s="9">
        <v>0.3</v>
      </c>
      <c r="FX232" s="9">
        <v>0</v>
      </c>
      <c r="FY232" s="9">
        <v>-2.7</v>
      </c>
      <c r="FZ232" s="9">
        <v>1</v>
      </c>
      <c r="GA232" s="9">
        <v>1.4</v>
      </c>
      <c r="GB232" s="9">
        <v>-0.8</v>
      </c>
      <c r="GC232" s="9">
        <v>-2.1</v>
      </c>
      <c r="GD232" s="9">
        <v>0.6</v>
      </c>
      <c r="GE232" s="9">
        <v>0.6</v>
      </c>
      <c r="GF232" s="9">
        <v>0.8</v>
      </c>
      <c r="GG232" s="9">
        <v>0.8</v>
      </c>
      <c r="GH232" s="9">
        <v>1</v>
      </c>
      <c r="GI232" s="9">
        <v>1.1000000000000001</v>
      </c>
      <c r="GJ232" s="9">
        <v>0.2</v>
      </c>
      <c r="GK232" s="9">
        <v>0.4</v>
      </c>
      <c r="GL232" s="9">
        <v>0</v>
      </c>
      <c r="GM232" s="9">
        <v>-0.3</v>
      </c>
      <c r="GN232" s="9">
        <v>0.4</v>
      </c>
      <c r="GO232" s="9">
        <v>0</v>
      </c>
      <c r="GP232" s="9">
        <v>-1.8</v>
      </c>
      <c r="GQ232" s="9">
        <v>-0.1</v>
      </c>
      <c r="GR232" s="9">
        <v>0.2</v>
      </c>
      <c r="GS232" s="9">
        <v>0.2</v>
      </c>
      <c r="GT232" s="9">
        <v>0.1</v>
      </c>
      <c r="GU232" s="9">
        <v>-2.5</v>
      </c>
      <c r="GV232" s="9">
        <v>-2.5</v>
      </c>
      <c r="GW232" s="9">
        <v>-0.5</v>
      </c>
      <c r="GX232" s="9">
        <v>0.7</v>
      </c>
      <c r="GY232" s="9">
        <v>-3.2</v>
      </c>
      <c r="GZ232" s="9">
        <v>-2.1</v>
      </c>
      <c r="HA232" s="9">
        <v>0.9</v>
      </c>
      <c r="HB232" s="9">
        <v>0.2</v>
      </c>
      <c r="HC232" s="9">
        <v>-0.9</v>
      </c>
      <c r="HD232" s="9">
        <v>-1.1000000000000001</v>
      </c>
      <c r="HE232" s="9">
        <v>0.6</v>
      </c>
      <c r="HF232" s="9">
        <v>1.1000000000000001</v>
      </c>
      <c r="HG232" s="9">
        <v>0</v>
      </c>
      <c r="HH232" s="9">
        <v>2</v>
      </c>
      <c r="HI232" s="9">
        <v>1.1000000000000001</v>
      </c>
      <c r="HJ232" s="9">
        <v>0.1</v>
      </c>
      <c r="HK232" s="9">
        <v>-3.4</v>
      </c>
      <c r="HL232" s="9">
        <v>-3.9</v>
      </c>
      <c r="HM232" s="9">
        <v>0.1</v>
      </c>
      <c r="HN232" s="9">
        <v>1.3</v>
      </c>
      <c r="HO232" s="9">
        <v>1.3</v>
      </c>
      <c r="HP232" s="9">
        <v>1.3</v>
      </c>
      <c r="HQ232" s="9">
        <v>-0.4</v>
      </c>
      <c r="HR232" s="9">
        <v>-0.4</v>
      </c>
      <c r="HS232" s="9">
        <v>-0.7</v>
      </c>
      <c r="HT232" s="9">
        <v>0.8</v>
      </c>
      <c r="HU232" s="9">
        <v>-0.9</v>
      </c>
      <c r="HV232" s="9">
        <v>-0.1</v>
      </c>
      <c r="HW232" s="9">
        <v>0.7</v>
      </c>
      <c r="HX232" s="9">
        <v>0.3</v>
      </c>
      <c r="HY232" s="9">
        <v>0.3</v>
      </c>
      <c r="HZ232" s="9">
        <v>0.2</v>
      </c>
      <c r="IA232" s="9">
        <v>0.2</v>
      </c>
      <c r="IB232" s="9">
        <v>1.3</v>
      </c>
      <c r="IC232" s="9">
        <v>0.1</v>
      </c>
      <c r="ID232" s="9">
        <v>0.8</v>
      </c>
      <c r="IE232" s="9">
        <v>-2.9</v>
      </c>
      <c r="IF232" s="9">
        <v>-5.7</v>
      </c>
      <c r="IG232" s="9">
        <v>-0.3</v>
      </c>
      <c r="IH232" s="9">
        <v>0</v>
      </c>
      <c r="II232" s="9">
        <v>-0.1</v>
      </c>
      <c r="IJ232" s="9">
        <v>0.2</v>
      </c>
      <c r="IK232" s="9">
        <v>3.5</v>
      </c>
      <c r="IL232" s="9">
        <v>6.6</v>
      </c>
      <c r="IM232" s="9">
        <v>0.2</v>
      </c>
      <c r="IN232" s="9">
        <v>-0.4</v>
      </c>
      <c r="IO232" s="9">
        <v>-1.4</v>
      </c>
      <c r="IP232" s="9">
        <v>-3.4</v>
      </c>
      <c r="IQ232" s="9">
        <v>-3.4</v>
      </c>
    </row>
    <row r="233" spans="1:251" x14ac:dyDescent="0.2">
      <c r="A233" s="10">
        <v>38047</v>
      </c>
      <c r="B233" s="8">
        <v>55.71</v>
      </c>
      <c r="C233" s="8">
        <v>56.33</v>
      </c>
      <c r="D233" s="8">
        <v>59.86</v>
      </c>
      <c r="E233" s="8">
        <v>57.12</v>
      </c>
      <c r="F233" s="8">
        <v>58.14</v>
      </c>
      <c r="G233" s="8">
        <v>73.23</v>
      </c>
      <c r="H233" s="8">
        <v>65.97</v>
      </c>
      <c r="I233" s="8">
        <v>58.55</v>
      </c>
      <c r="J233" s="8">
        <v>50.27</v>
      </c>
      <c r="K233" s="8">
        <v>60.17</v>
      </c>
      <c r="L233" s="8">
        <v>49.47</v>
      </c>
      <c r="M233" s="8">
        <v>82.56</v>
      </c>
      <c r="N233" s="8">
        <v>52.02</v>
      </c>
      <c r="O233" s="8">
        <v>59.01</v>
      </c>
      <c r="P233" s="8">
        <v>60.92</v>
      </c>
      <c r="Q233" s="8">
        <v>65.84</v>
      </c>
      <c r="R233" s="8">
        <v>50.26</v>
      </c>
      <c r="S233" s="8">
        <v>64.81</v>
      </c>
      <c r="T233" s="8">
        <v>59.49</v>
      </c>
      <c r="U233" s="8">
        <v>57.68</v>
      </c>
      <c r="V233" s="8">
        <v>61.03</v>
      </c>
      <c r="W233" s="8">
        <v>59.44</v>
      </c>
      <c r="X233" s="8">
        <v>55.33</v>
      </c>
      <c r="Y233" s="8">
        <v>66.62</v>
      </c>
      <c r="Z233" s="8">
        <v>67.09</v>
      </c>
      <c r="AA233" s="8">
        <v>41.72</v>
      </c>
      <c r="AB233" s="8">
        <v>56.6</v>
      </c>
      <c r="AC233" s="8">
        <v>70.25</v>
      </c>
      <c r="AD233" s="8">
        <v>54.36</v>
      </c>
      <c r="AE233" s="8">
        <v>61.31</v>
      </c>
      <c r="AF233" s="8">
        <v>52.82</v>
      </c>
      <c r="AG233" s="8">
        <v>51.9</v>
      </c>
      <c r="AH233" s="8">
        <v>54.43</v>
      </c>
      <c r="AI233" s="8">
        <v>49.33</v>
      </c>
      <c r="AJ233" s="8">
        <v>32.11</v>
      </c>
      <c r="AK233" s="8">
        <v>57.36</v>
      </c>
      <c r="AL233" s="8">
        <v>47.75</v>
      </c>
      <c r="AM233" s="8">
        <v>84.46</v>
      </c>
      <c r="AN233" s="8">
        <v>46.57</v>
      </c>
      <c r="AO233" s="8">
        <v>12.66</v>
      </c>
      <c r="AP233" s="8">
        <v>12.66</v>
      </c>
      <c r="AQ233" s="8">
        <v>100.5</v>
      </c>
      <c r="AR233" s="8">
        <v>119.55</v>
      </c>
      <c r="AS233" s="8">
        <v>109.58</v>
      </c>
      <c r="AT233" s="8">
        <v>130.47999999999999</v>
      </c>
      <c r="AU233" s="8">
        <v>101.92</v>
      </c>
      <c r="AV233" s="8">
        <v>108.18</v>
      </c>
      <c r="AW233" s="8">
        <v>109.17</v>
      </c>
      <c r="AX233" s="8">
        <v>111.63</v>
      </c>
      <c r="AY233" s="8">
        <v>98.19</v>
      </c>
      <c r="AZ233" s="8">
        <v>59.27</v>
      </c>
      <c r="BA233" s="8">
        <v>62.16</v>
      </c>
      <c r="BB233" s="8">
        <v>50.1</v>
      </c>
      <c r="BC233" s="8">
        <v>44.62</v>
      </c>
      <c r="BD233" s="8">
        <v>50.8</v>
      </c>
      <c r="BE233" s="8">
        <v>50.8</v>
      </c>
      <c r="BF233" s="8">
        <v>45.21</v>
      </c>
      <c r="BG233" s="8">
        <v>45.19</v>
      </c>
      <c r="BH233" s="8">
        <v>45.74</v>
      </c>
      <c r="BI233" s="8">
        <v>54.34</v>
      </c>
      <c r="BJ233" s="8">
        <v>35.130000000000003</v>
      </c>
      <c r="BK233" s="8">
        <v>34.32</v>
      </c>
      <c r="BL233" s="8">
        <v>38.31</v>
      </c>
      <c r="BM233" s="8">
        <v>35.53</v>
      </c>
      <c r="BN233" s="8">
        <v>28.99</v>
      </c>
      <c r="BO233" s="8">
        <v>75.45</v>
      </c>
      <c r="BP233" s="8">
        <v>77.33</v>
      </c>
      <c r="BQ233" s="8">
        <v>81.650000000000006</v>
      </c>
      <c r="BR233" s="8">
        <v>61.67</v>
      </c>
      <c r="BS233" s="8">
        <v>121.82</v>
      </c>
      <c r="BT233" s="8">
        <v>121.82</v>
      </c>
      <c r="BU233" s="8">
        <v>102.69</v>
      </c>
      <c r="BV233" s="8">
        <v>104.57</v>
      </c>
      <c r="BW233" s="8">
        <v>114.53</v>
      </c>
      <c r="BX233" s="8">
        <v>117.55</v>
      </c>
      <c r="BY233" s="8">
        <v>77.83</v>
      </c>
      <c r="BZ233" s="8">
        <v>81.58</v>
      </c>
      <c r="CA233" s="8">
        <v>78.45</v>
      </c>
      <c r="CB233" s="8">
        <v>100.4</v>
      </c>
      <c r="CC233" s="8">
        <v>70.48</v>
      </c>
      <c r="CD233" s="8">
        <v>49.77</v>
      </c>
      <c r="CE233" s="8">
        <v>57.7</v>
      </c>
      <c r="CF233" s="8">
        <v>51.14</v>
      </c>
      <c r="CG233" s="8">
        <v>44.22</v>
      </c>
      <c r="CH233" s="8">
        <v>40.44</v>
      </c>
      <c r="CI233" s="8">
        <v>78.760000000000005</v>
      </c>
      <c r="CJ233" s="8">
        <v>78.17</v>
      </c>
      <c r="CK233" s="8">
        <v>83.79</v>
      </c>
      <c r="CL233" s="8">
        <v>33.53</v>
      </c>
      <c r="CM233" s="8">
        <v>31.27</v>
      </c>
      <c r="CN233" s="8">
        <v>51.75</v>
      </c>
      <c r="CO233" s="8">
        <v>62.31</v>
      </c>
      <c r="CP233" s="8">
        <v>62.47</v>
      </c>
      <c r="CQ233" s="8">
        <v>98.28</v>
      </c>
      <c r="CR233" s="8">
        <v>56.08</v>
      </c>
      <c r="CS233" s="8">
        <v>48.69</v>
      </c>
      <c r="CT233" s="8">
        <v>55.85</v>
      </c>
      <c r="CU233" s="8">
        <v>45.32</v>
      </c>
      <c r="CV233" s="8">
        <v>62.49</v>
      </c>
      <c r="CW233" s="8">
        <v>62.49</v>
      </c>
      <c r="CX233" s="8">
        <v>120.89</v>
      </c>
      <c r="CY233" s="8">
        <v>120.89</v>
      </c>
      <c r="CZ233" s="8">
        <v>44.6</v>
      </c>
      <c r="DA233" s="8">
        <v>126.33</v>
      </c>
      <c r="DB233" s="8">
        <v>75.150000000000006</v>
      </c>
      <c r="DC233" s="8">
        <v>236.88</v>
      </c>
      <c r="DD233" s="8">
        <v>640.26</v>
      </c>
      <c r="DE233" s="8">
        <v>78.23</v>
      </c>
      <c r="DF233" s="8">
        <v>66.88</v>
      </c>
      <c r="DG233" s="8">
        <v>93.55</v>
      </c>
      <c r="DH233" s="8">
        <v>57.12</v>
      </c>
      <c r="DI233" s="8">
        <v>56.33</v>
      </c>
      <c r="DJ233" s="8">
        <v>51.81</v>
      </c>
      <c r="DK233" s="8">
        <v>54.3</v>
      </c>
      <c r="DL233" s="8">
        <v>59.7</v>
      </c>
      <c r="DM233" s="8">
        <v>96.32</v>
      </c>
      <c r="DN233" s="8">
        <v>127.75</v>
      </c>
      <c r="DO233" s="8">
        <v>47.11</v>
      </c>
      <c r="DP233" s="8">
        <v>41.66</v>
      </c>
      <c r="DQ233" s="8">
        <v>49.04</v>
      </c>
      <c r="DR233" s="8">
        <v>48.36</v>
      </c>
      <c r="DS233" s="8">
        <v>39.4</v>
      </c>
      <c r="DT233" s="8">
        <v>39.4</v>
      </c>
      <c r="DU233" s="8">
        <v>42.11</v>
      </c>
      <c r="DV233" s="8">
        <v>33.31</v>
      </c>
      <c r="DW233" s="8">
        <v>44.1</v>
      </c>
      <c r="DY233" s="8">
        <v>34.869999999999997</v>
      </c>
      <c r="DZ233" s="8">
        <v>34.869999999999997</v>
      </c>
      <c r="ED233" s="9">
        <v>0.9</v>
      </c>
      <c r="EE233" s="9">
        <v>1.8</v>
      </c>
      <c r="EF233" s="9">
        <v>-0.5</v>
      </c>
      <c r="EG233" s="9">
        <v>-0.6</v>
      </c>
      <c r="EH233" s="9">
        <v>0.3</v>
      </c>
      <c r="EI233" s="9">
        <v>-1.7</v>
      </c>
      <c r="EJ233" s="9">
        <v>-1.9</v>
      </c>
      <c r="EK233" s="9">
        <v>0.5</v>
      </c>
      <c r="EL233" s="9">
        <v>0.2</v>
      </c>
      <c r="EM233" s="9">
        <v>-0.2</v>
      </c>
      <c r="EN233" s="9">
        <v>0.9</v>
      </c>
      <c r="EO233" s="9">
        <v>2.2000000000000002</v>
      </c>
      <c r="EP233" s="9">
        <v>0.7</v>
      </c>
      <c r="EQ233" s="9">
        <v>-0.6</v>
      </c>
      <c r="ER233" s="9">
        <v>0.7</v>
      </c>
      <c r="ES233" s="9">
        <v>0.4</v>
      </c>
      <c r="ET233" s="9">
        <v>1.9</v>
      </c>
      <c r="EU233" s="9">
        <v>0.2</v>
      </c>
      <c r="EV233" s="9">
        <v>9.4</v>
      </c>
      <c r="EW233" s="9">
        <v>4.9000000000000004</v>
      </c>
      <c r="EX233" s="9">
        <v>13</v>
      </c>
      <c r="EY233" s="9">
        <v>1.3</v>
      </c>
      <c r="EZ233" s="9">
        <v>0.9</v>
      </c>
      <c r="FA233" s="9">
        <v>0.8</v>
      </c>
      <c r="FB233" s="9">
        <v>0.4</v>
      </c>
      <c r="FC233" s="9">
        <v>1.2</v>
      </c>
      <c r="FD233" s="9">
        <v>0.9</v>
      </c>
      <c r="FE233" s="9">
        <v>3.2</v>
      </c>
      <c r="FF233" s="9">
        <v>0.5</v>
      </c>
      <c r="FG233" s="9">
        <v>-2.6</v>
      </c>
      <c r="FH233" s="9">
        <v>1.3</v>
      </c>
      <c r="FI233" s="9">
        <v>0.8</v>
      </c>
      <c r="FJ233" s="9">
        <v>1.3</v>
      </c>
      <c r="FK233" s="9">
        <v>0.3</v>
      </c>
      <c r="FL233" s="9">
        <v>1.1000000000000001</v>
      </c>
      <c r="FM233" s="9">
        <v>0.9</v>
      </c>
      <c r="FN233" s="9">
        <v>1.2</v>
      </c>
      <c r="FO233" s="9">
        <v>1</v>
      </c>
      <c r="FP233" s="9">
        <v>0.7</v>
      </c>
      <c r="FQ233" s="9">
        <v>1.4</v>
      </c>
      <c r="FR233" s="9">
        <v>1.4</v>
      </c>
      <c r="FS233" s="9">
        <v>-1.4</v>
      </c>
      <c r="FT233" s="9">
        <v>-1.2</v>
      </c>
      <c r="FU233" s="9">
        <v>-2.2000000000000002</v>
      </c>
      <c r="FV233" s="9">
        <v>0</v>
      </c>
      <c r="FW233" s="9">
        <v>-4.2</v>
      </c>
      <c r="FX233" s="9">
        <v>-2.2000000000000002</v>
      </c>
      <c r="FY233" s="9">
        <v>-2</v>
      </c>
      <c r="FZ233" s="9">
        <v>-1.9</v>
      </c>
      <c r="GA233" s="9">
        <v>-3.1</v>
      </c>
      <c r="GB233" s="9">
        <v>-1.1000000000000001</v>
      </c>
      <c r="GC233" s="9">
        <v>-1.8</v>
      </c>
      <c r="GD233" s="9">
        <v>0.3</v>
      </c>
      <c r="GE233" s="9">
        <v>0.9</v>
      </c>
      <c r="GF233" s="9">
        <v>0.6</v>
      </c>
      <c r="GG233" s="9">
        <v>0.6</v>
      </c>
      <c r="GH233" s="9">
        <v>1.1000000000000001</v>
      </c>
      <c r="GI233" s="9">
        <v>1.1000000000000001</v>
      </c>
      <c r="GJ233" s="9">
        <v>0.2</v>
      </c>
      <c r="GK233" s="9">
        <v>0.1</v>
      </c>
      <c r="GL233" s="9">
        <v>0.1</v>
      </c>
      <c r="GM233" s="9">
        <v>1.8</v>
      </c>
      <c r="GN233" s="9">
        <v>0.2</v>
      </c>
      <c r="GO233" s="9">
        <v>1.3</v>
      </c>
      <c r="GP233" s="9">
        <v>4.8</v>
      </c>
      <c r="GQ233" s="9">
        <v>-0.6</v>
      </c>
      <c r="GR233" s="9">
        <v>-1.4</v>
      </c>
      <c r="GS233" s="9">
        <v>-1.8</v>
      </c>
      <c r="GT233" s="9">
        <v>0.1</v>
      </c>
      <c r="GU233" s="9">
        <v>-0.1</v>
      </c>
      <c r="GV233" s="9">
        <v>-0.1</v>
      </c>
      <c r="GW233" s="9">
        <v>-1.1000000000000001</v>
      </c>
      <c r="GX233" s="9">
        <v>-0.8</v>
      </c>
      <c r="GY233" s="9">
        <v>0.3</v>
      </c>
      <c r="GZ233" s="9">
        <v>-2.7</v>
      </c>
      <c r="HA233" s="9">
        <v>-0.8</v>
      </c>
      <c r="HB233" s="9">
        <v>0.4</v>
      </c>
      <c r="HC233" s="9">
        <v>0</v>
      </c>
      <c r="HD233" s="9">
        <v>1.1000000000000001</v>
      </c>
      <c r="HE233" s="9">
        <v>0.5</v>
      </c>
      <c r="HF233" s="9">
        <v>1</v>
      </c>
      <c r="HG233" s="9">
        <v>4.4000000000000004</v>
      </c>
      <c r="HH233" s="9">
        <v>0.6</v>
      </c>
      <c r="HI233" s="9">
        <v>1</v>
      </c>
      <c r="HJ233" s="9">
        <v>3.2</v>
      </c>
      <c r="HK233" s="9">
        <v>9.9</v>
      </c>
      <c r="HL233" s="9">
        <v>11.3</v>
      </c>
      <c r="HM233" s="9">
        <v>0.6</v>
      </c>
      <c r="HN233" s="9">
        <v>1.1000000000000001</v>
      </c>
      <c r="HO233" s="9">
        <v>1</v>
      </c>
      <c r="HP233" s="9">
        <v>1.8</v>
      </c>
      <c r="HQ233" s="9">
        <v>0.7</v>
      </c>
      <c r="HR233" s="9">
        <v>0.6</v>
      </c>
      <c r="HS233" s="9">
        <v>-1.8</v>
      </c>
      <c r="HT233" s="9">
        <v>0.4</v>
      </c>
      <c r="HU233" s="9">
        <v>3.4</v>
      </c>
      <c r="HV233" s="9">
        <v>1.3</v>
      </c>
      <c r="HW233" s="9">
        <v>0.6</v>
      </c>
      <c r="HX233" s="9">
        <v>1.9</v>
      </c>
      <c r="HY233" s="9">
        <v>1.9</v>
      </c>
      <c r="HZ233" s="9">
        <v>0</v>
      </c>
      <c r="IA233" s="9">
        <v>0</v>
      </c>
      <c r="IB233" s="9">
        <v>0</v>
      </c>
      <c r="IC233" s="9">
        <v>0</v>
      </c>
      <c r="ID233" s="9">
        <v>-1.1000000000000001</v>
      </c>
      <c r="IE233" s="9">
        <v>-3</v>
      </c>
      <c r="IF233" s="9">
        <v>-4.5</v>
      </c>
      <c r="IG233" s="9">
        <v>-1.8</v>
      </c>
      <c r="IH233" s="9">
        <v>0.4</v>
      </c>
      <c r="II233" s="9">
        <v>0.7</v>
      </c>
      <c r="IJ233" s="9">
        <v>0.2</v>
      </c>
      <c r="IK233" s="9">
        <v>-3.1</v>
      </c>
      <c r="IL233" s="9">
        <v>-1.1000000000000001</v>
      </c>
      <c r="IM233" s="9">
        <v>-5.5</v>
      </c>
      <c r="IN233" s="9">
        <v>1.5</v>
      </c>
      <c r="IO233" s="9">
        <v>-0.3</v>
      </c>
      <c r="IP233" s="9">
        <v>3.9</v>
      </c>
      <c r="IQ233" s="9">
        <v>-0.3</v>
      </c>
    </row>
    <row r="234" spans="1:251" x14ac:dyDescent="0.2">
      <c r="A234" s="10">
        <v>38139</v>
      </c>
      <c r="B234" s="8">
        <v>55.97</v>
      </c>
      <c r="C234" s="8">
        <v>55.82</v>
      </c>
      <c r="D234" s="8">
        <v>60.07</v>
      </c>
      <c r="E234" s="8">
        <v>56.86</v>
      </c>
      <c r="F234" s="8">
        <v>58.39</v>
      </c>
      <c r="G234" s="8">
        <v>73.73</v>
      </c>
      <c r="H234" s="8">
        <v>67.5</v>
      </c>
      <c r="I234" s="8">
        <v>58.18</v>
      </c>
      <c r="J234" s="8">
        <v>50.15</v>
      </c>
      <c r="K234" s="8">
        <v>59.15</v>
      </c>
      <c r="L234" s="8">
        <v>49.15</v>
      </c>
      <c r="M234" s="8">
        <v>81.31</v>
      </c>
      <c r="N234" s="8">
        <v>52.38</v>
      </c>
      <c r="O234" s="8">
        <v>58.77</v>
      </c>
      <c r="P234" s="8">
        <v>61.51</v>
      </c>
      <c r="Q234" s="8">
        <v>66.650000000000006</v>
      </c>
      <c r="R234" s="8">
        <v>50.57</v>
      </c>
      <c r="S234" s="8">
        <v>65.290000000000006</v>
      </c>
      <c r="T234" s="8">
        <v>54.83</v>
      </c>
      <c r="U234" s="8">
        <v>55.84</v>
      </c>
      <c r="V234" s="8">
        <v>54.07</v>
      </c>
      <c r="W234" s="8">
        <v>59.41</v>
      </c>
      <c r="X234" s="8">
        <v>54.8</v>
      </c>
      <c r="Y234" s="8">
        <v>66.92</v>
      </c>
      <c r="Z234" s="8">
        <v>66.66</v>
      </c>
      <c r="AA234" s="8">
        <v>41.6</v>
      </c>
      <c r="AB234" s="8">
        <v>56.79</v>
      </c>
      <c r="AC234" s="8">
        <v>69.81</v>
      </c>
      <c r="AD234" s="8">
        <v>54.8</v>
      </c>
      <c r="AE234" s="8">
        <v>60.45</v>
      </c>
      <c r="AF234" s="8">
        <v>53.52</v>
      </c>
      <c r="AG234" s="8">
        <v>52.21</v>
      </c>
      <c r="AH234" s="8">
        <v>54.8</v>
      </c>
      <c r="AI234" s="8">
        <v>49.61</v>
      </c>
      <c r="AJ234" s="8">
        <v>32.35</v>
      </c>
      <c r="AK234" s="8">
        <v>57.86</v>
      </c>
      <c r="AL234" s="8">
        <v>48.1</v>
      </c>
      <c r="AM234" s="8">
        <v>85.09</v>
      </c>
      <c r="AN234" s="8">
        <v>47.04</v>
      </c>
      <c r="AO234" s="8">
        <v>12.73</v>
      </c>
      <c r="AP234" s="8">
        <v>12.73</v>
      </c>
      <c r="AQ234" s="8">
        <v>101.58</v>
      </c>
      <c r="AR234" s="8">
        <v>121.01</v>
      </c>
      <c r="AS234" s="8">
        <v>110.65</v>
      </c>
      <c r="AT234" s="8">
        <v>132.34</v>
      </c>
      <c r="AU234" s="8">
        <v>103.18</v>
      </c>
      <c r="AV234" s="8">
        <v>108.75</v>
      </c>
      <c r="AW234" s="8">
        <v>109.29</v>
      </c>
      <c r="AX234" s="8">
        <v>112.3</v>
      </c>
      <c r="AY234" s="8">
        <v>99.12</v>
      </c>
      <c r="AZ234" s="8">
        <v>59.82</v>
      </c>
      <c r="BA234" s="8">
        <v>63.06</v>
      </c>
      <c r="BB234" s="8">
        <v>50.21</v>
      </c>
      <c r="BC234" s="8">
        <v>44.92</v>
      </c>
      <c r="BD234" s="8">
        <v>51.15</v>
      </c>
      <c r="BE234" s="8">
        <v>51.15</v>
      </c>
      <c r="BF234" s="8">
        <v>45.83</v>
      </c>
      <c r="BG234" s="8">
        <v>45.82</v>
      </c>
      <c r="BH234" s="8">
        <v>45.95</v>
      </c>
      <c r="BI234" s="8">
        <v>54.77</v>
      </c>
      <c r="BJ234" s="8">
        <v>35.130000000000003</v>
      </c>
      <c r="BK234" s="8">
        <v>34.020000000000003</v>
      </c>
      <c r="BL234" s="8">
        <v>38.31</v>
      </c>
      <c r="BM234" s="8">
        <v>35.049999999999997</v>
      </c>
      <c r="BN234" s="8">
        <v>28.78</v>
      </c>
      <c r="BO234" s="8">
        <v>75.45</v>
      </c>
      <c r="BP234" s="8">
        <v>77.98</v>
      </c>
      <c r="BQ234" s="8">
        <v>82.24</v>
      </c>
      <c r="BR234" s="8">
        <v>62.33</v>
      </c>
      <c r="BS234" s="8">
        <v>118</v>
      </c>
      <c r="BT234" s="8">
        <v>118</v>
      </c>
      <c r="BU234" s="8">
        <v>101.9</v>
      </c>
      <c r="BV234" s="8">
        <v>104.05</v>
      </c>
      <c r="BW234" s="8">
        <v>113.4</v>
      </c>
      <c r="BX234" s="8">
        <v>115.44</v>
      </c>
      <c r="BY234" s="8">
        <v>77.94</v>
      </c>
      <c r="BZ234" s="8">
        <v>81.78</v>
      </c>
      <c r="CA234" s="8">
        <v>80.34</v>
      </c>
      <c r="CB234" s="8">
        <v>100.23</v>
      </c>
      <c r="CC234" s="8">
        <v>70.239999999999995</v>
      </c>
      <c r="CD234" s="8">
        <v>50.08</v>
      </c>
      <c r="CE234" s="8">
        <v>58.3</v>
      </c>
      <c r="CF234" s="8">
        <v>51.43</v>
      </c>
      <c r="CG234" s="8">
        <v>44.49</v>
      </c>
      <c r="CH234" s="8">
        <v>41.69</v>
      </c>
      <c r="CI234" s="8">
        <v>78.290000000000006</v>
      </c>
      <c r="CJ234" s="8">
        <v>77.61</v>
      </c>
      <c r="CK234" s="8">
        <v>84.35</v>
      </c>
      <c r="CL234" s="8">
        <v>34.97</v>
      </c>
      <c r="CM234" s="8">
        <v>32.869999999999997</v>
      </c>
      <c r="CN234" s="8">
        <v>52.26</v>
      </c>
      <c r="CO234" s="8">
        <v>63.37</v>
      </c>
      <c r="CP234" s="8">
        <v>63.61</v>
      </c>
      <c r="CQ234" s="8">
        <v>98.31</v>
      </c>
      <c r="CR234" s="8">
        <v>55.72</v>
      </c>
      <c r="CS234" s="8">
        <v>51.53</v>
      </c>
      <c r="CT234" s="8">
        <v>56.02</v>
      </c>
      <c r="CU234" s="8">
        <v>45.44</v>
      </c>
      <c r="CV234" s="8">
        <v>62.5</v>
      </c>
      <c r="CW234" s="8">
        <v>62.5</v>
      </c>
      <c r="CX234" s="8">
        <v>121.4</v>
      </c>
      <c r="CY234" s="8">
        <v>121.4</v>
      </c>
      <c r="CZ234" s="8">
        <v>44.6</v>
      </c>
      <c r="DA234" s="8">
        <v>126.9</v>
      </c>
      <c r="DB234" s="8">
        <v>74.930000000000007</v>
      </c>
      <c r="DC234" s="8">
        <v>231.93</v>
      </c>
      <c r="DD234" s="8">
        <v>608.04999999999995</v>
      </c>
      <c r="DE234" s="8">
        <v>78.400000000000006</v>
      </c>
      <c r="DF234" s="8">
        <v>66.8</v>
      </c>
      <c r="DG234" s="8">
        <v>93.69</v>
      </c>
      <c r="DH234" s="8">
        <v>56.98</v>
      </c>
      <c r="DI234" s="8">
        <v>56.05</v>
      </c>
      <c r="DJ234" s="8">
        <v>50.93</v>
      </c>
      <c r="DK234" s="8">
        <v>54.82</v>
      </c>
      <c r="DL234" s="8">
        <v>60.04</v>
      </c>
      <c r="DM234" s="8">
        <v>95.33</v>
      </c>
      <c r="DN234" s="8">
        <v>128.53</v>
      </c>
      <c r="DO234" s="8">
        <v>47.62</v>
      </c>
      <c r="DP234" s="8">
        <v>42.26</v>
      </c>
      <c r="DQ234" s="8">
        <v>49.51</v>
      </c>
      <c r="DR234" s="8">
        <v>48.63</v>
      </c>
      <c r="DS234" s="8">
        <v>39.42</v>
      </c>
      <c r="DT234" s="8">
        <v>39.42</v>
      </c>
      <c r="DU234" s="8">
        <v>42.21</v>
      </c>
      <c r="DV234" s="8">
        <v>33.31</v>
      </c>
      <c r="DW234" s="8">
        <v>44.1</v>
      </c>
      <c r="DY234" s="8">
        <v>34.700000000000003</v>
      </c>
      <c r="DZ234" s="8">
        <v>34.700000000000003</v>
      </c>
      <c r="ED234" s="9">
        <v>0.5</v>
      </c>
      <c r="EE234" s="9">
        <v>-0.9</v>
      </c>
      <c r="EF234" s="9">
        <v>0.4</v>
      </c>
      <c r="EG234" s="9">
        <v>-0.5</v>
      </c>
      <c r="EH234" s="9">
        <v>0.4</v>
      </c>
      <c r="EI234" s="9">
        <v>0.7</v>
      </c>
      <c r="EJ234" s="9">
        <v>2.2999999999999998</v>
      </c>
      <c r="EK234" s="9">
        <v>-0.6</v>
      </c>
      <c r="EL234" s="9">
        <v>-0.2</v>
      </c>
      <c r="EM234" s="9">
        <v>-1.7</v>
      </c>
      <c r="EN234" s="9">
        <v>-0.6</v>
      </c>
      <c r="EO234" s="9">
        <v>-1.5</v>
      </c>
      <c r="EP234" s="9">
        <v>0.7</v>
      </c>
      <c r="EQ234" s="9">
        <v>-0.4</v>
      </c>
      <c r="ER234" s="9">
        <v>1</v>
      </c>
      <c r="ES234" s="9">
        <v>1.2</v>
      </c>
      <c r="ET234" s="9">
        <v>0.6</v>
      </c>
      <c r="EU234" s="9">
        <v>0.7</v>
      </c>
      <c r="EV234" s="9">
        <v>-7.8</v>
      </c>
      <c r="EW234" s="9">
        <v>-3.2</v>
      </c>
      <c r="EX234" s="9">
        <v>-11.4</v>
      </c>
      <c r="EY234" s="9">
        <v>-0.1</v>
      </c>
      <c r="EZ234" s="9">
        <v>-1</v>
      </c>
      <c r="FA234" s="9">
        <v>0.5</v>
      </c>
      <c r="FB234" s="9">
        <v>-0.6</v>
      </c>
      <c r="FC234" s="9">
        <v>-0.3</v>
      </c>
      <c r="FD234" s="9">
        <v>0.3</v>
      </c>
      <c r="FE234" s="9">
        <v>-0.6</v>
      </c>
      <c r="FF234" s="9">
        <v>0.8</v>
      </c>
      <c r="FG234" s="9">
        <v>-1.4</v>
      </c>
      <c r="FH234" s="9">
        <v>1.3</v>
      </c>
      <c r="FI234" s="9">
        <v>0.6</v>
      </c>
      <c r="FJ234" s="9">
        <v>0.7</v>
      </c>
      <c r="FK234" s="9">
        <v>0.6</v>
      </c>
      <c r="FL234" s="9">
        <v>0.7</v>
      </c>
      <c r="FM234" s="9">
        <v>0.9</v>
      </c>
      <c r="FN234" s="9">
        <v>0.7</v>
      </c>
      <c r="FO234" s="9">
        <v>0.7</v>
      </c>
      <c r="FP234" s="9">
        <v>1</v>
      </c>
      <c r="FQ234" s="9">
        <v>0.6</v>
      </c>
      <c r="FR234" s="9">
        <v>0.6</v>
      </c>
      <c r="FS234" s="9">
        <v>1.1000000000000001</v>
      </c>
      <c r="FT234" s="9">
        <v>1.2</v>
      </c>
      <c r="FU234" s="9">
        <v>1</v>
      </c>
      <c r="FV234" s="9">
        <v>1.4</v>
      </c>
      <c r="FW234" s="9">
        <v>1.2</v>
      </c>
      <c r="FX234" s="9">
        <v>0.5</v>
      </c>
      <c r="FY234" s="9">
        <v>0.1</v>
      </c>
      <c r="FZ234" s="9">
        <v>0.6</v>
      </c>
      <c r="GA234" s="9">
        <v>0.9</v>
      </c>
      <c r="GB234" s="9">
        <v>0.9</v>
      </c>
      <c r="GC234" s="9">
        <v>1.4</v>
      </c>
      <c r="GD234" s="9">
        <v>0.2</v>
      </c>
      <c r="GE234" s="9">
        <v>0.7</v>
      </c>
      <c r="GF234" s="9">
        <v>0.7</v>
      </c>
      <c r="GG234" s="9">
        <v>0.7</v>
      </c>
      <c r="GH234" s="9">
        <v>1.4</v>
      </c>
      <c r="GI234" s="9">
        <v>1.4</v>
      </c>
      <c r="GJ234" s="9">
        <v>0.5</v>
      </c>
      <c r="GK234" s="9">
        <v>0.8</v>
      </c>
      <c r="GL234" s="9">
        <v>0</v>
      </c>
      <c r="GM234" s="9">
        <v>-0.9</v>
      </c>
      <c r="GN234" s="9">
        <v>0</v>
      </c>
      <c r="GO234" s="9">
        <v>-1.4</v>
      </c>
      <c r="GP234" s="9">
        <v>-0.7</v>
      </c>
      <c r="GQ234" s="9">
        <v>0</v>
      </c>
      <c r="GR234" s="9">
        <v>0.8</v>
      </c>
      <c r="GS234" s="9">
        <v>0.7</v>
      </c>
      <c r="GT234" s="9">
        <v>1.1000000000000001</v>
      </c>
      <c r="GU234" s="9">
        <v>-3.1</v>
      </c>
      <c r="GV234" s="9">
        <v>-3.1</v>
      </c>
      <c r="GW234" s="9">
        <v>-0.8</v>
      </c>
      <c r="GX234" s="9">
        <v>-0.5</v>
      </c>
      <c r="GY234" s="9">
        <v>-1</v>
      </c>
      <c r="GZ234" s="9">
        <v>-1.8</v>
      </c>
      <c r="HA234" s="9">
        <v>0.1</v>
      </c>
      <c r="HB234" s="9">
        <v>0.2</v>
      </c>
      <c r="HC234" s="9">
        <v>2.4</v>
      </c>
      <c r="HD234" s="9">
        <v>-0.2</v>
      </c>
      <c r="HE234" s="9">
        <v>-0.3</v>
      </c>
      <c r="HF234" s="9">
        <v>0.6</v>
      </c>
      <c r="HG234" s="9">
        <v>1</v>
      </c>
      <c r="HH234" s="9">
        <v>0.6</v>
      </c>
      <c r="HI234" s="9">
        <v>0.6</v>
      </c>
      <c r="HJ234" s="9">
        <v>3.1</v>
      </c>
      <c r="HK234" s="9">
        <v>-0.6</v>
      </c>
      <c r="HL234" s="9">
        <v>-0.7</v>
      </c>
      <c r="HM234" s="9">
        <v>0.7</v>
      </c>
      <c r="HN234" s="9">
        <v>4.3</v>
      </c>
      <c r="HO234" s="9">
        <v>5.0999999999999996</v>
      </c>
      <c r="HP234" s="9">
        <v>1</v>
      </c>
      <c r="HQ234" s="9">
        <v>1.7</v>
      </c>
      <c r="HR234" s="9">
        <v>1.8</v>
      </c>
      <c r="HS234" s="9">
        <v>0</v>
      </c>
      <c r="HT234" s="9">
        <v>-0.6</v>
      </c>
      <c r="HU234" s="9">
        <v>5.8</v>
      </c>
      <c r="HV234" s="9">
        <v>0.3</v>
      </c>
      <c r="HW234" s="9">
        <v>0.3</v>
      </c>
      <c r="HX234" s="9">
        <v>0</v>
      </c>
      <c r="HY234" s="9">
        <v>0</v>
      </c>
      <c r="HZ234" s="9">
        <v>0.4</v>
      </c>
      <c r="IA234" s="9">
        <v>0.4</v>
      </c>
      <c r="IB234" s="9">
        <v>0</v>
      </c>
      <c r="IC234" s="9">
        <v>0.5</v>
      </c>
      <c r="ID234" s="9">
        <v>-0.3</v>
      </c>
      <c r="IE234" s="9">
        <v>-2.1</v>
      </c>
      <c r="IF234" s="9">
        <v>-5</v>
      </c>
      <c r="IG234" s="9">
        <v>0.2</v>
      </c>
      <c r="IH234" s="9">
        <v>-0.1</v>
      </c>
      <c r="II234" s="9">
        <v>0.1</v>
      </c>
      <c r="IJ234" s="9">
        <v>-0.2</v>
      </c>
      <c r="IK234" s="9">
        <v>-0.5</v>
      </c>
      <c r="IL234" s="9">
        <v>-1.7</v>
      </c>
      <c r="IM234" s="9">
        <v>1</v>
      </c>
      <c r="IN234" s="9">
        <v>0.6</v>
      </c>
      <c r="IO234" s="9">
        <v>-1</v>
      </c>
      <c r="IP234" s="9">
        <v>0.6</v>
      </c>
      <c r="IQ234" s="9">
        <v>1.1000000000000001</v>
      </c>
    </row>
    <row r="235" spans="1:251" x14ac:dyDescent="0.2">
      <c r="A235" s="10">
        <v>38231</v>
      </c>
      <c r="B235" s="8">
        <v>56.2</v>
      </c>
      <c r="C235" s="8">
        <v>55.49</v>
      </c>
      <c r="D235" s="8">
        <v>59.77</v>
      </c>
      <c r="E235" s="8">
        <v>57.14</v>
      </c>
      <c r="F235" s="8">
        <v>58.02</v>
      </c>
      <c r="G235" s="8">
        <v>72.150000000000006</v>
      </c>
      <c r="H235" s="8">
        <v>66.52</v>
      </c>
      <c r="I235" s="8">
        <v>57.87</v>
      </c>
      <c r="J235" s="8">
        <v>49.71</v>
      </c>
      <c r="K235" s="8">
        <v>56.35</v>
      </c>
      <c r="L235" s="8">
        <v>51.49</v>
      </c>
      <c r="M235" s="8">
        <v>81.209999999999994</v>
      </c>
      <c r="N235" s="8">
        <v>52.26</v>
      </c>
      <c r="O235" s="8">
        <v>58.37</v>
      </c>
      <c r="P235" s="8">
        <v>61.75</v>
      </c>
      <c r="Q235" s="8">
        <v>67.08</v>
      </c>
      <c r="R235" s="8">
        <v>51.42</v>
      </c>
      <c r="S235" s="8">
        <v>64.31</v>
      </c>
      <c r="T235" s="8">
        <v>51.98</v>
      </c>
      <c r="U235" s="8">
        <v>54.58</v>
      </c>
      <c r="V235" s="8">
        <v>49.93</v>
      </c>
      <c r="W235" s="8">
        <v>59.37</v>
      </c>
      <c r="X235" s="8">
        <v>54.34</v>
      </c>
      <c r="Y235" s="8">
        <v>66.63</v>
      </c>
      <c r="Z235" s="8">
        <v>66.47</v>
      </c>
      <c r="AA235" s="8">
        <v>42.29</v>
      </c>
      <c r="AB235" s="8">
        <v>57.1</v>
      </c>
      <c r="AC235" s="8">
        <v>68.650000000000006</v>
      </c>
      <c r="AD235" s="8">
        <v>55.2</v>
      </c>
      <c r="AE235" s="8">
        <v>60.61</v>
      </c>
      <c r="AF235" s="8">
        <v>54</v>
      </c>
      <c r="AG235" s="8">
        <v>52.51</v>
      </c>
      <c r="AH235" s="8">
        <v>55.15</v>
      </c>
      <c r="AI235" s="8">
        <v>49.88</v>
      </c>
      <c r="AJ235" s="8">
        <v>32.65</v>
      </c>
      <c r="AK235" s="8">
        <v>58.34</v>
      </c>
      <c r="AL235" s="8">
        <v>48.51</v>
      </c>
      <c r="AM235" s="8">
        <v>85.55</v>
      </c>
      <c r="AN235" s="8">
        <v>47.52</v>
      </c>
      <c r="AO235" s="8">
        <v>12.87</v>
      </c>
      <c r="AP235" s="8">
        <v>12.87</v>
      </c>
      <c r="AQ235" s="8">
        <v>101.36</v>
      </c>
      <c r="AR235" s="8">
        <v>120.28</v>
      </c>
      <c r="AS235" s="8">
        <v>110.82</v>
      </c>
      <c r="AT235" s="8">
        <v>130.22</v>
      </c>
      <c r="AU235" s="8">
        <v>104.77</v>
      </c>
      <c r="AV235" s="8">
        <v>110.35</v>
      </c>
      <c r="AW235" s="8">
        <v>112.06</v>
      </c>
      <c r="AX235" s="8">
        <v>113.91</v>
      </c>
      <c r="AY235" s="8">
        <v>99.23</v>
      </c>
      <c r="AZ235" s="8">
        <v>59.68</v>
      </c>
      <c r="BA235" s="8">
        <v>62.45</v>
      </c>
      <c r="BB235" s="8">
        <v>50.53</v>
      </c>
      <c r="BC235" s="8">
        <v>45.54</v>
      </c>
      <c r="BD235" s="8">
        <v>51.4</v>
      </c>
      <c r="BE235" s="8">
        <v>51.4</v>
      </c>
      <c r="BF235" s="8">
        <v>46.32</v>
      </c>
      <c r="BG235" s="8">
        <v>46.33</v>
      </c>
      <c r="BH235" s="8">
        <v>47.17</v>
      </c>
      <c r="BI235" s="8">
        <v>55.34</v>
      </c>
      <c r="BJ235" s="8">
        <v>36.93</v>
      </c>
      <c r="BK235" s="8">
        <v>34.76</v>
      </c>
      <c r="BL235" s="8">
        <v>39.19</v>
      </c>
      <c r="BM235" s="8">
        <v>35.840000000000003</v>
      </c>
      <c r="BN235" s="8">
        <v>29.31</v>
      </c>
      <c r="BO235" s="8">
        <v>75.430000000000007</v>
      </c>
      <c r="BP235" s="8">
        <v>77.63</v>
      </c>
      <c r="BQ235" s="8">
        <v>81.58</v>
      </c>
      <c r="BR235" s="8">
        <v>62.78</v>
      </c>
      <c r="BS235" s="8">
        <v>118.96</v>
      </c>
      <c r="BT235" s="8">
        <v>118.96</v>
      </c>
      <c r="BU235" s="8">
        <v>101.65</v>
      </c>
      <c r="BV235" s="8">
        <v>104.09</v>
      </c>
      <c r="BW235" s="8">
        <v>112.65</v>
      </c>
      <c r="BX235" s="8">
        <v>114.62</v>
      </c>
      <c r="BY235" s="8">
        <v>77.900000000000006</v>
      </c>
      <c r="BZ235" s="8">
        <v>82.04</v>
      </c>
      <c r="CA235" s="8">
        <v>78.239999999999995</v>
      </c>
      <c r="CB235" s="8">
        <v>100.88</v>
      </c>
      <c r="CC235" s="8">
        <v>71.040000000000006</v>
      </c>
      <c r="CD235" s="8">
        <v>50.45</v>
      </c>
      <c r="CE235" s="8">
        <v>60.96</v>
      </c>
      <c r="CF235" s="8">
        <v>51.8</v>
      </c>
      <c r="CG235" s="8">
        <v>44.82</v>
      </c>
      <c r="CH235" s="8">
        <v>41.39</v>
      </c>
      <c r="CI235" s="8">
        <v>75.34</v>
      </c>
      <c r="CJ235" s="8">
        <v>74.150000000000006</v>
      </c>
      <c r="CK235" s="8">
        <v>85.06</v>
      </c>
      <c r="CL235" s="8">
        <v>35.08</v>
      </c>
      <c r="CM235" s="8">
        <v>32.909999999999997</v>
      </c>
      <c r="CN235" s="8">
        <v>52.79</v>
      </c>
      <c r="CO235" s="8">
        <v>63.86</v>
      </c>
      <c r="CP235" s="8">
        <v>64.14</v>
      </c>
      <c r="CQ235" s="8">
        <v>96.55</v>
      </c>
      <c r="CR235" s="8">
        <v>55.98</v>
      </c>
      <c r="CS235" s="8">
        <v>53.25</v>
      </c>
      <c r="CT235" s="8">
        <v>56.9</v>
      </c>
      <c r="CU235" s="8">
        <v>46.17</v>
      </c>
      <c r="CV235" s="8">
        <v>62.4</v>
      </c>
      <c r="CW235" s="8">
        <v>62.4</v>
      </c>
      <c r="CX235" s="8">
        <v>121.93</v>
      </c>
      <c r="CY235" s="8">
        <v>121.93</v>
      </c>
      <c r="CZ235" s="8">
        <v>44.75</v>
      </c>
      <c r="DA235" s="8">
        <v>127.45</v>
      </c>
      <c r="DB235" s="8">
        <v>75.27</v>
      </c>
      <c r="DC235" s="8">
        <v>226.99</v>
      </c>
      <c r="DD235" s="8">
        <v>591.77</v>
      </c>
      <c r="DE235" s="8">
        <v>77.17</v>
      </c>
      <c r="DF235" s="8">
        <v>66.47</v>
      </c>
      <c r="DG235" s="8">
        <v>94.14</v>
      </c>
      <c r="DH235" s="8">
        <v>56.42</v>
      </c>
      <c r="DI235" s="8">
        <v>56.65</v>
      </c>
      <c r="DJ235" s="8">
        <v>50.95</v>
      </c>
      <c r="DK235" s="8">
        <v>56.06</v>
      </c>
      <c r="DL235" s="8">
        <v>60.66</v>
      </c>
      <c r="DM235" s="8">
        <v>95.5</v>
      </c>
      <c r="DN235" s="8">
        <v>128.76</v>
      </c>
      <c r="DO235" s="8">
        <v>49.16</v>
      </c>
      <c r="DP235" s="8">
        <v>42.59</v>
      </c>
      <c r="DQ235" s="8">
        <v>50.33</v>
      </c>
      <c r="DR235" s="8">
        <v>48.97</v>
      </c>
      <c r="DS235" s="8">
        <v>39.44</v>
      </c>
      <c r="DT235" s="8">
        <v>39.44</v>
      </c>
      <c r="DU235" s="8">
        <v>42.28</v>
      </c>
      <c r="DV235" s="8">
        <v>33.31</v>
      </c>
      <c r="DW235" s="8">
        <v>44.1</v>
      </c>
      <c r="DY235" s="8">
        <v>35.08</v>
      </c>
      <c r="DZ235" s="8">
        <v>35.08</v>
      </c>
      <c r="ED235" s="9">
        <v>0.4</v>
      </c>
      <c r="EE235" s="9">
        <v>-0.6</v>
      </c>
      <c r="EF235" s="9">
        <v>-0.5</v>
      </c>
      <c r="EG235" s="9">
        <v>0.5</v>
      </c>
      <c r="EH235" s="9">
        <v>-0.6</v>
      </c>
      <c r="EI235" s="9">
        <v>-2.1</v>
      </c>
      <c r="EJ235" s="9">
        <v>-1.5</v>
      </c>
      <c r="EK235" s="9">
        <v>-0.5</v>
      </c>
      <c r="EL235" s="9">
        <v>-0.9</v>
      </c>
      <c r="EM235" s="9">
        <v>-4.7</v>
      </c>
      <c r="EN235" s="9">
        <v>4.8</v>
      </c>
      <c r="EO235" s="9">
        <v>-0.1</v>
      </c>
      <c r="EP235" s="9">
        <v>-0.2</v>
      </c>
      <c r="EQ235" s="9">
        <v>-0.7</v>
      </c>
      <c r="ER235" s="9">
        <v>0.4</v>
      </c>
      <c r="ES235" s="9">
        <v>0.6</v>
      </c>
      <c r="ET235" s="9">
        <v>1.7</v>
      </c>
      <c r="EU235" s="9">
        <v>-1.5</v>
      </c>
      <c r="EV235" s="9">
        <v>-5.2</v>
      </c>
      <c r="EW235" s="9">
        <v>-2.2999999999999998</v>
      </c>
      <c r="EX235" s="9">
        <v>-7.7</v>
      </c>
      <c r="EY235" s="9">
        <v>-0.1</v>
      </c>
      <c r="EZ235" s="9">
        <v>-0.8</v>
      </c>
      <c r="FA235" s="9">
        <v>-0.4</v>
      </c>
      <c r="FB235" s="9">
        <v>-0.3</v>
      </c>
      <c r="FC235" s="9">
        <v>1.7</v>
      </c>
      <c r="FD235" s="9">
        <v>0.5</v>
      </c>
      <c r="FE235" s="9">
        <v>-1.7</v>
      </c>
      <c r="FF235" s="9">
        <v>0.7</v>
      </c>
      <c r="FG235" s="9">
        <v>0.3</v>
      </c>
      <c r="FH235" s="9">
        <v>0.9</v>
      </c>
      <c r="FI235" s="9">
        <v>0.6</v>
      </c>
      <c r="FJ235" s="9">
        <v>0.6</v>
      </c>
      <c r="FK235" s="9">
        <v>0.5</v>
      </c>
      <c r="FL235" s="9">
        <v>0.9</v>
      </c>
      <c r="FM235" s="9">
        <v>0.8</v>
      </c>
      <c r="FN235" s="9">
        <v>0.9</v>
      </c>
      <c r="FO235" s="9">
        <v>0.5</v>
      </c>
      <c r="FP235" s="9">
        <v>1</v>
      </c>
      <c r="FQ235" s="9">
        <v>1.1000000000000001</v>
      </c>
      <c r="FR235" s="9">
        <v>1.1000000000000001</v>
      </c>
      <c r="FS235" s="9">
        <v>-0.2</v>
      </c>
      <c r="FT235" s="9">
        <v>-0.6</v>
      </c>
      <c r="FU235" s="9">
        <v>0.2</v>
      </c>
      <c r="FV235" s="9">
        <v>-1.6</v>
      </c>
      <c r="FW235" s="9">
        <v>1.5</v>
      </c>
      <c r="FX235" s="9">
        <v>1.5</v>
      </c>
      <c r="FY235" s="9">
        <v>2.5</v>
      </c>
      <c r="FZ235" s="9">
        <v>1.4</v>
      </c>
      <c r="GA235" s="9">
        <v>0.1</v>
      </c>
      <c r="GB235" s="9">
        <v>-0.2</v>
      </c>
      <c r="GC235" s="9">
        <v>-1</v>
      </c>
      <c r="GD235" s="9">
        <v>0.6</v>
      </c>
      <c r="GE235" s="9">
        <v>1.4</v>
      </c>
      <c r="GF235" s="9">
        <v>0.5</v>
      </c>
      <c r="GG235" s="9">
        <v>0.5</v>
      </c>
      <c r="GH235" s="9">
        <v>1.1000000000000001</v>
      </c>
      <c r="GI235" s="9">
        <v>1.1000000000000001</v>
      </c>
      <c r="GJ235" s="9">
        <v>2.7</v>
      </c>
      <c r="GK235" s="9">
        <v>1</v>
      </c>
      <c r="GL235" s="9">
        <v>5.0999999999999996</v>
      </c>
      <c r="GM235" s="9">
        <v>2.2000000000000002</v>
      </c>
      <c r="GN235" s="9">
        <v>2.2999999999999998</v>
      </c>
      <c r="GO235" s="9">
        <v>2.2999999999999998</v>
      </c>
      <c r="GP235" s="9">
        <v>1.8</v>
      </c>
      <c r="GQ235" s="9">
        <v>0</v>
      </c>
      <c r="GR235" s="9">
        <v>-0.4</v>
      </c>
      <c r="GS235" s="9">
        <v>-0.8</v>
      </c>
      <c r="GT235" s="9">
        <v>0.7</v>
      </c>
      <c r="GU235" s="9">
        <v>0.8</v>
      </c>
      <c r="GV235" s="9">
        <v>0.8</v>
      </c>
      <c r="GW235" s="9">
        <v>-0.2</v>
      </c>
      <c r="GX235" s="9">
        <v>0</v>
      </c>
      <c r="GY235" s="9">
        <v>-0.7</v>
      </c>
      <c r="GZ235" s="9">
        <v>-0.7</v>
      </c>
      <c r="HA235" s="9">
        <v>-0.1</v>
      </c>
      <c r="HB235" s="9">
        <v>0.3</v>
      </c>
      <c r="HC235" s="9">
        <v>-2.6</v>
      </c>
      <c r="HD235" s="9">
        <v>0.6</v>
      </c>
      <c r="HE235" s="9">
        <v>1.1000000000000001</v>
      </c>
      <c r="HF235" s="9">
        <v>0.7</v>
      </c>
      <c r="HG235" s="9">
        <v>4.5999999999999996</v>
      </c>
      <c r="HH235" s="9">
        <v>0.7</v>
      </c>
      <c r="HI235" s="9">
        <v>0.7</v>
      </c>
      <c r="HJ235" s="9">
        <v>-0.7</v>
      </c>
      <c r="HK235" s="9">
        <v>-3.8</v>
      </c>
      <c r="HL235" s="9">
        <v>-4.5</v>
      </c>
      <c r="HM235" s="9">
        <v>0.8</v>
      </c>
      <c r="HN235" s="9">
        <v>0.3</v>
      </c>
      <c r="HO235" s="9">
        <v>0.1</v>
      </c>
      <c r="HP235" s="9">
        <v>1</v>
      </c>
      <c r="HQ235" s="9">
        <v>0.8</v>
      </c>
      <c r="HR235" s="9">
        <v>0.8</v>
      </c>
      <c r="HS235" s="9">
        <v>-1.8</v>
      </c>
      <c r="HT235" s="9">
        <v>0.5</v>
      </c>
      <c r="HU235" s="9">
        <v>3.3</v>
      </c>
      <c r="HV235" s="9">
        <v>1.6</v>
      </c>
      <c r="HW235" s="9">
        <v>1.6</v>
      </c>
      <c r="HX235" s="9">
        <v>-0.2</v>
      </c>
      <c r="HY235" s="9">
        <v>-0.2</v>
      </c>
      <c r="HZ235" s="9">
        <v>0.4</v>
      </c>
      <c r="IA235" s="9">
        <v>0.4</v>
      </c>
      <c r="IB235" s="9">
        <v>0.3</v>
      </c>
      <c r="IC235" s="9">
        <v>0.4</v>
      </c>
      <c r="ID235" s="9">
        <v>0.5</v>
      </c>
      <c r="IE235" s="9">
        <v>-2.1</v>
      </c>
      <c r="IF235" s="9">
        <v>-2.7</v>
      </c>
      <c r="IG235" s="9">
        <v>-1.6</v>
      </c>
      <c r="IH235" s="9">
        <v>-0.5</v>
      </c>
      <c r="II235" s="9">
        <v>0.5</v>
      </c>
      <c r="IJ235" s="9">
        <v>-1</v>
      </c>
      <c r="IK235" s="9">
        <v>1.1000000000000001</v>
      </c>
      <c r="IL235" s="9">
        <v>0</v>
      </c>
      <c r="IM235" s="9">
        <v>2.2999999999999998</v>
      </c>
      <c r="IN235" s="9">
        <v>1</v>
      </c>
      <c r="IO235" s="9">
        <v>0.2</v>
      </c>
      <c r="IP235" s="9">
        <v>0.2</v>
      </c>
      <c r="IQ235" s="9">
        <v>3.2</v>
      </c>
    </row>
    <row r="236" spans="1:251" x14ac:dyDescent="0.2">
      <c r="A236" s="10">
        <v>38322</v>
      </c>
      <c r="B236" s="8">
        <v>56.63</v>
      </c>
      <c r="C236" s="8">
        <v>56.28</v>
      </c>
      <c r="D236" s="8">
        <v>59.96</v>
      </c>
      <c r="E236" s="8">
        <v>57.12</v>
      </c>
      <c r="F236" s="8">
        <v>58.07</v>
      </c>
      <c r="G236" s="8">
        <v>72.88</v>
      </c>
      <c r="H236" s="8">
        <v>67.58</v>
      </c>
      <c r="I236" s="8">
        <v>58.86</v>
      </c>
      <c r="J236" s="8">
        <v>51.5</v>
      </c>
      <c r="K236" s="8">
        <v>60.76</v>
      </c>
      <c r="L236" s="8">
        <v>49.96</v>
      </c>
      <c r="M236" s="8">
        <v>80.88</v>
      </c>
      <c r="N236" s="8">
        <v>52.13</v>
      </c>
      <c r="O236" s="8">
        <v>59.01</v>
      </c>
      <c r="P236" s="8">
        <v>62.17</v>
      </c>
      <c r="Q236" s="8">
        <v>67.25</v>
      </c>
      <c r="R236" s="8">
        <v>52.72</v>
      </c>
      <c r="S236" s="8">
        <v>64.11</v>
      </c>
      <c r="T236" s="8">
        <v>54.72</v>
      </c>
      <c r="U236" s="8">
        <v>59.63</v>
      </c>
      <c r="V236" s="8">
        <v>50.81</v>
      </c>
      <c r="W236" s="8">
        <v>59.72</v>
      </c>
      <c r="X236" s="8">
        <v>54.9</v>
      </c>
      <c r="Y236" s="8">
        <v>66.67</v>
      </c>
      <c r="Z236" s="8">
        <v>66.83</v>
      </c>
      <c r="AA236" s="8">
        <v>42.61</v>
      </c>
      <c r="AB236" s="8">
        <v>57.12</v>
      </c>
      <c r="AC236" s="8">
        <v>70.08</v>
      </c>
      <c r="AD236" s="8">
        <v>55.64</v>
      </c>
      <c r="AE236" s="8">
        <v>60.67</v>
      </c>
      <c r="AF236" s="8">
        <v>54.51</v>
      </c>
      <c r="AG236" s="8">
        <v>52.94</v>
      </c>
      <c r="AH236" s="8">
        <v>55.77</v>
      </c>
      <c r="AI236" s="8">
        <v>50.17</v>
      </c>
      <c r="AJ236" s="8">
        <v>32.869999999999997</v>
      </c>
      <c r="AK236" s="8">
        <v>58.93</v>
      </c>
      <c r="AL236" s="8">
        <v>48.89</v>
      </c>
      <c r="AM236" s="8">
        <v>85.79</v>
      </c>
      <c r="AN236" s="8">
        <v>48.26</v>
      </c>
      <c r="AO236" s="8">
        <v>12.88</v>
      </c>
      <c r="AP236" s="8">
        <v>12.88</v>
      </c>
      <c r="AQ236" s="8">
        <v>99.96</v>
      </c>
      <c r="AR236" s="8">
        <v>118.08</v>
      </c>
      <c r="AS236" s="8">
        <v>110.3</v>
      </c>
      <c r="AT236" s="8">
        <v>126.69</v>
      </c>
      <c r="AU236" s="8">
        <v>103.77</v>
      </c>
      <c r="AV236" s="8">
        <v>110.14</v>
      </c>
      <c r="AW236" s="8">
        <v>110.75</v>
      </c>
      <c r="AX236" s="8">
        <v>113.63</v>
      </c>
      <c r="AY236" s="8">
        <v>100.5</v>
      </c>
      <c r="AZ236" s="8">
        <v>59.09</v>
      </c>
      <c r="BA236" s="8">
        <v>60.98</v>
      </c>
      <c r="BB236" s="8">
        <v>50.86</v>
      </c>
      <c r="BC236" s="8">
        <v>45.94</v>
      </c>
      <c r="BD236" s="8">
        <v>51.62</v>
      </c>
      <c r="BE236" s="8">
        <v>51.62</v>
      </c>
      <c r="BF236" s="8">
        <v>47.02</v>
      </c>
      <c r="BG236" s="8">
        <v>47.02</v>
      </c>
      <c r="BH236" s="8">
        <v>47.37</v>
      </c>
      <c r="BI236" s="8">
        <v>55.74</v>
      </c>
      <c r="BJ236" s="8">
        <v>36.93</v>
      </c>
      <c r="BK236" s="8">
        <v>34.94</v>
      </c>
      <c r="BL236" s="8">
        <v>39.42</v>
      </c>
      <c r="BM236" s="8">
        <v>36.04</v>
      </c>
      <c r="BN236" s="8">
        <v>29.43</v>
      </c>
      <c r="BO236" s="8">
        <v>75.87</v>
      </c>
      <c r="BP236" s="8">
        <v>78.150000000000006</v>
      </c>
      <c r="BQ236" s="8">
        <v>82.22</v>
      </c>
      <c r="BR236" s="8">
        <v>62.96</v>
      </c>
      <c r="BS236" s="8">
        <v>119.17</v>
      </c>
      <c r="BT236" s="8">
        <v>119.17</v>
      </c>
      <c r="BU236" s="8">
        <v>101.7</v>
      </c>
      <c r="BV236" s="8">
        <v>104.6</v>
      </c>
      <c r="BW236" s="8">
        <v>109.78</v>
      </c>
      <c r="BX236" s="8">
        <v>116.28</v>
      </c>
      <c r="BY236" s="8">
        <v>77.23</v>
      </c>
      <c r="BZ236" s="8">
        <v>82.81</v>
      </c>
      <c r="CA236" s="8">
        <v>80.06</v>
      </c>
      <c r="CB236" s="8">
        <v>100.58</v>
      </c>
      <c r="CC236" s="8">
        <v>71.45</v>
      </c>
      <c r="CD236" s="8">
        <v>50.89</v>
      </c>
      <c r="CE236" s="8">
        <v>62.52</v>
      </c>
      <c r="CF236" s="8">
        <v>52.41</v>
      </c>
      <c r="CG236" s="8">
        <v>45.21</v>
      </c>
      <c r="CH236" s="8">
        <v>41.11</v>
      </c>
      <c r="CI236" s="8">
        <v>72.709999999999994</v>
      </c>
      <c r="CJ236" s="8">
        <v>71.14</v>
      </c>
      <c r="CK236" s="8">
        <v>85.4</v>
      </c>
      <c r="CL236" s="8">
        <v>35.159999999999997</v>
      </c>
      <c r="CM236" s="8">
        <v>32.9</v>
      </c>
      <c r="CN236" s="8">
        <v>53.43</v>
      </c>
      <c r="CO236" s="8">
        <v>64.739999999999995</v>
      </c>
      <c r="CP236" s="8">
        <v>65.05</v>
      </c>
      <c r="CQ236" s="8">
        <v>98.02</v>
      </c>
      <c r="CR236" s="8">
        <v>56.25</v>
      </c>
      <c r="CS236" s="8">
        <v>54.59</v>
      </c>
      <c r="CT236" s="8">
        <v>56.92</v>
      </c>
      <c r="CU236" s="8">
        <v>46.3</v>
      </c>
      <c r="CV236" s="8">
        <v>62.78</v>
      </c>
      <c r="CW236" s="8">
        <v>62.78</v>
      </c>
      <c r="CX236" s="8">
        <v>122.23</v>
      </c>
      <c r="CY236" s="8">
        <v>122.23</v>
      </c>
      <c r="CZ236" s="8">
        <v>45.05</v>
      </c>
      <c r="DA236" s="8">
        <v>127.74</v>
      </c>
      <c r="DB236" s="8">
        <v>75.900000000000006</v>
      </c>
      <c r="DC236" s="8">
        <v>226.99</v>
      </c>
      <c r="DD236" s="8">
        <v>582.97</v>
      </c>
      <c r="DE236" s="8">
        <v>78.069999999999993</v>
      </c>
      <c r="DF236" s="8">
        <v>67.209999999999994</v>
      </c>
      <c r="DG236" s="8">
        <v>94.23</v>
      </c>
      <c r="DH236" s="8">
        <v>57.4</v>
      </c>
      <c r="DI236" s="8">
        <v>57.79</v>
      </c>
      <c r="DJ236" s="8">
        <v>53.11</v>
      </c>
      <c r="DK236" s="8">
        <v>55.76</v>
      </c>
      <c r="DL236" s="8">
        <v>60.5</v>
      </c>
      <c r="DM236" s="8">
        <v>94.71</v>
      </c>
      <c r="DN236" s="8">
        <v>124.74</v>
      </c>
      <c r="DO236" s="8">
        <v>48.31</v>
      </c>
      <c r="DP236" s="8">
        <v>42.7</v>
      </c>
      <c r="DQ236" s="8">
        <v>50.81</v>
      </c>
      <c r="DR236" s="8">
        <v>49.15</v>
      </c>
      <c r="DS236" s="8">
        <v>39.46</v>
      </c>
      <c r="DT236" s="8">
        <v>39.46</v>
      </c>
      <c r="DU236" s="8">
        <v>42.4</v>
      </c>
      <c r="DV236" s="8">
        <v>33.31</v>
      </c>
      <c r="DW236" s="8">
        <v>44.1</v>
      </c>
      <c r="DY236" s="8">
        <v>35.11</v>
      </c>
      <c r="DZ236" s="8">
        <v>35.11</v>
      </c>
      <c r="ED236" s="9">
        <v>0.8</v>
      </c>
      <c r="EE236" s="9">
        <v>1.4</v>
      </c>
      <c r="EF236" s="9">
        <v>0.3</v>
      </c>
      <c r="EG236" s="9">
        <v>0</v>
      </c>
      <c r="EH236" s="9">
        <v>0.1</v>
      </c>
      <c r="EI236" s="9">
        <v>1</v>
      </c>
      <c r="EJ236" s="9">
        <v>1.6</v>
      </c>
      <c r="EK236" s="9">
        <v>1.7</v>
      </c>
      <c r="EL236" s="9">
        <v>3.6</v>
      </c>
      <c r="EM236" s="9">
        <v>7.8</v>
      </c>
      <c r="EN236" s="9">
        <v>-3</v>
      </c>
      <c r="EO236" s="9">
        <v>-0.4</v>
      </c>
      <c r="EP236" s="9">
        <v>-0.2</v>
      </c>
      <c r="EQ236" s="9">
        <v>1.1000000000000001</v>
      </c>
      <c r="ER236" s="9">
        <v>0.7</v>
      </c>
      <c r="ES236" s="9">
        <v>0.3</v>
      </c>
      <c r="ET236" s="9">
        <v>2.5</v>
      </c>
      <c r="EU236" s="9">
        <v>-0.3</v>
      </c>
      <c r="EV236" s="9">
        <v>5.3</v>
      </c>
      <c r="EW236" s="9">
        <v>9.3000000000000007</v>
      </c>
      <c r="EX236" s="9">
        <v>1.8</v>
      </c>
      <c r="EY236" s="9">
        <v>0.6</v>
      </c>
      <c r="EZ236" s="9">
        <v>1</v>
      </c>
      <c r="FA236" s="9">
        <v>0.1</v>
      </c>
      <c r="FB236" s="9">
        <v>0.5</v>
      </c>
      <c r="FC236" s="9">
        <v>0.8</v>
      </c>
      <c r="FD236" s="9">
        <v>0</v>
      </c>
      <c r="FE236" s="9">
        <v>2.1</v>
      </c>
      <c r="FF236" s="9">
        <v>0.8</v>
      </c>
      <c r="FG236" s="9">
        <v>0.1</v>
      </c>
      <c r="FH236" s="9">
        <v>0.9</v>
      </c>
      <c r="FI236" s="9">
        <v>0.8</v>
      </c>
      <c r="FJ236" s="9">
        <v>1.1000000000000001</v>
      </c>
      <c r="FK236" s="9">
        <v>0.6</v>
      </c>
      <c r="FL236" s="9">
        <v>0.7</v>
      </c>
      <c r="FM236" s="9">
        <v>1</v>
      </c>
      <c r="FN236" s="9">
        <v>0.8</v>
      </c>
      <c r="FO236" s="9">
        <v>0.3</v>
      </c>
      <c r="FP236" s="9">
        <v>1.6</v>
      </c>
      <c r="FQ236" s="9">
        <v>0.1</v>
      </c>
      <c r="FR236" s="9">
        <v>0.1</v>
      </c>
      <c r="FS236" s="9">
        <v>-1.4</v>
      </c>
      <c r="FT236" s="9">
        <v>-1.8</v>
      </c>
      <c r="FU236" s="9">
        <v>-0.5</v>
      </c>
      <c r="FV236" s="9">
        <v>-2.7</v>
      </c>
      <c r="FW236" s="9">
        <v>-1</v>
      </c>
      <c r="FX236" s="9">
        <v>-0.2</v>
      </c>
      <c r="FY236" s="9">
        <v>-1.2</v>
      </c>
      <c r="FZ236" s="9">
        <v>-0.2</v>
      </c>
      <c r="GA236" s="9">
        <v>1.3</v>
      </c>
      <c r="GB236" s="9">
        <v>-1</v>
      </c>
      <c r="GC236" s="9">
        <v>-2.4</v>
      </c>
      <c r="GD236" s="9">
        <v>0.7</v>
      </c>
      <c r="GE236" s="9">
        <v>0.9</v>
      </c>
      <c r="GF236" s="9">
        <v>0.4</v>
      </c>
      <c r="GG236" s="9">
        <v>0.4</v>
      </c>
      <c r="GH236" s="9">
        <v>1.5</v>
      </c>
      <c r="GI236" s="9">
        <v>1.5</v>
      </c>
      <c r="GJ236" s="9">
        <v>0.4</v>
      </c>
      <c r="GK236" s="9">
        <v>0.7</v>
      </c>
      <c r="GL236" s="9">
        <v>0</v>
      </c>
      <c r="GM236" s="9">
        <v>0.5</v>
      </c>
      <c r="GN236" s="9">
        <v>0.6</v>
      </c>
      <c r="GO236" s="9">
        <v>0.6</v>
      </c>
      <c r="GP236" s="9">
        <v>0.4</v>
      </c>
      <c r="GQ236" s="9">
        <v>0.6</v>
      </c>
      <c r="GR236" s="9">
        <v>0.7</v>
      </c>
      <c r="GS236" s="9">
        <v>0.8</v>
      </c>
      <c r="GT236" s="9">
        <v>0.3</v>
      </c>
      <c r="GU236" s="9">
        <v>0.2</v>
      </c>
      <c r="GV236" s="9">
        <v>0.2</v>
      </c>
      <c r="GW236" s="9">
        <v>0</v>
      </c>
      <c r="GX236" s="9">
        <v>0.5</v>
      </c>
      <c r="GY236" s="9">
        <v>-2.5</v>
      </c>
      <c r="GZ236" s="9">
        <v>1.4</v>
      </c>
      <c r="HA236" s="9">
        <v>-0.9</v>
      </c>
      <c r="HB236" s="9">
        <v>0.9</v>
      </c>
      <c r="HC236" s="9">
        <v>2.2999999999999998</v>
      </c>
      <c r="HD236" s="9">
        <v>-0.3</v>
      </c>
      <c r="HE236" s="9">
        <v>0.6</v>
      </c>
      <c r="HF236" s="9">
        <v>0.9</v>
      </c>
      <c r="HG236" s="9">
        <v>2.6</v>
      </c>
      <c r="HH236" s="9">
        <v>1.2</v>
      </c>
      <c r="HI236" s="9">
        <v>0.9</v>
      </c>
      <c r="HJ236" s="9">
        <v>-0.7</v>
      </c>
      <c r="HK236" s="9">
        <v>-3.5</v>
      </c>
      <c r="HL236" s="9">
        <v>-4.0999999999999996</v>
      </c>
      <c r="HM236" s="9">
        <v>0.4</v>
      </c>
      <c r="HN236" s="9">
        <v>0.2</v>
      </c>
      <c r="HO236" s="9">
        <v>0</v>
      </c>
      <c r="HP236" s="9">
        <v>1.2</v>
      </c>
      <c r="HQ236" s="9">
        <v>1.4</v>
      </c>
      <c r="HR236" s="9">
        <v>1.4</v>
      </c>
      <c r="HS236" s="9">
        <v>1.5</v>
      </c>
      <c r="HT236" s="9">
        <v>0.5</v>
      </c>
      <c r="HU236" s="9">
        <v>2.5</v>
      </c>
      <c r="HV236" s="9">
        <v>0</v>
      </c>
      <c r="HW236" s="9">
        <v>0.3</v>
      </c>
      <c r="HX236" s="9">
        <v>0.6</v>
      </c>
      <c r="HY236" s="9">
        <v>0.6</v>
      </c>
      <c r="HZ236" s="9">
        <v>0.2</v>
      </c>
      <c r="IA236" s="9">
        <v>0.2</v>
      </c>
      <c r="IB236" s="9">
        <v>0.7</v>
      </c>
      <c r="IC236" s="9">
        <v>0.2</v>
      </c>
      <c r="ID236" s="9">
        <v>0.8</v>
      </c>
      <c r="IE236" s="9">
        <v>0</v>
      </c>
      <c r="IF236" s="9">
        <v>-1.5</v>
      </c>
      <c r="IG236" s="9">
        <v>1.2</v>
      </c>
      <c r="IH236" s="9">
        <v>1.1000000000000001</v>
      </c>
      <c r="II236" s="9">
        <v>0.1</v>
      </c>
      <c r="IJ236" s="9">
        <v>1.7</v>
      </c>
      <c r="IK236" s="9">
        <v>2</v>
      </c>
      <c r="IL236" s="9">
        <v>4.2</v>
      </c>
      <c r="IM236" s="9">
        <v>-0.5</v>
      </c>
      <c r="IN236" s="9">
        <v>-0.3</v>
      </c>
      <c r="IO236" s="9">
        <v>-0.8</v>
      </c>
      <c r="IP236" s="9">
        <v>-3.1</v>
      </c>
      <c r="IQ236" s="9">
        <v>-1.7</v>
      </c>
    </row>
    <row r="237" spans="1:251" x14ac:dyDescent="0.2">
      <c r="A237" s="10">
        <v>38412</v>
      </c>
      <c r="B237" s="8">
        <v>57.01</v>
      </c>
      <c r="C237" s="8">
        <v>56.79</v>
      </c>
      <c r="D237" s="8">
        <v>60.06</v>
      </c>
      <c r="E237" s="8">
        <v>57.03</v>
      </c>
      <c r="F237" s="8">
        <v>58.1</v>
      </c>
      <c r="G237" s="8">
        <v>74.37</v>
      </c>
      <c r="H237" s="8">
        <v>67.39</v>
      </c>
      <c r="I237" s="8">
        <v>59.42</v>
      </c>
      <c r="J237" s="8">
        <v>53.08</v>
      </c>
      <c r="K237" s="8">
        <v>61.06</v>
      </c>
      <c r="L237" s="8">
        <v>50.64</v>
      </c>
      <c r="M237" s="8">
        <v>80.59</v>
      </c>
      <c r="N237" s="8">
        <v>52.25</v>
      </c>
      <c r="O237" s="8">
        <v>59.13</v>
      </c>
      <c r="P237" s="8">
        <v>63.15</v>
      </c>
      <c r="Q237" s="8">
        <v>68.459999999999994</v>
      </c>
      <c r="R237" s="8">
        <v>53.23</v>
      </c>
      <c r="S237" s="8">
        <v>65.209999999999994</v>
      </c>
      <c r="T237" s="8">
        <v>55.01</v>
      </c>
      <c r="U237" s="8">
        <v>57.56</v>
      </c>
      <c r="V237" s="8">
        <v>53.01</v>
      </c>
      <c r="W237" s="8">
        <v>60.79</v>
      </c>
      <c r="X237" s="8">
        <v>53.56</v>
      </c>
      <c r="Y237" s="8">
        <v>67.75</v>
      </c>
      <c r="Z237" s="8">
        <v>66.92</v>
      </c>
      <c r="AA237" s="8">
        <v>43.75</v>
      </c>
      <c r="AB237" s="8">
        <v>58.71</v>
      </c>
      <c r="AC237" s="8">
        <v>70.849999999999994</v>
      </c>
      <c r="AD237" s="8">
        <v>55.6</v>
      </c>
      <c r="AE237" s="8">
        <v>59.28</v>
      </c>
      <c r="AF237" s="8">
        <v>54.76</v>
      </c>
      <c r="AG237" s="8">
        <v>53.47</v>
      </c>
      <c r="AH237" s="8">
        <v>56.19</v>
      </c>
      <c r="AI237" s="8">
        <v>50.76</v>
      </c>
      <c r="AJ237" s="8">
        <v>33.29</v>
      </c>
      <c r="AK237" s="8">
        <v>59.39</v>
      </c>
      <c r="AL237" s="8">
        <v>48.91</v>
      </c>
      <c r="AM237" s="8">
        <v>86.23</v>
      </c>
      <c r="AN237" s="8">
        <v>48.86</v>
      </c>
      <c r="AO237" s="8">
        <v>13.16</v>
      </c>
      <c r="AP237" s="8">
        <v>13.16</v>
      </c>
      <c r="AQ237" s="8">
        <v>98.6</v>
      </c>
      <c r="AR237" s="8">
        <v>115.89</v>
      </c>
      <c r="AS237" s="8">
        <v>107.78</v>
      </c>
      <c r="AT237" s="8">
        <v>125.11</v>
      </c>
      <c r="AU237" s="8">
        <v>100.43</v>
      </c>
      <c r="AV237" s="8">
        <v>108.49</v>
      </c>
      <c r="AW237" s="8">
        <v>108.93</v>
      </c>
      <c r="AX237" s="8">
        <v>111.76</v>
      </c>
      <c r="AY237" s="8">
        <v>99.49</v>
      </c>
      <c r="AZ237" s="8">
        <v>59.18</v>
      </c>
      <c r="BA237" s="8">
        <v>61.08</v>
      </c>
      <c r="BB237" s="8">
        <v>51.18</v>
      </c>
      <c r="BC237" s="8">
        <v>46.4</v>
      </c>
      <c r="BD237" s="8">
        <v>51.87</v>
      </c>
      <c r="BE237" s="8">
        <v>51.87</v>
      </c>
      <c r="BF237" s="8">
        <v>47.67</v>
      </c>
      <c r="BG237" s="8">
        <v>47.68</v>
      </c>
      <c r="BH237" s="8">
        <v>47.48</v>
      </c>
      <c r="BI237" s="8">
        <v>55.92</v>
      </c>
      <c r="BJ237" s="8">
        <v>36.93</v>
      </c>
      <c r="BK237" s="8">
        <v>35.51</v>
      </c>
      <c r="BL237" s="8">
        <v>39.64</v>
      </c>
      <c r="BM237" s="8">
        <v>36.619999999999997</v>
      </c>
      <c r="BN237" s="8">
        <v>30.24</v>
      </c>
      <c r="BO237" s="8">
        <v>74.88</v>
      </c>
      <c r="BP237" s="8">
        <v>76.75</v>
      </c>
      <c r="BQ237" s="8">
        <v>80.17</v>
      </c>
      <c r="BR237" s="8">
        <v>63.27</v>
      </c>
      <c r="BS237" s="8">
        <v>115.25</v>
      </c>
      <c r="BT237" s="8">
        <v>115.25</v>
      </c>
      <c r="BU237" s="8">
        <v>100.37</v>
      </c>
      <c r="BV237" s="8">
        <v>104.89</v>
      </c>
      <c r="BW237" s="8">
        <v>106.54</v>
      </c>
      <c r="BX237" s="8">
        <v>111.37</v>
      </c>
      <c r="BY237" s="8">
        <v>77.010000000000005</v>
      </c>
      <c r="BZ237" s="8">
        <v>82.11</v>
      </c>
      <c r="CA237" s="8">
        <v>78.63</v>
      </c>
      <c r="CB237" s="8">
        <v>100.97</v>
      </c>
      <c r="CC237" s="8">
        <v>71.02</v>
      </c>
      <c r="CD237" s="8">
        <v>51.44</v>
      </c>
      <c r="CE237" s="8">
        <v>64.64</v>
      </c>
      <c r="CF237" s="8">
        <v>52.77</v>
      </c>
      <c r="CG237" s="8">
        <v>45.7</v>
      </c>
      <c r="CH237" s="8">
        <v>42.75</v>
      </c>
      <c r="CI237" s="8">
        <v>83.24</v>
      </c>
      <c r="CJ237" s="8">
        <v>83.07</v>
      </c>
      <c r="CK237" s="8">
        <v>85.35</v>
      </c>
      <c r="CL237" s="8">
        <v>35.44</v>
      </c>
      <c r="CM237" s="8">
        <v>33.08</v>
      </c>
      <c r="CN237" s="8">
        <v>54.47</v>
      </c>
      <c r="CO237" s="8">
        <v>64.14</v>
      </c>
      <c r="CP237" s="8">
        <v>64.36</v>
      </c>
      <c r="CQ237" s="8">
        <v>96.68</v>
      </c>
      <c r="CR237" s="8">
        <v>56.81</v>
      </c>
      <c r="CS237" s="8">
        <v>53.11</v>
      </c>
      <c r="CT237" s="8">
        <v>57.67</v>
      </c>
      <c r="CU237" s="8">
        <v>46.51</v>
      </c>
      <c r="CV237" s="8">
        <v>63.52</v>
      </c>
      <c r="CW237" s="8">
        <v>63.52</v>
      </c>
      <c r="CX237" s="8">
        <v>122.67</v>
      </c>
      <c r="CY237" s="8">
        <v>122.67</v>
      </c>
      <c r="CZ237" s="8">
        <v>45.05</v>
      </c>
      <c r="DA237" s="8">
        <v>128.22999999999999</v>
      </c>
      <c r="DB237" s="8">
        <v>76.37</v>
      </c>
      <c r="DC237" s="8">
        <v>219.25</v>
      </c>
      <c r="DD237" s="8">
        <v>545.87</v>
      </c>
      <c r="DE237" s="8">
        <v>77.09</v>
      </c>
      <c r="DF237" s="8">
        <v>67.58</v>
      </c>
      <c r="DG237" s="8">
        <v>94.93</v>
      </c>
      <c r="DH237" s="8">
        <v>57.58</v>
      </c>
      <c r="DI237" s="8">
        <v>58.79</v>
      </c>
      <c r="DJ237" s="8">
        <v>55.32</v>
      </c>
      <c r="DK237" s="8">
        <v>55.07</v>
      </c>
      <c r="DL237" s="8">
        <v>61.02</v>
      </c>
      <c r="DM237" s="8">
        <v>94.32</v>
      </c>
      <c r="DN237" s="8">
        <v>127.71</v>
      </c>
      <c r="DO237" s="8">
        <v>49.19</v>
      </c>
      <c r="DP237" s="8">
        <v>42.93</v>
      </c>
      <c r="DQ237" s="8">
        <v>51.14</v>
      </c>
      <c r="DR237" s="8">
        <v>49.54</v>
      </c>
      <c r="DS237" s="8">
        <v>41.85</v>
      </c>
      <c r="DT237" s="8">
        <v>41.85</v>
      </c>
      <c r="DU237" s="8">
        <v>45.09</v>
      </c>
      <c r="DV237" s="8">
        <v>35.61</v>
      </c>
      <c r="DW237" s="8">
        <v>46.42</v>
      </c>
      <c r="DY237" s="8">
        <v>35.32</v>
      </c>
      <c r="DZ237" s="8">
        <v>35.32</v>
      </c>
      <c r="ED237" s="9">
        <v>0.7</v>
      </c>
      <c r="EE237" s="9">
        <v>0.9</v>
      </c>
      <c r="EF237" s="9">
        <v>0.2</v>
      </c>
      <c r="EG237" s="9">
        <v>-0.2</v>
      </c>
      <c r="EH237" s="9">
        <v>0.1</v>
      </c>
      <c r="EI237" s="9">
        <v>2</v>
      </c>
      <c r="EJ237" s="9">
        <v>-0.3</v>
      </c>
      <c r="EK237" s="9">
        <v>1</v>
      </c>
      <c r="EL237" s="9">
        <v>3.1</v>
      </c>
      <c r="EM237" s="9">
        <v>0.5</v>
      </c>
      <c r="EN237" s="9">
        <v>1.4</v>
      </c>
      <c r="EO237" s="9">
        <v>-0.4</v>
      </c>
      <c r="EP237" s="9">
        <v>0.2</v>
      </c>
      <c r="EQ237" s="9">
        <v>0.2</v>
      </c>
      <c r="ER237" s="9">
        <v>1.6</v>
      </c>
      <c r="ES237" s="9">
        <v>1.8</v>
      </c>
      <c r="ET237" s="9">
        <v>1</v>
      </c>
      <c r="EU237" s="9">
        <v>1.7</v>
      </c>
      <c r="EV237" s="9">
        <v>0.5</v>
      </c>
      <c r="EW237" s="9">
        <v>-3.5</v>
      </c>
      <c r="EX237" s="9">
        <v>4.3</v>
      </c>
      <c r="EY237" s="9">
        <v>1.8</v>
      </c>
      <c r="EZ237" s="9">
        <v>-2.4</v>
      </c>
      <c r="FA237" s="9">
        <v>1.6</v>
      </c>
      <c r="FB237" s="9">
        <v>0.1</v>
      </c>
      <c r="FC237" s="9">
        <v>2.7</v>
      </c>
      <c r="FD237" s="9">
        <v>2.8</v>
      </c>
      <c r="FE237" s="9">
        <v>1.1000000000000001</v>
      </c>
      <c r="FF237" s="9">
        <v>-0.1</v>
      </c>
      <c r="FG237" s="9">
        <v>-2.2999999999999998</v>
      </c>
      <c r="FH237" s="9">
        <v>0.5</v>
      </c>
      <c r="FI237" s="9">
        <v>1</v>
      </c>
      <c r="FJ237" s="9">
        <v>0.8</v>
      </c>
      <c r="FK237" s="9">
        <v>1.2</v>
      </c>
      <c r="FL237" s="9">
        <v>1.3</v>
      </c>
      <c r="FM237" s="9">
        <v>0.8</v>
      </c>
      <c r="FN237" s="9">
        <v>0</v>
      </c>
      <c r="FO237" s="9">
        <v>0.5</v>
      </c>
      <c r="FP237" s="9">
        <v>1.2</v>
      </c>
      <c r="FQ237" s="9">
        <v>2.2000000000000002</v>
      </c>
      <c r="FR237" s="9">
        <v>2.2000000000000002</v>
      </c>
      <c r="FS237" s="9">
        <v>-1.4</v>
      </c>
      <c r="FT237" s="9">
        <v>-1.9</v>
      </c>
      <c r="FU237" s="9">
        <v>-2.2999999999999998</v>
      </c>
      <c r="FV237" s="9">
        <v>-1.2</v>
      </c>
      <c r="FW237" s="9">
        <v>-3.2</v>
      </c>
      <c r="FX237" s="9">
        <v>-1.5</v>
      </c>
      <c r="FY237" s="9">
        <v>-1.6</v>
      </c>
      <c r="FZ237" s="9">
        <v>-1.6</v>
      </c>
      <c r="GA237" s="9">
        <v>-1</v>
      </c>
      <c r="GB237" s="9">
        <v>0.2</v>
      </c>
      <c r="GC237" s="9">
        <v>0.2</v>
      </c>
      <c r="GD237" s="9">
        <v>0.6</v>
      </c>
      <c r="GE237" s="9">
        <v>1</v>
      </c>
      <c r="GF237" s="9">
        <v>0.5</v>
      </c>
      <c r="GG237" s="9">
        <v>0.5</v>
      </c>
      <c r="GH237" s="9">
        <v>1.4</v>
      </c>
      <c r="GI237" s="9">
        <v>1.4</v>
      </c>
      <c r="GJ237" s="9">
        <v>0.2</v>
      </c>
      <c r="GK237" s="9">
        <v>0.3</v>
      </c>
      <c r="GL237" s="9">
        <v>0</v>
      </c>
      <c r="GM237" s="9">
        <v>1.6</v>
      </c>
      <c r="GN237" s="9">
        <v>0.6</v>
      </c>
      <c r="GO237" s="9">
        <v>1.6</v>
      </c>
      <c r="GP237" s="9">
        <v>2.8</v>
      </c>
      <c r="GQ237" s="9">
        <v>-1.3</v>
      </c>
      <c r="GR237" s="9">
        <v>-1.8</v>
      </c>
      <c r="GS237" s="9">
        <v>-2.5</v>
      </c>
      <c r="GT237" s="9">
        <v>0.5</v>
      </c>
      <c r="GU237" s="9">
        <v>-3.3</v>
      </c>
      <c r="GV237" s="9">
        <v>-3.3</v>
      </c>
      <c r="GW237" s="9">
        <v>-1.3</v>
      </c>
      <c r="GX237" s="9">
        <v>0.3</v>
      </c>
      <c r="GY237" s="9">
        <v>-3</v>
      </c>
      <c r="GZ237" s="9">
        <v>-4.2</v>
      </c>
      <c r="HA237" s="9">
        <v>-0.3</v>
      </c>
      <c r="HB237" s="9">
        <v>-0.8</v>
      </c>
      <c r="HC237" s="9">
        <v>-1.8</v>
      </c>
      <c r="HD237" s="9">
        <v>0.4</v>
      </c>
      <c r="HE237" s="9">
        <v>-0.6</v>
      </c>
      <c r="HF237" s="9">
        <v>1.1000000000000001</v>
      </c>
      <c r="HG237" s="9">
        <v>3.4</v>
      </c>
      <c r="HH237" s="9">
        <v>0.7</v>
      </c>
      <c r="HI237" s="9">
        <v>1.1000000000000001</v>
      </c>
      <c r="HJ237" s="9">
        <v>4</v>
      </c>
      <c r="HK237" s="9">
        <v>14.5</v>
      </c>
      <c r="HL237" s="9">
        <v>16.8</v>
      </c>
      <c r="HM237" s="9">
        <v>-0.1</v>
      </c>
      <c r="HN237" s="9">
        <v>0.8</v>
      </c>
      <c r="HO237" s="9">
        <v>0.5</v>
      </c>
      <c r="HP237" s="9">
        <v>1.9</v>
      </c>
      <c r="HQ237" s="9">
        <v>-0.9</v>
      </c>
      <c r="HR237" s="9">
        <v>-1.1000000000000001</v>
      </c>
      <c r="HS237" s="9">
        <v>-1.4</v>
      </c>
      <c r="HT237" s="9">
        <v>1</v>
      </c>
      <c r="HU237" s="9">
        <v>-2.7</v>
      </c>
      <c r="HV237" s="9">
        <v>1.3</v>
      </c>
      <c r="HW237" s="9">
        <v>0.5</v>
      </c>
      <c r="HX237" s="9">
        <v>1.2</v>
      </c>
      <c r="HY237" s="9">
        <v>1.2</v>
      </c>
      <c r="HZ237" s="9">
        <v>0.4</v>
      </c>
      <c r="IA237" s="9">
        <v>0.4</v>
      </c>
      <c r="IB237" s="9">
        <v>0</v>
      </c>
      <c r="IC237" s="9">
        <v>0.4</v>
      </c>
      <c r="ID237" s="9">
        <v>0.6</v>
      </c>
      <c r="IE237" s="9">
        <v>-3.4</v>
      </c>
      <c r="IF237" s="9">
        <v>-6.4</v>
      </c>
      <c r="IG237" s="9">
        <v>-1.3</v>
      </c>
      <c r="IH237" s="9">
        <v>0.6</v>
      </c>
      <c r="II237" s="9">
        <v>0.7</v>
      </c>
      <c r="IJ237" s="9">
        <v>0.3</v>
      </c>
      <c r="IK237" s="9">
        <v>1.7</v>
      </c>
      <c r="IL237" s="9">
        <v>4.2</v>
      </c>
      <c r="IM237" s="9">
        <v>-1.2</v>
      </c>
      <c r="IN237" s="9">
        <v>0.9</v>
      </c>
      <c r="IO237" s="9">
        <v>-0.4</v>
      </c>
      <c r="IP237" s="9">
        <v>2.4</v>
      </c>
      <c r="IQ237" s="9">
        <v>1.8</v>
      </c>
    </row>
    <row r="238" spans="1:251" x14ac:dyDescent="0.2">
      <c r="A238" s="10">
        <v>38504</v>
      </c>
      <c r="B238" s="8">
        <v>57.35</v>
      </c>
      <c r="C238" s="8">
        <v>56.85</v>
      </c>
      <c r="D238" s="8">
        <v>60.72</v>
      </c>
      <c r="E238" s="8">
        <v>57.63</v>
      </c>
      <c r="F238" s="8">
        <v>59.01</v>
      </c>
      <c r="G238" s="8">
        <v>74.099999999999994</v>
      </c>
      <c r="H238" s="8">
        <v>68.06</v>
      </c>
      <c r="I238" s="8">
        <v>59.8</v>
      </c>
      <c r="J238" s="8">
        <v>54.32</v>
      </c>
      <c r="K238" s="8">
        <v>63.1</v>
      </c>
      <c r="L238" s="8">
        <v>50.02</v>
      </c>
      <c r="M238" s="8">
        <v>78.11</v>
      </c>
      <c r="N238" s="8">
        <v>52.55</v>
      </c>
      <c r="O238" s="8">
        <v>59.56</v>
      </c>
      <c r="P238" s="8">
        <v>64.239999999999995</v>
      </c>
      <c r="Q238" s="8">
        <v>69.739999999999995</v>
      </c>
      <c r="R238" s="8">
        <v>54.15</v>
      </c>
      <c r="S238" s="8">
        <v>66.099999999999994</v>
      </c>
      <c r="T238" s="8">
        <v>52.31</v>
      </c>
      <c r="U238" s="8">
        <v>51.49</v>
      </c>
      <c r="V238" s="8">
        <v>53.03</v>
      </c>
      <c r="W238" s="8">
        <v>60.96</v>
      </c>
      <c r="X238" s="8">
        <v>52.44</v>
      </c>
      <c r="Y238" s="8">
        <v>65.97</v>
      </c>
      <c r="Z238" s="8">
        <v>66.67</v>
      </c>
      <c r="AA238" s="8">
        <v>44.55</v>
      </c>
      <c r="AB238" s="8">
        <v>59.39</v>
      </c>
      <c r="AC238" s="8">
        <v>70.48</v>
      </c>
      <c r="AD238" s="8">
        <v>56.53</v>
      </c>
      <c r="AE238" s="8">
        <v>61.06</v>
      </c>
      <c r="AF238" s="8">
        <v>55.49</v>
      </c>
      <c r="AG238" s="8">
        <v>53.9</v>
      </c>
      <c r="AH238" s="8">
        <v>56.88</v>
      </c>
      <c r="AI238" s="8">
        <v>51.02</v>
      </c>
      <c r="AJ238" s="8">
        <v>33.46</v>
      </c>
      <c r="AK238" s="8">
        <v>59.55</v>
      </c>
      <c r="AL238" s="8">
        <v>49.16</v>
      </c>
      <c r="AM238" s="8">
        <v>86.02</v>
      </c>
      <c r="AN238" s="8">
        <v>49.1</v>
      </c>
      <c r="AO238" s="8">
        <v>13.3</v>
      </c>
      <c r="AP238" s="8">
        <v>13.3</v>
      </c>
      <c r="AQ238" s="8">
        <v>99.42</v>
      </c>
      <c r="AR238" s="8">
        <v>117.25</v>
      </c>
      <c r="AS238" s="8">
        <v>109.85</v>
      </c>
      <c r="AT238" s="8">
        <v>125.68</v>
      </c>
      <c r="AU238" s="8">
        <v>102.76</v>
      </c>
      <c r="AV238" s="8">
        <v>108.3</v>
      </c>
      <c r="AW238" s="8">
        <v>108.23</v>
      </c>
      <c r="AX238" s="8">
        <v>111.58</v>
      </c>
      <c r="AY238" s="8">
        <v>99.9</v>
      </c>
      <c r="AZ238" s="8">
        <v>59.54</v>
      </c>
      <c r="BA238" s="8">
        <v>60.84</v>
      </c>
      <c r="BB238" s="8">
        <v>51.78</v>
      </c>
      <c r="BC238" s="8">
        <v>46.66</v>
      </c>
      <c r="BD238" s="8">
        <v>52.23</v>
      </c>
      <c r="BE238" s="8">
        <v>52.23</v>
      </c>
      <c r="BF238" s="8">
        <v>48.1</v>
      </c>
      <c r="BG238" s="8">
        <v>48.11</v>
      </c>
      <c r="BH238" s="8">
        <v>47.76</v>
      </c>
      <c r="BI238" s="8">
        <v>56.53</v>
      </c>
      <c r="BJ238" s="8">
        <v>36.93</v>
      </c>
      <c r="BK238" s="8">
        <v>35.299999999999997</v>
      </c>
      <c r="BL238" s="8">
        <v>39.64</v>
      </c>
      <c r="BM238" s="8">
        <v>36.14</v>
      </c>
      <c r="BN238" s="8">
        <v>30.38</v>
      </c>
      <c r="BO238" s="8">
        <v>75.78</v>
      </c>
      <c r="BP238" s="8">
        <v>77.27</v>
      </c>
      <c r="BQ238" s="8">
        <v>80.680000000000007</v>
      </c>
      <c r="BR238" s="8">
        <v>63.89</v>
      </c>
      <c r="BS238" s="8">
        <v>118.85</v>
      </c>
      <c r="BT238" s="8">
        <v>118.85</v>
      </c>
      <c r="BU238" s="8">
        <v>102.17</v>
      </c>
      <c r="BV238" s="8">
        <v>106.75</v>
      </c>
      <c r="BW238" s="8">
        <v>106.97</v>
      </c>
      <c r="BX238" s="8">
        <v>115.47</v>
      </c>
      <c r="BY238" s="8">
        <v>77.38</v>
      </c>
      <c r="BZ238" s="8">
        <v>82.93</v>
      </c>
      <c r="CA238" s="8">
        <v>80.44</v>
      </c>
      <c r="CB238" s="8">
        <v>102.02</v>
      </c>
      <c r="CC238" s="8">
        <v>71.48</v>
      </c>
      <c r="CD238" s="8">
        <v>51.86</v>
      </c>
      <c r="CE238" s="8">
        <v>65.569999999999993</v>
      </c>
      <c r="CF238" s="8">
        <v>53.14</v>
      </c>
      <c r="CG238" s="8">
        <v>46.07</v>
      </c>
      <c r="CH238" s="8">
        <v>43.77</v>
      </c>
      <c r="CI238" s="8">
        <v>82.03</v>
      </c>
      <c r="CJ238" s="8">
        <v>81.599999999999994</v>
      </c>
      <c r="CK238" s="8">
        <v>86.15</v>
      </c>
      <c r="CL238" s="8">
        <v>36.75</v>
      </c>
      <c r="CM238" s="8">
        <v>34.47</v>
      </c>
      <c r="CN238" s="8">
        <v>55.38</v>
      </c>
      <c r="CO238" s="8">
        <v>65.459999999999994</v>
      </c>
      <c r="CP238" s="8">
        <v>65.77</v>
      </c>
      <c r="CQ238" s="8">
        <v>95.64</v>
      </c>
      <c r="CR238" s="8">
        <v>56.93</v>
      </c>
      <c r="CS238" s="8">
        <v>56.91</v>
      </c>
      <c r="CT238" s="8">
        <v>58.34</v>
      </c>
      <c r="CU238" s="8">
        <v>46.83</v>
      </c>
      <c r="CV238" s="8">
        <v>63.52</v>
      </c>
      <c r="CW238" s="8">
        <v>63.52</v>
      </c>
      <c r="CX238" s="8">
        <v>121.55</v>
      </c>
      <c r="CY238" s="8">
        <v>121.55</v>
      </c>
      <c r="CZ238" s="8">
        <v>45.05</v>
      </c>
      <c r="DA238" s="8">
        <v>126.99</v>
      </c>
      <c r="DB238" s="8">
        <v>75.400000000000006</v>
      </c>
      <c r="DC238" s="8">
        <v>216.47</v>
      </c>
      <c r="DD238" s="8">
        <v>538.38</v>
      </c>
      <c r="DE238" s="8">
        <v>76.2</v>
      </c>
      <c r="DF238" s="8">
        <v>67.66</v>
      </c>
      <c r="DG238" s="8">
        <v>95.11</v>
      </c>
      <c r="DH238" s="8">
        <v>57.68</v>
      </c>
      <c r="DI238" s="8">
        <v>56.98</v>
      </c>
      <c r="DJ238" s="8">
        <v>52.14</v>
      </c>
      <c r="DK238" s="8">
        <v>55.25</v>
      </c>
      <c r="DL238" s="8">
        <v>61.17</v>
      </c>
      <c r="DM238" s="8">
        <v>93.81</v>
      </c>
      <c r="DN238" s="8">
        <v>127.61</v>
      </c>
      <c r="DO238" s="8">
        <v>49.53</v>
      </c>
      <c r="DP238" s="8">
        <v>43.15</v>
      </c>
      <c r="DQ238" s="8">
        <v>51.74</v>
      </c>
      <c r="DR238" s="8">
        <v>49.47</v>
      </c>
      <c r="DS238" s="8">
        <v>41.89</v>
      </c>
      <c r="DT238" s="8">
        <v>41.89</v>
      </c>
      <c r="DU238" s="8">
        <v>45.27</v>
      </c>
      <c r="DV238" s="8">
        <v>35.61</v>
      </c>
      <c r="DW238" s="8">
        <v>46.42</v>
      </c>
      <c r="DX238" s="8">
        <v>58.53</v>
      </c>
      <c r="DY238" s="8">
        <v>35.71</v>
      </c>
      <c r="DZ238" s="8">
        <v>35.71</v>
      </c>
      <c r="EC238" s="8">
        <v>63.68</v>
      </c>
      <c r="ED238" s="9">
        <v>0.6</v>
      </c>
      <c r="EE238" s="9">
        <v>0.1</v>
      </c>
      <c r="EF238" s="9">
        <v>1.1000000000000001</v>
      </c>
      <c r="EG238" s="9">
        <v>1.1000000000000001</v>
      </c>
      <c r="EH238" s="9">
        <v>1.6</v>
      </c>
      <c r="EI238" s="9">
        <v>-0.4</v>
      </c>
      <c r="EJ238" s="9">
        <v>1</v>
      </c>
      <c r="EK238" s="9">
        <v>0.6</v>
      </c>
      <c r="EL238" s="9">
        <v>2.2999999999999998</v>
      </c>
      <c r="EM238" s="9">
        <v>3.3</v>
      </c>
      <c r="EN238" s="9">
        <v>-1.2</v>
      </c>
      <c r="EO238" s="9">
        <v>-3.1</v>
      </c>
      <c r="EP238" s="9">
        <v>0.6</v>
      </c>
      <c r="EQ238" s="9">
        <v>0.7</v>
      </c>
      <c r="ER238" s="9">
        <v>1.7</v>
      </c>
      <c r="ES238" s="9">
        <v>1.9</v>
      </c>
      <c r="ET238" s="9">
        <v>1.7</v>
      </c>
      <c r="EU238" s="9">
        <v>1.4</v>
      </c>
      <c r="EV238" s="9">
        <v>-4.9000000000000004</v>
      </c>
      <c r="EW238" s="9">
        <v>-10.5</v>
      </c>
      <c r="EX238" s="9">
        <v>0</v>
      </c>
      <c r="EY238" s="9">
        <v>0.3</v>
      </c>
      <c r="EZ238" s="9">
        <v>-2.1</v>
      </c>
      <c r="FA238" s="9">
        <v>-2.6</v>
      </c>
      <c r="FB238" s="9">
        <v>-0.4</v>
      </c>
      <c r="FC238" s="9">
        <v>1.8</v>
      </c>
      <c r="FD238" s="9">
        <v>1.2</v>
      </c>
      <c r="FE238" s="9">
        <v>-0.5</v>
      </c>
      <c r="FF238" s="9">
        <v>1.7</v>
      </c>
      <c r="FG238" s="9">
        <v>3</v>
      </c>
      <c r="FH238" s="9">
        <v>1.3</v>
      </c>
      <c r="FI238" s="9">
        <v>0.8</v>
      </c>
      <c r="FJ238" s="9">
        <v>1.2</v>
      </c>
      <c r="FK238" s="9">
        <v>0.5</v>
      </c>
      <c r="FL238" s="9">
        <v>0.5</v>
      </c>
      <c r="FM238" s="9">
        <v>0.3</v>
      </c>
      <c r="FN238" s="9">
        <v>0.5</v>
      </c>
      <c r="FO238" s="9">
        <v>-0.2</v>
      </c>
      <c r="FP238" s="9">
        <v>0.5</v>
      </c>
      <c r="FQ238" s="9">
        <v>1.1000000000000001</v>
      </c>
      <c r="FR238" s="9">
        <v>1.1000000000000001</v>
      </c>
      <c r="FS238" s="9">
        <v>0.8</v>
      </c>
      <c r="FT238" s="9">
        <v>1.2</v>
      </c>
      <c r="FU238" s="9">
        <v>1.9</v>
      </c>
      <c r="FV238" s="9">
        <v>0.5</v>
      </c>
      <c r="FW238" s="9">
        <v>2.2999999999999998</v>
      </c>
      <c r="FX238" s="9">
        <v>-0.2</v>
      </c>
      <c r="FY238" s="9">
        <v>-0.6</v>
      </c>
      <c r="FZ238" s="9">
        <v>-0.2</v>
      </c>
      <c r="GA238" s="9">
        <v>0.4</v>
      </c>
      <c r="GB238" s="9">
        <v>0.6</v>
      </c>
      <c r="GC238" s="9">
        <v>-0.4</v>
      </c>
      <c r="GD238" s="9">
        <v>1.2</v>
      </c>
      <c r="GE238" s="9">
        <v>0.6</v>
      </c>
      <c r="GF238" s="9">
        <v>0.7</v>
      </c>
      <c r="GG238" s="9">
        <v>0.7</v>
      </c>
      <c r="GH238" s="9">
        <v>0.9</v>
      </c>
      <c r="GI238" s="9">
        <v>0.9</v>
      </c>
      <c r="GJ238" s="9">
        <v>0.6</v>
      </c>
      <c r="GK238" s="9">
        <v>1.1000000000000001</v>
      </c>
      <c r="GL238" s="9">
        <v>0</v>
      </c>
      <c r="GM238" s="9">
        <v>-0.6</v>
      </c>
      <c r="GN238" s="9">
        <v>0</v>
      </c>
      <c r="GO238" s="9">
        <v>-1.3</v>
      </c>
      <c r="GP238" s="9">
        <v>0.5</v>
      </c>
      <c r="GQ238" s="9">
        <v>1.2</v>
      </c>
      <c r="GR238" s="9">
        <v>0.7</v>
      </c>
      <c r="GS238" s="9">
        <v>0.6</v>
      </c>
      <c r="GT238" s="9">
        <v>1</v>
      </c>
      <c r="GU238" s="9">
        <v>3.1</v>
      </c>
      <c r="GV238" s="9">
        <v>3.1</v>
      </c>
      <c r="GW238" s="9">
        <v>1.8</v>
      </c>
      <c r="GX238" s="9">
        <v>1.8</v>
      </c>
      <c r="GY238" s="9">
        <v>0.4</v>
      </c>
      <c r="GZ238" s="9">
        <v>3.7</v>
      </c>
      <c r="HA238" s="9">
        <v>0.5</v>
      </c>
      <c r="HB238" s="9">
        <v>1</v>
      </c>
      <c r="HC238" s="9">
        <v>2.2999999999999998</v>
      </c>
      <c r="HD238" s="9">
        <v>1</v>
      </c>
      <c r="HE238" s="9">
        <v>0.6</v>
      </c>
      <c r="HF238" s="9">
        <v>0.8</v>
      </c>
      <c r="HG238" s="9">
        <v>1.4</v>
      </c>
      <c r="HH238" s="9">
        <v>0.7</v>
      </c>
      <c r="HI238" s="9">
        <v>0.8</v>
      </c>
      <c r="HJ238" s="9">
        <v>2.4</v>
      </c>
      <c r="HK238" s="9">
        <v>-1.5</v>
      </c>
      <c r="HL238" s="9">
        <v>-1.8</v>
      </c>
      <c r="HM238" s="9">
        <v>0.9</v>
      </c>
      <c r="HN238" s="9">
        <v>3.7</v>
      </c>
      <c r="HO238" s="9">
        <v>4.2</v>
      </c>
      <c r="HP238" s="9">
        <v>1.7</v>
      </c>
      <c r="HQ238" s="9">
        <v>2.1</v>
      </c>
      <c r="HR238" s="9">
        <v>2.2000000000000002</v>
      </c>
      <c r="HS238" s="9">
        <v>-1.1000000000000001</v>
      </c>
      <c r="HT238" s="9">
        <v>0.2</v>
      </c>
      <c r="HU238" s="9">
        <v>7.2</v>
      </c>
      <c r="HV238" s="9">
        <v>1.2</v>
      </c>
      <c r="HW238" s="9">
        <v>0.7</v>
      </c>
      <c r="HX238" s="9">
        <v>0</v>
      </c>
      <c r="HY238" s="9">
        <v>0</v>
      </c>
      <c r="HZ238" s="9">
        <v>-0.9</v>
      </c>
      <c r="IA238" s="9">
        <v>-0.9</v>
      </c>
      <c r="IB238" s="9">
        <v>0</v>
      </c>
      <c r="IC238" s="9">
        <v>-1</v>
      </c>
      <c r="ID238" s="9">
        <v>-1.3</v>
      </c>
      <c r="IE238" s="9">
        <v>-1.3</v>
      </c>
      <c r="IF238" s="9">
        <v>-1.4</v>
      </c>
      <c r="IG238" s="9">
        <v>-1.2</v>
      </c>
      <c r="IH238" s="9">
        <v>0.1</v>
      </c>
      <c r="II238" s="9">
        <v>0.2</v>
      </c>
      <c r="IJ238" s="9">
        <v>0.2</v>
      </c>
      <c r="IK238" s="9">
        <v>-3.1</v>
      </c>
      <c r="IL238" s="9">
        <v>-5.7</v>
      </c>
      <c r="IM238" s="9">
        <v>0.3</v>
      </c>
      <c r="IN238" s="9">
        <v>0.2</v>
      </c>
      <c r="IO238" s="9">
        <v>-0.5</v>
      </c>
      <c r="IP238" s="9">
        <v>-0.1</v>
      </c>
      <c r="IQ238" s="9">
        <v>0.7</v>
      </c>
    </row>
    <row r="239" spans="1:251" x14ac:dyDescent="0.2">
      <c r="A239" s="10">
        <v>38596</v>
      </c>
      <c r="B239" s="8">
        <v>57.92</v>
      </c>
      <c r="C239" s="8">
        <v>57.29</v>
      </c>
      <c r="D239" s="8">
        <v>61.28</v>
      </c>
      <c r="E239" s="8">
        <v>58.55</v>
      </c>
      <c r="F239" s="8">
        <v>59.26</v>
      </c>
      <c r="G239" s="8">
        <v>75.05</v>
      </c>
      <c r="H239" s="8">
        <v>68.19</v>
      </c>
      <c r="I239" s="8">
        <v>59.8</v>
      </c>
      <c r="J239" s="8">
        <v>54.22</v>
      </c>
      <c r="K239" s="8">
        <v>62.88</v>
      </c>
      <c r="L239" s="8">
        <v>53.13</v>
      </c>
      <c r="M239" s="8">
        <v>76.650000000000006</v>
      </c>
      <c r="N239" s="8">
        <v>52.37</v>
      </c>
      <c r="O239" s="8">
        <v>59.01</v>
      </c>
      <c r="P239" s="8">
        <v>64.34</v>
      </c>
      <c r="Q239" s="8">
        <v>69.55</v>
      </c>
      <c r="R239" s="8">
        <v>54.8</v>
      </c>
      <c r="S239" s="8">
        <v>66</v>
      </c>
      <c r="T239" s="8">
        <v>53.05</v>
      </c>
      <c r="U239" s="8">
        <v>53.04</v>
      </c>
      <c r="V239" s="8">
        <v>53.08</v>
      </c>
      <c r="W239" s="8">
        <v>61.55</v>
      </c>
      <c r="X239" s="8">
        <v>53.25</v>
      </c>
      <c r="Y239" s="8">
        <v>69.11</v>
      </c>
      <c r="Z239" s="8">
        <v>68.319999999999993</v>
      </c>
      <c r="AA239" s="8">
        <v>44.39</v>
      </c>
      <c r="AB239" s="8">
        <v>59.87</v>
      </c>
      <c r="AC239" s="8">
        <v>70.45</v>
      </c>
      <c r="AD239" s="8">
        <v>56.73</v>
      </c>
      <c r="AE239" s="8">
        <v>61.6</v>
      </c>
      <c r="AF239" s="8">
        <v>55.62</v>
      </c>
      <c r="AG239" s="8">
        <v>54.45</v>
      </c>
      <c r="AH239" s="8">
        <v>57.66</v>
      </c>
      <c r="AI239" s="8">
        <v>51.39</v>
      </c>
      <c r="AJ239" s="8">
        <v>33.79</v>
      </c>
      <c r="AK239" s="8">
        <v>60.15</v>
      </c>
      <c r="AL239" s="8">
        <v>49.38</v>
      </c>
      <c r="AM239" s="8">
        <v>86.26</v>
      </c>
      <c r="AN239" s="8">
        <v>50.02</v>
      </c>
      <c r="AO239" s="8">
        <v>13.42</v>
      </c>
      <c r="AP239" s="8">
        <v>13.42</v>
      </c>
      <c r="AQ239" s="8">
        <v>99.56</v>
      </c>
      <c r="AR239" s="8">
        <v>117.25</v>
      </c>
      <c r="AS239" s="8">
        <v>108.84</v>
      </c>
      <c r="AT239" s="8">
        <v>125.9</v>
      </c>
      <c r="AU239" s="8">
        <v>104.06</v>
      </c>
      <c r="AV239" s="8">
        <v>108.35</v>
      </c>
      <c r="AW239" s="8">
        <v>108.52</v>
      </c>
      <c r="AX239" s="8">
        <v>111.23</v>
      </c>
      <c r="AY239" s="8">
        <v>100.63</v>
      </c>
      <c r="AZ239" s="8">
        <v>59.91</v>
      </c>
      <c r="BA239" s="8">
        <v>61.23</v>
      </c>
      <c r="BB239" s="8">
        <v>52.12</v>
      </c>
      <c r="BC239" s="8">
        <v>47.3</v>
      </c>
      <c r="BD239" s="8">
        <v>52.55</v>
      </c>
      <c r="BE239" s="8">
        <v>52.55</v>
      </c>
      <c r="BF239" s="8">
        <v>48.69</v>
      </c>
      <c r="BG239" s="8">
        <v>48.7</v>
      </c>
      <c r="BH239" s="8">
        <v>48.84</v>
      </c>
      <c r="BI239" s="8">
        <v>56.98</v>
      </c>
      <c r="BJ239" s="8">
        <v>38.75</v>
      </c>
      <c r="BK239" s="8">
        <v>36.049999999999997</v>
      </c>
      <c r="BL239" s="8">
        <v>40.83</v>
      </c>
      <c r="BM239" s="8">
        <v>36.76</v>
      </c>
      <c r="BN239" s="8">
        <v>31</v>
      </c>
      <c r="BO239" s="8">
        <v>76.05</v>
      </c>
      <c r="BP239" s="8">
        <v>77.98</v>
      </c>
      <c r="BQ239" s="8">
        <v>81.36</v>
      </c>
      <c r="BR239" s="8">
        <v>64.599999999999994</v>
      </c>
      <c r="BS239" s="8">
        <v>117.37</v>
      </c>
      <c r="BT239" s="8">
        <v>117.37</v>
      </c>
      <c r="BU239" s="8">
        <v>102.76</v>
      </c>
      <c r="BV239" s="8">
        <v>108.6</v>
      </c>
      <c r="BW239" s="8">
        <v>106.61</v>
      </c>
      <c r="BX239" s="8">
        <v>116.14</v>
      </c>
      <c r="BY239" s="8">
        <v>76.63</v>
      </c>
      <c r="BZ239" s="8">
        <v>82.68</v>
      </c>
      <c r="CA239" s="8">
        <v>81.03</v>
      </c>
      <c r="CB239" s="8">
        <v>101.51</v>
      </c>
      <c r="CC239" s="8">
        <v>71.209999999999994</v>
      </c>
      <c r="CD239" s="8">
        <v>52.3</v>
      </c>
      <c r="CE239" s="8">
        <v>66.489999999999995</v>
      </c>
      <c r="CF239" s="8">
        <v>53.6</v>
      </c>
      <c r="CG239" s="8">
        <v>46.24</v>
      </c>
      <c r="CH239" s="8">
        <v>43.28</v>
      </c>
      <c r="CI239" s="8">
        <v>78.39</v>
      </c>
      <c r="CJ239" s="8">
        <v>77.64</v>
      </c>
      <c r="CK239" s="8">
        <v>85.88</v>
      </c>
      <c r="CL239" s="8">
        <v>36.79</v>
      </c>
      <c r="CM239" s="8">
        <v>34.42</v>
      </c>
      <c r="CN239" s="8">
        <v>55.93</v>
      </c>
      <c r="CO239" s="8">
        <v>67.599999999999994</v>
      </c>
      <c r="CP239" s="8">
        <v>68.02</v>
      </c>
      <c r="CQ239" s="8">
        <v>95.4</v>
      </c>
      <c r="CR239" s="8">
        <v>57.44</v>
      </c>
      <c r="CS239" s="8">
        <v>63.51</v>
      </c>
      <c r="CT239" s="8">
        <v>57.85</v>
      </c>
      <c r="CU239" s="8">
        <v>47.1</v>
      </c>
      <c r="CV239" s="8">
        <v>64.12</v>
      </c>
      <c r="CW239" s="8">
        <v>64.14</v>
      </c>
      <c r="CX239" s="8">
        <v>120.7</v>
      </c>
      <c r="CY239" s="8">
        <v>120.7</v>
      </c>
      <c r="CZ239" s="8">
        <v>45.26</v>
      </c>
      <c r="DA239" s="8">
        <v>126.05</v>
      </c>
      <c r="DB239" s="8">
        <v>76.31</v>
      </c>
      <c r="DC239" s="8">
        <v>214.62</v>
      </c>
      <c r="DD239" s="8">
        <v>529.46</v>
      </c>
      <c r="DE239" s="8">
        <v>76.52</v>
      </c>
      <c r="DF239" s="8">
        <v>68.06</v>
      </c>
      <c r="DG239" s="8">
        <v>95.36</v>
      </c>
      <c r="DH239" s="8">
        <v>58.15</v>
      </c>
      <c r="DI239" s="8">
        <v>58.55</v>
      </c>
      <c r="DJ239" s="8">
        <v>53.89</v>
      </c>
      <c r="DK239" s="8">
        <v>56.35</v>
      </c>
      <c r="DL239" s="8">
        <v>61.85</v>
      </c>
      <c r="DM239" s="8">
        <v>93.8</v>
      </c>
      <c r="DN239" s="8">
        <v>127.34</v>
      </c>
      <c r="DO239" s="8">
        <v>51.52</v>
      </c>
      <c r="DP239" s="8">
        <v>43.75</v>
      </c>
      <c r="DQ239" s="8">
        <v>52.83</v>
      </c>
      <c r="DR239" s="8">
        <v>49.69</v>
      </c>
      <c r="DS239" s="8">
        <v>41.9</v>
      </c>
      <c r="DT239" s="8">
        <v>41.9</v>
      </c>
      <c r="DU239" s="8">
        <v>45.36</v>
      </c>
      <c r="DV239" s="8">
        <v>35.61</v>
      </c>
      <c r="DW239" s="8">
        <v>46.42</v>
      </c>
      <c r="DX239" s="8">
        <v>58.56</v>
      </c>
      <c r="DY239" s="8">
        <v>36.14</v>
      </c>
      <c r="DZ239" s="8">
        <v>36.14</v>
      </c>
      <c r="EC239" s="8">
        <v>64.040000000000006</v>
      </c>
      <c r="ED239" s="9">
        <v>1</v>
      </c>
      <c r="EE239" s="9">
        <v>0.8</v>
      </c>
      <c r="EF239" s="9">
        <v>0.9</v>
      </c>
      <c r="EG239" s="9">
        <v>1.6</v>
      </c>
      <c r="EH239" s="9">
        <v>0.4</v>
      </c>
      <c r="EI239" s="9">
        <v>1.3</v>
      </c>
      <c r="EJ239" s="9">
        <v>0.2</v>
      </c>
      <c r="EK239" s="9">
        <v>0</v>
      </c>
      <c r="EL239" s="9">
        <v>-0.2</v>
      </c>
      <c r="EM239" s="9">
        <v>-0.3</v>
      </c>
      <c r="EN239" s="9">
        <v>6.2</v>
      </c>
      <c r="EO239" s="9">
        <v>-1.9</v>
      </c>
      <c r="EP239" s="9">
        <v>-0.3</v>
      </c>
      <c r="EQ239" s="9">
        <v>-0.9</v>
      </c>
      <c r="ER239" s="9">
        <v>0.2</v>
      </c>
      <c r="ES239" s="9">
        <v>-0.3</v>
      </c>
      <c r="ET239" s="9">
        <v>1.2</v>
      </c>
      <c r="EU239" s="9">
        <v>-0.2</v>
      </c>
      <c r="EV239" s="9">
        <v>1.4</v>
      </c>
      <c r="EW239" s="9">
        <v>3</v>
      </c>
      <c r="EX239" s="9">
        <v>0.1</v>
      </c>
      <c r="EY239" s="9">
        <v>1</v>
      </c>
      <c r="EZ239" s="9">
        <v>1.5</v>
      </c>
      <c r="FA239" s="9">
        <v>4.8</v>
      </c>
      <c r="FB239" s="9">
        <v>2.5</v>
      </c>
      <c r="FC239" s="9">
        <v>-0.4</v>
      </c>
      <c r="FD239" s="9">
        <v>0.8</v>
      </c>
      <c r="FE239" s="9">
        <v>0</v>
      </c>
      <c r="FF239" s="9">
        <v>0.4</v>
      </c>
      <c r="FG239" s="9">
        <v>0.9</v>
      </c>
      <c r="FH239" s="9">
        <v>0.2</v>
      </c>
      <c r="FI239" s="9">
        <v>1</v>
      </c>
      <c r="FJ239" s="9">
        <v>1.4</v>
      </c>
      <c r="FK239" s="9">
        <v>0.7</v>
      </c>
      <c r="FL239" s="9">
        <v>1</v>
      </c>
      <c r="FM239" s="9">
        <v>1</v>
      </c>
      <c r="FN239" s="9">
        <v>0.4</v>
      </c>
      <c r="FO239" s="9">
        <v>0.3</v>
      </c>
      <c r="FP239" s="9">
        <v>1.9</v>
      </c>
      <c r="FQ239" s="9">
        <v>0.9</v>
      </c>
      <c r="FR239" s="9">
        <v>0.9</v>
      </c>
      <c r="FS239" s="9">
        <v>0.1</v>
      </c>
      <c r="FT239" s="9">
        <v>0</v>
      </c>
      <c r="FU239" s="9">
        <v>-0.9</v>
      </c>
      <c r="FV239" s="9">
        <v>0.2</v>
      </c>
      <c r="FW239" s="9">
        <v>1.3</v>
      </c>
      <c r="FX239" s="9">
        <v>0</v>
      </c>
      <c r="FY239" s="9">
        <v>0.3</v>
      </c>
      <c r="FZ239" s="9">
        <v>-0.3</v>
      </c>
      <c r="GA239" s="9">
        <v>0.7</v>
      </c>
      <c r="GB239" s="9">
        <v>0.6</v>
      </c>
      <c r="GC239" s="9">
        <v>0.6</v>
      </c>
      <c r="GD239" s="9">
        <v>0.7</v>
      </c>
      <c r="GE239" s="9">
        <v>1.4</v>
      </c>
      <c r="GF239" s="9">
        <v>0.6</v>
      </c>
      <c r="GG239" s="9">
        <v>0.6</v>
      </c>
      <c r="GH239" s="9">
        <v>1.2</v>
      </c>
      <c r="GI239" s="9">
        <v>1.2</v>
      </c>
      <c r="GJ239" s="9">
        <v>2.2999999999999998</v>
      </c>
      <c r="GK239" s="9">
        <v>0.8</v>
      </c>
      <c r="GL239" s="9">
        <v>4.9000000000000004</v>
      </c>
      <c r="GM239" s="9">
        <v>2.1</v>
      </c>
      <c r="GN239" s="9">
        <v>3</v>
      </c>
      <c r="GO239" s="9">
        <v>1.7</v>
      </c>
      <c r="GP239" s="9">
        <v>2</v>
      </c>
      <c r="GQ239" s="9">
        <v>0.4</v>
      </c>
      <c r="GR239" s="9">
        <v>0.9</v>
      </c>
      <c r="GS239" s="9">
        <v>0.8</v>
      </c>
      <c r="GT239" s="9">
        <v>1.1000000000000001</v>
      </c>
      <c r="GU239" s="9">
        <v>-1.2</v>
      </c>
      <c r="GV239" s="9">
        <v>-1.2</v>
      </c>
      <c r="GW239" s="9">
        <v>0.6</v>
      </c>
      <c r="GX239" s="9">
        <v>1.7</v>
      </c>
      <c r="GY239" s="9">
        <v>-0.3</v>
      </c>
      <c r="GZ239" s="9">
        <v>0.6</v>
      </c>
      <c r="HA239" s="9">
        <v>-1</v>
      </c>
      <c r="HB239" s="9">
        <v>-0.3</v>
      </c>
      <c r="HC239" s="9">
        <v>0.7</v>
      </c>
      <c r="HD239" s="9">
        <v>-0.5</v>
      </c>
      <c r="HE239" s="9">
        <v>-0.4</v>
      </c>
      <c r="HF239" s="9">
        <v>0.8</v>
      </c>
      <c r="HG239" s="9">
        <v>1.4</v>
      </c>
      <c r="HH239" s="9">
        <v>0.9</v>
      </c>
      <c r="HI239" s="9">
        <v>0.4</v>
      </c>
      <c r="HJ239" s="9">
        <v>-1.1000000000000001</v>
      </c>
      <c r="HK239" s="9">
        <v>-4.4000000000000004</v>
      </c>
      <c r="HL239" s="9">
        <v>-4.9000000000000004</v>
      </c>
      <c r="HM239" s="9">
        <v>-0.3</v>
      </c>
      <c r="HN239" s="9">
        <v>0.1</v>
      </c>
      <c r="HO239" s="9">
        <v>-0.1</v>
      </c>
      <c r="HP239" s="9">
        <v>1</v>
      </c>
      <c r="HQ239" s="9">
        <v>3.3</v>
      </c>
      <c r="HR239" s="9">
        <v>3.4</v>
      </c>
      <c r="HS239" s="9">
        <v>-0.3</v>
      </c>
      <c r="HT239" s="9">
        <v>0.9</v>
      </c>
      <c r="HU239" s="9">
        <v>11.6</v>
      </c>
      <c r="HV239" s="9">
        <v>-0.8</v>
      </c>
      <c r="HW239" s="9">
        <v>0.6</v>
      </c>
      <c r="HX239" s="9">
        <v>0.9</v>
      </c>
      <c r="HY239" s="9">
        <v>1</v>
      </c>
      <c r="HZ239" s="9">
        <v>-0.7</v>
      </c>
      <c r="IA239" s="9">
        <v>-0.7</v>
      </c>
      <c r="IB239" s="9">
        <v>0.5</v>
      </c>
      <c r="IC239" s="9">
        <v>-0.7</v>
      </c>
      <c r="ID239" s="9">
        <v>1.2</v>
      </c>
      <c r="IE239" s="9">
        <v>-0.9</v>
      </c>
      <c r="IF239" s="9">
        <v>-1.7</v>
      </c>
      <c r="IG239" s="9">
        <v>0.4</v>
      </c>
      <c r="IH239" s="9">
        <v>0.6</v>
      </c>
      <c r="II239" s="9">
        <v>0.3</v>
      </c>
      <c r="IJ239" s="9">
        <v>0.8</v>
      </c>
      <c r="IK239" s="9">
        <v>2.8</v>
      </c>
      <c r="IL239" s="9">
        <v>3.4</v>
      </c>
      <c r="IM239" s="9">
        <v>2</v>
      </c>
      <c r="IN239" s="9">
        <v>1.1000000000000001</v>
      </c>
      <c r="IO239" s="9">
        <v>0</v>
      </c>
      <c r="IP239" s="9">
        <v>-0.2</v>
      </c>
      <c r="IQ239" s="9">
        <v>4</v>
      </c>
    </row>
    <row r="240" spans="1:251" x14ac:dyDescent="0.2">
      <c r="A240" s="10">
        <v>38687</v>
      </c>
      <c r="B240" s="8">
        <v>58.22</v>
      </c>
      <c r="C240" s="8">
        <v>58.31</v>
      </c>
      <c r="D240" s="8">
        <v>62.65</v>
      </c>
      <c r="E240" s="8">
        <v>60.63</v>
      </c>
      <c r="F240" s="8">
        <v>60.19</v>
      </c>
      <c r="G240" s="8">
        <v>77.260000000000005</v>
      </c>
      <c r="H240" s="8">
        <v>67.790000000000006</v>
      </c>
      <c r="I240" s="8">
        <v>60.01</v>
      </c>
      <c r="J240" s="8">
        <v>55.29</v>
      </c>
      <c r="K240" s="8">
        <v>61.99</v>
      </c>
      <c r="L240" s="8">
        <v>51.77</v>
      </c>
      <c r="M240" s="8">
        <v>76.19</v>
      </c>
      <c r="N240" s="8">
        <v>52.46</v>
      </c>
      <c r="O240" s="8">
        <v>60.98</v>
      </c>
      <c r="P240" s="8">
        <v>65.56</v>
      </c>
      <c r="Q240" s="8">
        <v>71.16</v>
      </c>
      <c r="R240" s="8">
        <v>55.95</v>
      </c>
      <c r="S240" s="8">
        <v>66.62</v>
      </c>
      <c r="T240" s="8">
        <v>56.4</v>
      </c>
      <c r="U240" s="8">
        <v>56.08</v>
      </c>
      <c r="V240" s="8">
        <v>56.71</v>
      </c>
      <c r="W240" s="8">
        <v>62.14</v>
      </c>
      <c r="X240" s="8">
        <v>54.55</v>
      </c>
      <c r="Y240" s="8">
        <v>68.67</v>
      </c>
      <c r="Z240" s="8">
        <v>67.2</v>
      </c>
      <c r="AA240" s="8">
        <v>45.63</v>
      </c>
      <c r="AB240" s="8">
        <v>60.4</v>
      </c>
      <c r="AC240" s="8">
        <v>71.790000000000006</v>
      </c>
      <c r="AD240" s="8">
        <v>57.13</v>
      </c>
      <c r="AE240" s="8">
        <v>62.47</v>
      </c>
      <c r="AF240" s="8">
        <v>55.88</v>
      </c>
      <c r="AG240" s="8">
        <v>54.94</v>
      </c>
      <c r="AH240" s="8">
        <v>57.97</v>
      </c>
      <c r="AI240" s="8">
        <v>52</v>
      </c>
      <c r="AJ240" s="8">
        <v>33.950000000000003</v>
      </c>
      <c r="AK240" s="8">
        <v>60.4</v>
      </c>
      <c r="AL240" s="8">
        <v>49.89</v>
      </c>
      <c r="AM240" s="8">
        <v>86.28</v>
      </c>
      <c r="AN240" s="8">
        <v>50.25</v>
      </c>
      <c r="AO240" s="8">
        <v>13.5</v>
      </c>
      <c r="AP240" s="8">
        <v>13.5</v>
      </c>
      <c r="AQ240" s="8">
        <v>99.41</v>
      </c>
      <c r="AR240" s="8">
        <v>116.62</v>
      </c>
      <c r="AS240" s="8">
        <v>108.53</v>
      </c>
      <c r="AT240" s="8">
        <v>124.89</v>
      </c>
      <c r="AU240" s="8">
        <v>103.57</v>
      </c>
      <c r="AV240" s="8">
        <v>109.45</v>
      </c>
      <c r="AW240" s="8">
        <v>110.06</v>
      </c>
      <c r="AX240" s="8">
        <v>112.44</v>
      </c>
      <c r="AY240" s="8">
        <v>100.89</v>
      </c>
      <c r="AZ240" s="8">
        <v>60.17</v>
      </c>
      <c r="BA240" s="8">
        <v>61.29</v>
      </c>
      <c r="BB240" s="8">
        <v>52.95</v>
      </c>
      <c r="BC240" s="8">
        <v>47.63</v>
      </c>
      <c r="BD240" s="8">
        <v>52.92</v>
      </c>
      <c r="BE240" s="8">
        <v>52.92</v>
      </c>
      <c r="BF240" s="8">
        <v>49.09</v>
      </c>
      <c r="BG240" s="8">
        <v>49.08</v>
      </c>
      <c r="BH240" s="8">
        <v>49.01</v>
      </c>
      <c r="BI240" s="8">
        <v>57.31</v>
      </c>
      <c r="BJ240" s="8">
        <v>38.75</v>
      </c>
      <c r="BK240" s="8">
        <v>36.33</v>
      </c>
      <c r="BL240" s="8">
        <v>41.66</v>
      </c>
      <c r="BM240" s="8">
        <v>37.020000000000003</v>
      </c>
      <c r="BN240" s="8">
        <v>30.89</v>
      </c>
      <c r="BO240" s="8">
        <v>76.53</v>
      </c>
      <c r="BP240" s="8">
        <v>78.39</v>
      </c>
      <c r="BQ240" s="8">
        <v>81.739999999999995</v>
      </c>
      <c r="BR240" s="8">
        <v>64.91</v>
      </c>
      <c r="BS240" s="8">
        <v>117.69</v>
      </c>
      <c r="BT240" s="8">
        <v>117.69</v>
      </c>
      <c r="BU240" s="8">
        <v>101.52</v>
      </c>
      <c r="BV240" s="8">
        <v>107.54</v>
      </c>
      <c r="BW240" s="8">
        <v>104.92</v>
      </c>
      <c r="BX240" s="8">
        <v>113.67</v>
      </c>
      <c r="BY240" s="8">
        <v>76.569999999999993</v>
      </c>
      <c r="BZ240" s="8">
        <v>83.73</v>
      </c>
      <c r="CA240" s="8">
        <v>82.15</v>
      </c>
      <c r="CB240" s="8">
        <v>102.76</v>
      </c>
      <c r="CC240" s="8">
        <v>72.12</v>
      </c>
      <c r="CD240" s="8">
        <v>53.17</v>
      </c>
      <c r="CE240" s="8">
        <v>68.900000000000006</v>
      </c>
      <c r="CF240" s="8">
        <v>54.12</v>
      </c>
      <c r="CG240" s="8">
        <v>46.73</v>
      </c>
      <c r="CH240" s="8">
        <v>42.83</v>
      </c>
      <c r="CI240" s="8">
        <v>75.23</v>
      </c>
      <c r="CJ240" s="8">
        <v>74.06</v>
      </c>
      <c r="CK240" s="8">
        <v>86.98</v>
      </c>
      <c r="CL240" s="8">
        <v>36.79</v>
      </c>
      <c r="CM240" s="8">
        <v>34.36</v>
      </c>
      <c r="CN240" s="8">
        <v>56.36</v>
      </c>
      <c r="CO240" s="8">
        <v>67.290000000000006</v>
      </c>
      <c r="CP240" s="8">
        <v>67.64</v>
      </c>
      <c r="CQ240" s="8">
        <v>94.36</v>
      </c>
      <c r="CR240" s="8">
        <v>58.23</v>
      </c>
      <c r="CS240" s="8">
        <v>62.91</v>
      </c>
      <c r="CT240" s="8">
        <v>58.2</v>
      </c>
      <c r="CU240" s="8">
        <v>47.2</v>
      </c>
      <c r="CV240" s="8">
        <v>64.849999999999994</v>
      </c>
      <c r="CW240" s="8">
        <v>64.849999999999994</v>
      </c>
      <c r="CX240" s="8">
        <v>119.82</v>
      </c>
      <c r="CY240" s="8">
        <v>119.82</v>
      </c>
      <c r="CZ240" s="8">
        <v>45.7</v>
      </c>
      <c r="DA240" s="8">
        <v>125.06</v>
      </c>
      <c r="DB240" s="8">
        <v>76.33</v>
      </c>
      <c r="DC240" s="8">
        <v>209.36</v>
      </c>
      <c r="DD240" s="8">
        <v>511.58</v>
      </c>
      <c r="DE240" s="8">
        <v>75.709999999999994</v>
      </c>
      <c r="DF240" s="8">
        <v>68.209999999999994</v>
      </c>
      <c r="DG240" s="8">
        <v>95.68</v>
      </c>
      <c r="DH240" s="8">
        <v>58.19</v>
      </c>
      <c r="DI240" s="8">
        <v>59.01</v>
      </c>
      <c r="DJ240" s="8">
        <v>55.7</v>
      </c>
      <c r="DK240" s="8">
        <v>54.94</v>
      </c>
      <c r="DL240" s="8">
        <v>62.32</v>
      </c>
      <c r="DM240" s="8">
        <v>92.88</v>
      </c>
      <c r="DN240" s="8">
        <v>125.93</v>
      </c>
      <c r="DO240" s="8">
        <v>53.16</v>
      </c>
      <c r="DP240" s="8">
        <v>44.11</v>
      </c>
      <c r="DQ240" s="8">
        <v>53.05</v>
      </c>
      <c r="DR240" s="8">
        <v>50.6</v>
      </c>
      <c r="DS240" s="8">
        <v>41.94</v>
      </c>
      <c r="DT240" s="8">
        <v>41.94</v>
      </c>
      <c r="DU240" s="8">
        <v>45.59</v>
      </c>
      <c r="DV240" s="8">
        <v>35.61</v>
      </c>
      <c r="DW240" s="8">
        <v>46.42</v>
      </c>
      <c r="DX240" s="8">
        <v>59.45</v>
      </c>
      <c r="DY240" s="8">
        <v>36.450000000000003</v>
      </c>
      <c r="DZ240" s="8">
        <v>36.450000000000003</v>
      </c>
      <c r="EC240" s="8">
        <v>64.55</v>
      </c>
      <c r="ED240" s="9">
        <v>0.5</v>
      </c>
      <c r="EE240" s="9">
        <v>1.8</v>
      </c>
      <c r="EF240" s="9">
        <v>2.2000000000000002</v>
      </c>
      <c r="EG240" s="9">
        <v>3.6</v>
      </c>
      <c r="EH240" s="9">
        <v>1.6</v>
      </c>
      <c r="EI240" s="9">
        <v>2.9</v>
      </c>
      <c r="EJ240" s="9">
        <v>-0.6</v>
      </c>
      <c r="EK240" s="9">
        <v>0.4</v>
      </c>
      <c r="EL240" s="9">
        <v>2</v>
      </c>
      <c r="EM240" s="9">
        <v>-1.4</v>
      </c>
      <c r="EN240" s="9">
        <v>-2.6</v>
      </c>
      <c r="EO240" s="9">
        <v>-0.6</v>
      </c>
      <c r="EP240" s="9">
        <v>0.2</v>
      </c>
      <c r="EQ240" s="9">
        <v>3.3</v>
      </c>
      <c r="ER240" s="9">
        <v>1.9</v>
      </c>
      <c r="ES240" s="9">
        <v>2.2999999999999998</v>
      </c>
      <c r="ET240" s="9">
        <v>2.1</v>
      </c>
      <c r="EU240" s="9">
        <v>0.9</v>
      </c>
      <c r="EV240" s="9">
        <v>6.3</v>
      </c>
      <c r="EW240" s="9">
        <v>5.7</v>
      </c>
      <c r="EX240" s="9">
        <v>6.8</v>
      </c>
      <c r="EY240" s="9">
        <v>1</v>
      </c>
      <c r="EZ240" s="9">
        <v>2.4</v>
      </c>
      <c r="FA240" s="9">
        <v>-0.6</v>
      </c>
      <c r="FB240" s="9">
        <v>-1.6</v>
      </c>
      <c r="FC240" s="9">
        <v>2.8</v>
      </c>
      <c r="FD240" s="9">
        <v>0.9</v>
      </c>
      <c r="FE240" s="9">
        <v>1.9</v>
      </c>
      <c r="FF240" s="9">
        <v>0.7</v>
      </c>
      <c r="FG240" s="9">
        <v>1.4</v>
      </c>
      <c r="FH240" s="9">
        <v>0.5</v>
      </c>
      <c r="FI240" s="9">
        <v>0.9</v>
      </c>
      <c r="FJ240" s="9">
        <v>0.5</v>
      </c>
      <c r="FK240" s="9">
        <v>1.2</v>
      </c>
      <c r="FL240" s="9">
        <v>0.5</v>
      </c>
      <c r="FM240" s="9">
        <v>0.4</v>
      </c>
      <c r="FN240" s="9">
        <v>1</v>
      </c>
      <c r="FO240" s="9">
        <v>0</v>
      </c>
      <c r="FP240" s="9">
        <v>0.5</v>
      </c>
      <c r="FQ240" s="9">
        <v>0.6</v>
      </c>
      <c r="FR240" s="9">
        <v>0.6</v>
      </c>
      <c r="FS240" s="9">
        <v>-0.2</v>
      </c>
      <c r="FT240" s="9">
        <v>-0.5</v>
      </c>
      <c r="FU240" s="9">
        <v>-0.3</v>
      </c>
      <c r="FV240" s="9">
        <v>-0.8</v>
      </c>
      <c r="FW240" s="9">
        <v>-0.5</v>
      </c>
      <c r="FX240" s="9">
        <v>1</v>
      </c>
      <c r="FY240" s="9">
        <v>1.4</v>
      </c>
      <c r="FZ240" s="9">
        <v>1.1000000000000001</v>
      </c>
      <c r="GA240" s="9">
        <v>0.3</v>
      </c>
      <c r="GB240" s="9">
        <v>0.4</v>
      </c>
      <c r="GC240" s="9">
        <v>0.1</v>
      </c>
      <c r="GD240" s="9">
        <v>1.6</v>
      </c>
      <c r="GE240" s="9">
        <v>0.7</v>
      </c>
      <c r="GF240" s="9">
        <v>0.7</v>
      </c>
      <c r="GG240" s="9">
        <v>0.7</v>
      </c>
      <c r="GH240" s="9">
        <v>0.8</v>
      </c>
      <c r="GI240" s="9">
        <v>0.8</v>
      </c>
      <c r="GJ240" s="9">
        <v>0.3</v>
      </c>
      <c r="GK240" s="9">
        <v>0.6</v>
      </c>
      <c r="GL240" s="9">
        <v>0</v>
      </c>
      <c r="GM240" s="9">
        <v>0.8</v>
      </c>
      <c r="GN240" s="9">
        <v>2</v>
      </c>
      <c r="GO240" s="9">
        <v>0.7</v>
      </c>
      <c r="GP240" s="9">
        <v>-0.4</v>
      </c>
      <c r="GQ240" s="9">
        <v>0.6</v>
      </c>
      <c r="GR240" s="9">
        <v>0.5</v>
      </c>
      <c r="GS240" s="9">
        <v>0.5</v>
      </c>
      <c r="GT240" s="9">
        <v>0.5</v>
      </c>
      <c r="GU240" s="9">
        <v>0.3</v>
      </c>
      <c r="GV240" s="9">
        <v>0.3</v>
      </c>
      <c r="GW240" s="9">
        <v>-1.2</v>
      </c>
      <c r="GX240" s="9">
        <v>-1</v>
      </c>
      <c r="GY240" s="9">
        <v>-1.6</v>
      </c>
      <c r="GZ240" s="9">
        <v>-2.1</v>
      </c>
      <c r="HA240" s="9">
        <v>-0.1</v>
      </c>
      <c r="HB240" s="9">
        <v>1.3</v>
      </c>
      <c r="HC240" s="9">
        <v>1.4</v>
      </c>
      <c r="HD240" s="9">
        <v>1.2</v>
      </c>
      <c r="HE240" s="9">
        <v>1.3</v>
      </c>
      <c r="HF240" s="9">
        <v>1.7</v>
      </c>
      <c r="HG240" s="9">
        <v>3.6</v>
      </c>
      <c r="HH240" s="9">
        <v>1</v>
      </c>
      <c r="HI240" s="9">
        <v>1.1000000000000001</v>
      </c>
      <c r="HJ240" s="9">
        <v>-1</v>
      </c>
      <c r="HK240" s="9">
        <v>-4</v>
      </c>
      <c r="HL240" s="9">
        <v>-4.5999999999999996</v>
      </c>
      <c r="HM240" s="9">
        <v>1.3</v>
      </c>
      <c r="HN240" s="9">
        <v>0</v>
      </c>
      <c r="HO240" s="9">
        <v>-0.2</v>
      </c>
      <c r="HP240" s="9">
        <v>0.8</v>
      </c>
      <c r="HQ240" s="9">
        <v>-0.5</v>
      </c>
      <c r="HR240" s="9">
        <v>-0.6</v>
      </c>
      <c r="HS240" s="9">
        <v>-1.1000000000000001</v>
      </c>
      <c r="HT240" s="9">
        <v>1.4</v>
      </c>
      <c r="HU240" s="9">
        <v>-0.9</v>
      </c>
      <c r="HV240" s="9">
        <v>0.6</v>
      </c>
      <c r="HW240" s="9">
        <v>0.2</v>
      </c>
      <c r="HX240" s="9">
        <v>1.1000000000000001</v>
      </c>
      <c r="HY240" s="9">
        <v>1.1000000000000001</v>
      </c>
      <c r="HZ240" s="9">
        <v>-0.7</v>
      </c>
      <c r="IA240" s="9">
        <v>-0.7</v>
      </c>
      <c r="IB240" s="9">
        <v>1</v>
      </c>
      <c r="IC240" s="9">
        <v>-0.8</v>
      </c>
      <c r="ID240" s="9">
        <v>0</v>
      </c>
      <c r="IE240" s="9">
        <v>-2.5</v>
      </c>
      <c r="IF240" s="9">
        <v>-3.4</v>
      </c>
      <c r="IG240" s="9">
        <v>-1.1000000000000001</v>
      </c>
      <c r="IH240" s="9">
        <v>0.2</v>
      </c>
      <c r="II240" s="9">
        <v>0.3</v>
      </c>
      <c r="IJ240" s="9">
        <v>0.1</v>
      </c>
      <c r="IK240" s="9">
        <v>0.8</v>
      </c>
      <c r="IL240" s="9">
        <v>3.4</v>
      </c>
      <c r="IM240" s="9">
        <v>-2.5</v>
      </c>
      <c r="IN240" s="9">
        <v>0.8</v>
      </c>
      <c r="IO240" s="9">
        <v>-1</v>
      </c>
      <c r="IP240" s="9">
        <v>-1.1000000000000001</v>
      </c>
      <c r="IQ240" s="9">
        <v>3.2</v>
      </c>
    </row>
    <row r="241" spans="1:251" x14ac:dyDescent="0.2">
      <c r="A241" s="10">
        <v>38777</v>
      </c>
      <c r="B241" s="8">
        <v>58.72</v>
      </c>
      <c r="C241" s="8">
        <v>59.16</v>
      </c>
      <c r="D241" s="8">
        <v>63.14</v>
      </c>
      <c r="E241" s="8">
        <v>61.58</v>
      </c>
      <c r="F241" s="8">
        <v>60.94</v>
      </c>
      <c r="G241" s="8">
        <v>76.3</v>
      </c>
      <c r="H241" s="8">
        <v>66.59</v>
      </c>
      <c r="I241" s="8">
        <v>60.58</v>
      </c>
      <c r="J241" s="8">
        <v>55.84</v>
      </c>
      <c r="K241" s="8">
        <v>63.56</v>
      </c>
      <c r="L241" s="8">
        <v>52.06</v>
      </c>
      <c r="M241" s="8">
        <v>75.33</v>
      </c>
      <c r="N241" s="8">
        <v>52.89</v>
      </c>
      <c r="O241" s="8">
        <v>62.26</v>
      </c>
      <c r="P241" s="8">
        <v>66.14</v>
      </c>
      <c r="Q241" s="8">
        <v>71.37</v>
      </c>
      <c r="R241" s="8">
        <v>56.92</v>
      </c>
      <c r="S241" s="8">
        <v>67.34</v>
      </c>
      <c r="T241" s="8">
        <v>58.59</v>
      </c>
      <c r="U241" s="8">
        <v>55.64</v>
      </c>
      <c r="V241" s="8">
        <v>61.14</v>
      </c>
      <c r="W241" s="8">
        <v>63</v>
      </c>
      <c r="X241" s="8">
        <v>53.82</v>
      </c>
      <c r="Y241" s="8">
        <v>69.94</v>
      </c>
      <c r="Z241" s="8">
        <v>67.95</v>
      </c>
      <c r="AA241" s="8">
        <v>46.46</v>
      </c>
      <c r="AB241" s="8">
        <v>61.03</v>
      </c>
      <c r="AC241" s="8">
        <v>73.599999999999994</v>
      </c>
      <c r="AD241" s="8">
        <v>58.37</v>
      </c>
      <c r="AE241" s="8">
        <v>63.7</v>
      </c>
      <c r="AF241" s="8">
        <v>57.17</v>
      </c>
      <c r="AG241" s="8">
        <v>55.37</v>
      </c>
      <c r="AH241" s="8">
        <v>58.55</v>
      </c>
      <c r="AI241" s="8">
        <v>52.33</v>
      </c>
      <c r="AJ241" s="8">
        <v>34.380000000000003</v>
      </c>
      <c r="AK241" s="8">
        <v>61.1</v>
      </c>
      <c r="AL241" s="8">
        <v>50.63</v>
      </c>
      <c r="AM241" s="8">
        <v>86.62</v>
      </c>
      <c r="AN241" s="8">
        <v>51.07</v>
      </c>
      <c r="AO241" s="8">
        <v>13.69</v>
      </c>
      <c r="AP241" s="8">
        <v>13.69</v>
      </c>
      <c r="AQ241" s="8">
        <v>96.88</v>
      </c>
      <c r="AR241" s="8">
        <v>113.8</v>
      </c>
      <c r="AS241" s="8">
        <v>105.56</v>
      </c>
      <c r="AT241" s="8">
        <v>122.74</v>
      </c>
      <c r="AU241" s="8">
        <v>99.38</v>
      </c>
      <c r="AV241" s="8">
        <v>105.96</v>
      </c>
      <c r="AW241" s="8">
        <v>106.89</v>
      </c>
      <c r="AX241" s="8">
        <v>109.49</v>
      </c>
      <c r="AY241" s="8">
        <v>95.67</v>
      </c>
      <c r="AZ241" s="8">
        <v>58.64</v>
      </c>
      <c r="BA241" s="8">
        <v>59.14</v>
      </c>
      <c r="BB241" s="8">
        <v>53.35</v>
      </c>
      <c r="BC241" s="8">
        <v>47.93</v>
      </c>
      <c r="BD241" s="8">
        <v>53.32</v>
      </c>
      <c r="BE241" s="8">
        <v>53.32</v>
      </c>
      <c r="BF241" s="8">
        <v>49.25</v>
      </c>
      <c r="BG241" s="8">
        <v>49.24</v>
      </c>
      <c r="BH241" s="8">
        <v>49.15</v>
      </c>
      <c r="BI241" s="8">
        <v>57.55</v>
      </c>
      <c r="BJ241" s="8">
        <v>38.75</v>
      </c>
      <c r="BK241" s="8">
        <v>36.9</v>
      </c>
      <c r="BL241" s="8">
        <v>42.08</v>
      </c>
      <c r="BM241" s="8">
        <v>37.57</v>
      </c>
      <c r="BN241" s="8">
        <v>31.64</v>
      </c>
      <c r="BO241" s="8">
        <v>76.25</v>
      </c>
      <c r="BP241" s="8">
        <v>76.45</v>
      </c>
      <c r="BQ241" s="8">
        <v>79.12</v>
      </c>
      <c r="BR241" s="8">
        <v>64.77</v>
      </c>
      <c r="BS241" s="8">
        <v>115.78</v>
      </c>
      <c r="BT241" s="8">
        <v>115.78</v>
      </c>
      <c r="BU241" s="8">
        <v>100.44</v>
      </c>
      <c r="BV241" s="8">
        <v>106.65</v>
      </c>
      <c r="BW241" s="8">
        <v>103.97</v>
      </c>
      <c r="BX241" s="8">
        <v>111.42</v>
      </c>
      <c r="BY241" s="8">
        <v>76.239999999999995</v>
      </c>
      <c r="BZ241" s="8">
        <v>84.3</v>
      </c>
      <c r="CA241" s="8">
        <v>81.599999999999994</v>
      </c>
      <c r="CB241" s="8">
        <v>103.88</v>
      </c>
      <c r="CC241" s="8">
        <v>72.59</v>
      </c>
      <c r="CD241" s="8">
        <v>54.24</v>
      </c>
      <c r="CE241" s="8">
        <v>72.37</v>
      </c>
      <c r="CF241" s="8">
        <v>54.64</v>
      </c>
      <c r="CG241" s="8">
        <v>47.2</v>
      </c>
      <c r="CH241" s="8">
        <v>44.71</v>
      </c>
      <c r="CI241" s="8">
        <v>84.92</v>
      </c>
      <c r="CJ241" s="8">
        <v>84.63</v>
      </c>
      <c r="CK241" s="8">
        <v>87.56</v>
      </c>
      <c r="CL241" s="8">
        <v>37.35</v>
      </c>
      <c r="CM241" s="8">
        <v>34.85</v>
      </c>
      <c r="CN241" s="8">
        <v>57.54</v>
      </c>
      <c r="CO241" s="8">
        <v>68.17</v>
      </c>
      <c r="CP241" s="8">
        <v>68.53</v>
      </c>
      <c r="CQ241" s="8">
        <v>95.69</v>
      </c>
      <c r="CR241" s="8">
        <v>58.25</v>
      </c>
      <c r="CS241" s="8">
        <v>63.81</v>
      </c>
      <c r="CT241" s="8">
        <v>59.04</v>
      </c>
      <c r="CU241" s="8">
        <v>47.62</v>
      </c>
      <c r="CV241" s="8">
        <v>65.59</v>
      </c>
      <c r="CW241" s="8">
        <v>65.59</v>
      </c>
      <c r="CX241" s="8">
        <v>120.34</v>
      </c>
      <c r="CY241" s="8">
        <v>120.34</v>
      </c>
      <c r="CZ241" s="8">
        <v>45.81</v>
      </c>
      <c r="DA241" s="8">
        <v>125.6</v>
      </c>
      <c r="DB241" s="8">
        <v>76.819999999999993</v>
      </c>
      <c r="DC241" s="8">
        <v>207.81</v>
      </c>
      <c r="DD241" s="8">
        <v>503.72</v>
      </c>
      <c r="DE241" s="8">
        <v>76.03</v>
      </c>
      <c r="DF241" s="8">
        <v>68.290000000000006</v>
      </c>
      <c r="DG241" s="8">
        <v>95.83</v>
      </c>
      <c r="DH241" s="8">
        <v>58.29</v>
      </c>
      <c r="DI241" s="8">
        <v>60</v>
      </c>
      <c r="DJ241" s="8">
        <v>56.26</v>
      </c>
      <c r="DK241" s="8">
        <v>56.36</v>
      </c>
      <c r="DL241" s="8">
        <v>62.67</v>
      </c>
      <c r="DM241" s="8">
        <v>91.97</v>
      </c>
      <c r="DN241" s="8">
        <v>125.47</v>
      </c>
      <c r="DO241" s="8">
        <v>53.26</v>
      </c>
      <c r="DP241" s="8">
        <v>44.62</v>
      </c>
      <c r="DQ241" s="8">
        <v>53.53</v>
      </c>
      <c r="DR241" s="8">
        <v>51.33</v>
      </c>
      <c r="DS241" s="8">
        <v>44.3</v>
      </c>
      <c r="DT241" s="8">
        <v>44.3</v>
      </c>
      <c r="DU241" s="8">
        <v>48.06</v>
      </c>
      <c r="DV241" s="8">
        <v>38.07</v>
      </c>
      <c r="DW241" s="8">
        <v>48.62</v>
      </c>
      <c r="DX241" s="8">
        <v>59.1</v>
      </c>
      <c r="DY241" s="8">
        <v>36.72</v>
      </c>
      <c r="DZ241" s="8">
        <v>36.72</v>
      </c>
      <c r="EC241" s="8">
        <v>64.989999999999995</v>
      </c>
      <c r="ED241" s="9">
        <v>0.9</v>
      </c>
      <c r="EE241" s="9">
        <v>1.5</v>
      </c>
      <c r="EF241" s="9">
        <v>0.8</v>
      </c>
      <c r="EG241" s="9">
        <v>1.6</v>
      </c>
      <c r="EH241" s="9">
        <v>1.2</v>
      </c>
      <c r="EI241" s="9">
        <v>-1.2</v>
      </c>
      <c r="EJ241" s="9">
        <v>-1.8</v>
      </c>
      <c r="EK241" s="9">
        <v>0.9</v>
      </c>
      <c r="EL241" s="9">
        <v>1</v>
      </c>
      <c r="EM241" s="9">
        <v>2.5</v>
      </c>
      <c r="EN241" s="9">
        <v>0.6</v>
      </c>
      <c r="EO241" s="9">
        <v>-1.1000000000000001</v>
      </c>
      <c r="EP241" s="9">
        <v>0.8</v>
      </c>
      <c r="EQ241" s="9">
        <v>2.1</v>
      </c>
      <c r="ER241" s="9">
        <v>0.9</v>
      </c>
      <c r="ES241" s="9">
        <v>0.3</v>
      </c>
      <c r="ET241" s="9">
        <v>1.7</v>
      </c>
      <c r="EU241" s="9">
        <v>1.1000000000000001</v>
      </c>
      <c r="EV241" s="9">
        <v>3.9</v>
      </c>
      <c r="EW241" s="9">
        <v>-0.8</v>
      </c>
      <c r="EX241" s="9">
        <v>7.8</v>
      </c>
      <c r="EY241" s="9">
        <v>1.4</v>
      </c>
      <c r="EZ241" s="9">
        <v>-1.3</v>
      </c>
      <c r="FA241" s="9">
        <v>1.8</v>
      </c>
      <c r="FB241" s="9">
        <v>1.1000000000000001</v>
      </c>
      <c r="FC241" s="9">
        <v>1.8</v>
      </c>
      <c r="FD241" s="9">
        <v>1</v>
      </c>
      <c r="FE241" s="9">
        <v>2.5</v>
      </c>
      <c r="FF241" s="9">
        <v>2.2000000000000002</v>
      </c>
      <c r="FG241" s="9">
        <v>2</v>
      </c>
      <c r="FH241" s="9">
        <v>2.2999999999999998</v>
      </c>
      <c r="FI241" s="9">
        <v>0.8</v>
      </c>
      <c r="FJ241" s="9">
        <v>1</v>
      </c>
      <c r="FK241" s="9">
        <v>0.6</v>
      </c>
      <c r="FL241" s="9">
        <v>1.3</v>
      </c>
      <c r="FM241" s="9">
        <v>1.2</v>
      </c>
      <c r="FN241" s="9">
        <v>1.5</v>
      </c>
      <c r="FO241" s="9">
        <v>0.4</v>
      </c>
      <c r="FP241" s="9">
        <v>1.6</v>
      </c>
      <c r="FQ241" s="9">
        <v>1.4</v>
      </c>
      <c r="FR241" s="9">
        <v>1.4</v>
      </c>
      <c r="FS241" s="9">
        <v>-2.5</v>
      </c>
      <c r="FT241" s="9">
        <v>-2.4</v>
      </c>
      <c r="FU241" s="9">
        <v>-2.7</v>
      </c>
      <c r="FV241" s="9">
        <v>-1.7</v>
      </c>
      <c r="FW241" s="9">
        <v>-4</v>
      </c>
      <c r="FX241" s="9">
        <v>-3.2</v>
      </c>
      <c r="FY241" s="9">
        <v>-2.9</v>
      </c>
      <c r="FZ241" s="9">
        <v>-2.6</v>
      </c>
      <c r="GA241" s="9">
        <v>-5.2</v>
      </c>
      <c r="GB241" s="9">
        <v>-2.5</v>
      </c>
      <c r="GC241" s="9">
        <v>-3.5</v>
      </c>
      <c r="GD241" s="9">
        <v>0.8</v>
      </c>
      <c r="GE241" s="9">
        <v>0.6</v>
      </c>
      <c r="GF241" s="9">
        <v>0.8</v>
      </c>
      <c r="GG241" s="9">
        <v>0.8</v>
      </c>
      <c r="GH241" s="9">
        <v>0.3</v>
      </c>
      <c r="GI241" s="9">
        <v>0.3</v>
      </c>
      <c r="GJ241" s="9">
        <v>0.3</v>
      </c>
      <c r="GK241" s="9">
        <v>0.4</v>
      </c>
      <c r="GL241" s="9">
        <v>0</v>
      </c>
      <c r="GM241" s="9">
        <v>1.6</v>
      </c>
      <c r="GN241" s="9">
        <v>1</v>
      </c>
      <c r="GO241" s="9">
        <v>1.5</v>
      </c>
      <c r="GP241" s="9">
        <v>2.4</v>
      </c>
      <c r="GQ241" s="9">
        <v>-0.4</v>
      </c>
      <c r="GR241" s="9">
        <v>-2.5</v>
      </c>
      <c r="GS241" s="9">
        <v>-3.2</v>
      </c>
      <c r="GT241" s="9">
        <v>-0.2</v>
      </c>
      <c r="GU241" s="9">
        <v>-1.6</v>
      </c>
      <c r="GV241" s="9">
        <v>-1.6</v>
      </c>
      <c r="GW241" s="9">
        <v>-1.1000000000000001</v>
      </c>
      <c r="GX241" s="9">
        <v>-0.8</v>
      </c>
      <c r="GY241" s="9">
        <v>-0.9</v>
      </c>
      <c r="GZ241" s="9">
        <v>-2</v>
      </c>
      <c r="HA241" s="9">
        <v>-0.4</v>
      </c>
      <c r="HB241" s="9">
        <v>0.7</v>
      </c>
      <c r="HC241" s="9">
        <v>-0.7</v>
      </c>
      <c r="HD241" s="9">
        <v>1.1000000000000001</v>
      </c>
      <c r="HE241" s="9">
        <v>0.7</v>
      </c>
      <c r="HF241" s="9">
        <v>2</v>
      </c>
      <c r="HG241" s="9">
        <v>5</v>
      </c>
      <c r="HH241" s="9">
        <v>1</v>
      </c>
      <c r="HI241" s="9">
        <v>1</v>
      </c>
      <c r="HJ241" s="9">
        <v>4.4000000000000004</v>
      </c>
      <c r="HK241" s="9">
        <v>12.9</v>
      </c>
      <c r="HL241" s="9">
        <v>14.3</v>
      </c>
      <c r="HM241" s="9">
        <v>0.7</v>
      </c>
      <c r="HN241" s="9">
        <v>1.5</v>
      </c>
      <c r="HO241" s="9">
        <v>1.4</v>
      </c>
      <c r="HP241" s="9">
        <v>2.1</v>
      </c>
      <c r="HQ241" s="9">
        <v>1.3</v>
      </c>
      <c r="HR241" s="9">
        <v>1.3</v>
      </c>
      <c r="HS241" s="9">
        <v>1.4</v>
      </c>
      <c r="HT241" s="9">
        <v>0</v>
      </c>
      <c r="HU241" s="9">
        <v>1.4</v>
      </c>
      <c r="HV241" s="9">
        <v>1.4</v>
      </c>
      <c r="HW241" s="9">
        <v>0.9</v>
      </c>
      <c r="HX241" s="9">
        <v>1.1000000000000001</v>
      </c>
      <c r="HY241" s="9">
        <v>1.1000000000000001</v>
      </c>
      <c r="HZ241" s="9">
        <v>0.4</v>
      </c>
      <c r="IA241" s="9">
        <v>0.4</v>
      </c>
      <c r="IB241" s="9">
        <v>0.2</v>
      </c>
      <c r="IC241" s="9">
        <v>0.4</v>
      </c>
      <c r="ID241" s="9">
        <v>0.6</v>
      </c>
      <c r="IE241" s="9">
        <v>-0.7</v>
      </c>
      <c r="IF241" s="9">
        <v>-1.5</v>
      </c>
      <c r="IG241" s="9">
        <v>0.4</v>
      </c>
      <c r="IH241" s="9">
        <v>0.1</v>
      </c>
      <c r="II241" s="9">
        <v>0.2</v>
      </c>
      <c r="IJ241" s="9">
        <v>0.2</v>
      </c>
      <c r="IK241" s="9">
        <v>1.7</v>
      </c>
      <c r="IL241" s="9">
        <v>1</v>
      </c>
      <c r="IM241" s="9">
        <v>2.6</v>
      </c>
      <c r="IN241" s="9">
        <v>0.6</v>
      </c>
      <c r="IO241" s="9">
        <v>-1</v>
      </c>
      <c r="IP241" s="9">
        <v>-0.4</v>
      </c>
      <c r="IQ241" s="9">
        <v>0.2</v>
      </c>
    </row>
    <row r="242" spans="1:251" x14ac:dyDescent="0.2">
      <c r="A242" s="10">
        <v>38869</v>
      </c>
      <c r="B242" s="8">
        <v>59.65</v>
      </c>
      <c r="C242" s="8">
        <v>61.58</v>
      </c>
      <c r="D242" s="8">
        <v>63.96</v>
      </c>
      <c r="E242" s="8">
        <v>62.16</v>
      </c>
      <c r="F242" s="8">
        <v>61.52</v>
      </c>
      <c r="G242" s="8">
        <v>78.66</v>
      </c>
      <c r="H242" s="8">
        <v>67.98</v>
      </c>
      <c r="I242" s="8">
        <v>61.12</v>
      </c>
      <c r="J242" s="8">
        <v>56.34</v>
      </c>
      <c r="K242" s="8">
        <v>63.35</v>
      </c>
      <c r="L242" s="8">
        <v>53.24</v>
      </c>
      <c r="M242" s="8">
        <v>75.849999999999994</v>
      </c>
      <c r="N242" s="8">
        <v>54.46</v>
      </c>
      <c r="O242" s="8">
        <v>61.95</v>
      </c>
      <c r="P242" s="8">
        <v>66.819999999999993</v>
      </c>
      <c r="Q242" s="8">
        <v>72.06</v>
      </c>
      <c r="R242" s="8">
        <v>57.45</v>
      </c>
      <c r="S242" s="8">
        <v>68.17</v>
      </c>
      <c r="T242" s="8">
        <v>71.97</v>
      </c>
      <c r="U242" s="8">
        <v>84.57</v>
      </c>
      <c r="V242" s="8">
        <v>61.26</v>
      </c>
      <c r="W242" s="8">
        <v>63.49</v>
      </c>
      <c r="X242" s="8">
        <v>56.02</v>
      </c>
      <c r="Y242" s="8">
        <v>68.59</v>
      </c>
      <c r="Z242" s="8">
        <v>68.290000000000006</v>
      </c>
      <c r="AA242" s="8">
        <v>46.98</v>
      </c>
      <c r="AB242" s="8">
        <v>62.3</v>
      </c>
      <c r="AC242" s="8">
        <v>72.36</v>
      </c>
      <c r="AD242" s="8">
        <v>58.77</v>
      </c>
      <c r="AE242" s="8">
        <v>64.209999999999994</v>
      </c>
      <c r="AF242" s="8">
        <v>57.55</v>
      </c>
      <c r="AG242" s="8">
        <v>55.77</v>
      </c>
      <c r="AH242" s="8">
        <v>58.89</v>
      </c>
      <c r="AI242" s="8">
        <v>52.76</v>
      </c>
      <c r="AJ242" s="8">
        <v>34.68</v>
      </c>
      <c r="AK242" s="8">
        <v>61.55</v>
      </c>
      <c r="AL242" s="8">
        <v>51.04</v>
      </c>
      <c r="AM242" s="8">
        <v>87.22</v>
      </c>
      <c r="AN242" s="8">
        <v>51.43</v>
      </c>
      <c r="AO242" s="8">
        <v>13.85</v>
      </c>
      <c r="AP242" s="8">
        <v>13.85</v>
      </c>
      <c r="AQ242" s="8">
        <v>97.72</v>
      </c>
      <c r="AR242" s="8">
        <v>114.11</v>
      </c>
      <c r="AS242" s="8">
        <v>107.84</v>
      </c>
      <c r="AT242" s="8">
        <v>121.14</v>
      </c>
      <c r="AU242" s="8">
        <v>101.69</v>
      </c>
      <c r="AV242" s="8">
        <v>108.61</v>
      </c>
      <c r="AW242" s="8">
        <v>107.7</v>
      </c>
      <c r="AX242" s="8">
        <v>112.56</v>
      </c>
      <c r="AY242" s="8">
        <v>99.67</v>
      </c>
      <c r="AZ242" s="8">
        <v>59.55</v>
      </c>
      <c r="BA242" s="8">
        <v>60.25</v>
      </c>
      <c r="BB242" s="8">
        <v>53.57</v>
      </c>
      <c r="BC242" s="8">
        <v>48.28</v>
      </c>
      <c r="BD242" s="8">
        <v>53.81</v>
      </c>
      <c r="BE242" s="8">
        <v>53.81</v>
      </c>
      <c r="BF242" s="8">
        <v>49.81</v>
      </c>
      <c r="BG242" s="8">
        <v>49.8</v>
      </c>
      <c r="BH242" s="8">
        <v>49.5</v>
      </c>
      <c r="BI242" s="8">
        <v>58.16</v>
      </c>
      <c r="BJ242" s="8">
        <v>38.75</v>
      </c>
      <c r="BK242" s="8">
        <v>36.700000000000003</v>
      </c>
      <c r="BL242" s="8">
        <v>42.08</v>
      </c>
      <c r="BM242" s="8">
        <v>37.119999999999997</v>
      </c>
      <c r="BN242" s="8">
        <v>31.73</v>
      </c>
      <c r="BO242" s="8">
        <v>76.83</v>
      </c>
      <c r="BP242" s="8">
        <v>77.33</v>
      </c>
      <c r="BQ242" s="8">
        <v>80.150000000000006</v>
      </c>
      <c r="BR242" s="8">
        <v>65.22</v>
      </c>
      <c r="BS242" s="8">
        <v>115.89</v>
      </c>
      <c r="BT242" s="8">
        <v>115.89</v>
      </c>
      <c r="BU242" s="8">
        <v>101.41</v>
      </c>
      <c r="BV242" s="8">
        <v>106.57</v>
      </c>
      <c r="BW242" s="8">
        <v>104.16</v>
      </c>
      <c r="BX242" s="8">
        <v>115.2</v>
      </c>
      <c r="BY242" s="8">
        <v>76.510000000000005</v>
      </c>
      <c r="BZ242" s="8">
        <v>84.37</v>
      </c>
      <c r="CA242" s="8">
        <v>82.81</v>
      </c>
      <c r="CB242" s="8">
        <v>103.89</v>
      </c>
      <c r="CC242" s="8">
        <v>72.47</v>
      </c>
      <c r="CD242" s="8">
        <v>54.94</v>
      </c>
      <c r="CE242" s="8">
        <v>73.7</v>
      </c>
      <c r="CF242" s="8">
        <v>55.11</v>
      </c>
      <c r="CG242" s="8">
        <v>47.87</v>
      </c>
      <c r="CH242" s="8">
        <v>45.79</v>
      </c>
      <c r="CI242" s="8">
        <v>84.55</v>
      </c>
      <c r="CJ242" s="8">
        <v>84.21</v>
      </c>
      <c r="CK242" s="8">
        <v>87.58</v>
      </c>
      <c r="CL242" s="8">
        <v>38.65</v>
      </c>
      <c r="CM242" s="8">
        <v>36.25</v>
      </c>
      <c r="CN242" s="8">
        <v>58.32</v>
      </c>
      <c r="CO242" s="8">
        <v>70.47</v>
      </c>
      <c r="CP242" s="8">
        <v>70.98</v>
      </c>
      <c r="CQ242" s="8">
        <v>94.78</v>
      </c>
      <c r="CR242" s="8">
        <v>58.99</v>
      </c>
      <c r="CS242" s="8">
        <v>70.97</v>
      </c>
      <c r="CT242" s="8">
        <v>59.58</v>
      </c>
      <c r="CU242" s="8">
        <v>47.84</v>
      </c>
      <c r="CV242" s="8">
        <v>65.59</v>
      </c>
      <c r="CW242" s="8">
        <v>65.59</v>
      </c>
      <c r="CX242" s="8">
        <v>120.46</v>
      </c>
      <c r="CY242" s="8">
        <v>120.46</v>
      </c>
      <c r="CZ242" s="8">
        <v>46.04</v>
      </c>
      <c r="DA242" s="8">
        <v>125.71</v>
      </c>
      <c r="DB242" s="8">
        <v>76.52</v>
      </c>
      <c r="DC242" s="8">
        <v>205.03</v>
      </c>
      <c r="DD242" s="8">
        <v>492.07</v>
      </c>
      <c r="DE242" s="8">
        <v>75.87</v>
      </c>
      <c r="DF242" s="8">
        <v>68.510000000000005</v>
      </c>
      <c r="DG242" s="8">
        <v>95.3</v>
      </c>
      <c r="DH242" s="8">
        <v>58.75</v>
      </c>
      <c r="DI242" s="8">
        <v>59.84</v>
      </c>
      <c r="DJ242" s="8">
        <v>55.77</v>
      </c>
      <c r="DK242" s="8">
        <v>56.67</v>
      </c>
      <c r="DL242" s="8">
        <v>62.62</v>
      </c>
      <c r="DM242" s="8">
        <v>90.59</v>
      </c>
      <c r="DN242" s="8">
        <v>125.17</v>
      </c>
      <c r="DO242" s="8">
        <v>52.95</v>
      </c>
      <c r="DP242" s="8">
        <v>44.82</v>
      </c>
      <c r="DQ242" s="8">
        <v>53.6</v>
      </c>
      <c r="DR242" s="8">
        <v>51.58</v>
      </c>
      <c r="DS242" s="8">
        <v>44.32</v>
      </c>
      <c r="DT242" s="8">
        <v>44.32</v>
      </c>
      <c r="DU242" s="8">
        <v>48.19</v>
      </c>
      <c r="DV242" s="8">
        <v>38.07</v>
      </c>
      <c r="DW242" s="8">
        <v>48.62</v>
      </c>
      <c r="DX242" s="8">
        <v>59.8</v>
      </c>
      <c r="DY242" s="8">
        <v>37.04</v>
      </c>
      <c r="DZ242" s="8">
        <v>37.04</v>
      </c>
      <c r="EC242" s="8">
        <v>65.62</v>
      </c>
      <c r="ED242" s="9">
        <v>1.6</v>
      </c>
      <c r="EE242" s="9">
        <v>4.0999999999999996</v>
      </c>
      <c r="EF242" s="9">
        <v>1.3</v>
      </c>
      <c r="EG242" s="9">
        <v>0.9</v>
      </c>
      <c r="EH242" s="9">
        <v>1</v>
      </c>
      <c r="EI242" s="9">
        <v>3.1</v>
      </c>
      <c r="EJ242" s="9">
        <v>2.1</v>
      </c>
      <c r="EK242" s="9">
        <v>0.9</v>
      </c>
      <c r="EL242" s="9">
        <v>0.9</v>
      </c>
      <c r="EM242" s="9">
        <v>-0.3</v>
      </c>
      <c r="EN242" s="9">
        <v>2.2999999999999998</v>
      </c>
      <c r="EO242" s="9">
        <v>0.7</v>
      </c>
      <c r="EP242" s="9">
        <v>3</v>
      </c>
      <c r="EQ242" s="9">
        <v>-0.5</v>
      </c>
      <c r="ER242" s="9">
        <v>1</v>
      </c>
      <c r="ES242" s="9">
        <v>1</v>
      </c>
      <c r="ET242" s="9">
        <v>0.9</v>
      </c>
      <c r="EU242" s="9">
        <v>1.2</v>
      </c>
      <c r="EV242" s="9">
        <v>22.8</v>
      </c>
      <c r="EW242" s="9">
        <v>52</v>
      </c>
      <c r="EX242" s="9">
        <v>0.2</v>
      </c>
      <c r="EY242" s="9">
        <v>0.8</v>
      </c>
      <c r="EZ242" s="9">
        <v>4.0999999999999996</v>
      </c>
      <c r="FA242" s="9">
        <v>-1.9</v>
      </c>
      <c r="FB242" s="9">
        <v>0.5</v>
      </c>
      <c r="FC242" s="9">
        <v>1.1000000000000001</v>
      </c>
      <c r="FD242" s="9">
        <v>2.1</v>
      </c>
      <c r="FE242" s="9">
        <v>-1.7</v>
      </c>
      <c r="FF242" s="9">
        <v>0.7</v>
      </c>
      <c r="FG242" s="9">
        <v>0.8</v>
      </c>
      <c r="FH242" s="9">
        <v>0.7</v>
      </c>
      <c r="FI242" s="9">
        <v>0.7</v>
      </c>
      <c r="FJ242" s="9">
        <v>0.6</v>
      </c>
      <c r="FK242" s="9">
        <v>0.8</v>
      </c>
      <c r="FL242" s="9">
        <v>0.9</v>
      </c>
      <c r="FM242" s="9">
        <v>0.7</v>
      </c>
      <c r="FN242" s="9">
        <v>0.8</v>
      </c>
      <c r="FO242" s="9">
        <v>0.7</v>
      </c>
      <c r="FP242" s="9">
        <v>0.7</v>
      </c>
      <c r="FQ242" s="9">
        <v>1.2</v>
      </c>
      <c r="FR242" s="9">
        <v>1.2</v>
      </c>
      <c r="FS242" s="9">
        <v>0.9</v>
      </c>
      <c r="FT242" s="9">
        <v>0.3</v>
      </c>
      <c r="FU242" s="9">
        <v>2.2000000000000002</v>
      </c>
      <c r="FV242" s="9">
        <v>-1.3</v>
      </c>
      <c r="FW242" s="9">
        <v>2.2999999999999998</v>
      </c>
      <c r="FX242" s="9">
        <v>2.5</v>
      </c>
      <c r="FY242" s="9">
        <v>0.8</v>
      </c>
      <c r="FZ242" s="9">
        <v>2.8</v>
      </c>
      <c r="GA242" s="9">
        <v>4.2</v>
      </c>
      <c r="GB242" s="9">
        <v>1.6</v>
      </c>
      <c r="GC242" s="9">
        <v>1.9</v>
      </c>
      <c r="GD242" s="9">
        <v>0.4</v>
      </c>
      <c r="GE242" s="9">
        <v>0.7</v>
      </c>
      <c r="GF242" s="9">
        <v>0.9</v>
      </c>
      <c r="GG242" s="9">
        <v>0.9</v>
      </c>
      <c r="GH242" s="9">
        <v>1.1000000000000001</v>
      </c>
      <c r="GI242" s="9">
        <v>1.1000000000000001</v>
      </c>
      <c r="GJ242" s="9">
        <v>0.7</v>
      </c>
      <c r="GK242" s="9">
        <v>1.1000000000000001</v>
      </c>
      <c r="GL242" s="9">
        <v>0</v>
      </c>
      <c r="GM242" s="9">
        <v>-0.5</v>
      </c>
      <c r="GN242" s="9">
        <v>0</v>
      </c>
      <c r="GO242" s="9">
        <v>-1.2</v>
      </c>
      <c r="GP242" s="9">
        <v>0.3</v>
      </c>
      <c r="GQ242" s="9">
        <v>0.8</v>
      </c>
      <c r="GR242" s="9">
        <v>1.2</v>
      </c>
      <c r="GS242" s="9">
        <v>1.3</v>
      </c>
      <c r="GT242" s="9">
        <v>0.7</v>
      </c>
      <c r="GU242" s="9">
        <v>0.1</v>
      </c>
      <c r="GV242" s="9">
        <v>0.1</v>
      </c>
      <c r="GW242" s="9">
        <v>1</v>
      </c>
      <c r="GX242" s="9">
        <v>-0.1</v>
      </c>
      <c r="GY242" s="9">
        <v>0.2</v>
      </c>
      <c r="GZ242" s="9">
        <v>3.4</v>
      </c>
      <c r="HA242" s="9">
        <v>0.4</v>
      </c>
      <c r="HB242" s="9">
        <v>0.1</v>
      </c>
      <c r="HC242" s="9">
        <v>1.5</v>
      </c>
      <c r="HD242" s="9">
        <v>0</v>
      </c>
      <c r="HE242" s="9">
        <v>-0.2</v>
      </c>
      <c r="HF242" s="9">
        <v>1.3</v>
      </c>
      <c r="HG242" s="9">
        <v>1.8</v>
      </c>
      <c r="HH242" s="9">
        <v>0.9</v>
      </c>
      <c r="HI242" s="9">
        <v>1.4</v>
      </c>
      <c r="HJ242" s="9">
        <v>2.4</v>
      </c>
      <c r="HK242" s="9">
        <v>-0.4</v>
      </c>
      <c r="HL242" s="9">
        <v>-0.5</v>
      </c>
      <c r="HM242" s="9">
        <v>0</v>
      </c>
      <c r="HN242" s="9">
        <v>3.5</v>
      </c>
      <c r="HO242" s="9">
        <v>4</v>
      </c>
      <c r="HP242" s="9">
        <v>1.4</v>
      </c>
      <c r="HQ242" s="9">
        <v>3.4</v>
      </c>
      <c r="HR242" s="9">
        <v>3.6</v>
      </c>
      <c r="HS242" s="9">
        <v>-1</v>
      </c>
      <c r="HT242" s="9">
        <v>1.3</v>
      </c>
      <c r="HU242" s="9">
        <v>11.2</v>
      </c>
      <c r="HV242" s="9">
        <v>0.9</v>
      </c>
      <c r="HW242" s="9">
        <v>0.5</v>
      </c>
      <c r="HX242" s="9">
        <v>0</v>
      </c>
      <c r="HY242" s="9">
        <v>0</v>
      </c>
      <c r="HZ242" s="9">
        <v>0.1</v>
      </c>
      <c r="IA242" s="9">
        <v>0.1</v>
      </c>
      <c r="IB242" s="9">
        <v>0.5</v>
      </c>
      <c r="IC242" s="9">
        <v>0.1</v>
      </c>
      <c r="ID242" s="9">
        <v>-0.4</v>
      </c>
      <c r="IE242" s="9">
        <v>-1.3</v>
      </c>
      <c r="IF242" s="9">
        <v>-2.2999999999999998</v>
      </c>
      <c r="IG242" s="9">
        <v>-0.2</v>
      </c>
      <c r="IH242" s="9">
        <v>0.3</v>
      </c>
      <c r="II242" s="9">
        <v>-0.6</v>
      </c>
      <c r="IJ242" s="9">
        <v>0.8</v>
      </c>
      <c r="IK242" s="9">
        <v>-0.3</v>
      </c>
      <c r="IL242" s="9">
        <v>-0.9</v>
      </c>
      <c r="IM242" s="9">
        <v>0.6</v>
      </c>
      <c r="IN242" s="9">
        <v>-0.1</v>
      </c>
      <c r="IO242" s="9">
        <v>-1.5</v>
      </c>
      <c r="IP242" s="9">
        <v>-0.2</v>
      </c>
      <c r="IQ242" s="9">
        <v>-0.6</v>
      </c>
    </row>
    <row r="243" spans="1:251" x14ac:dyDescent="0.2">
      <c r="A243" s="10">
        <v>38961</v>
      </c>
      <c r="B243" s="8">
        <v>60.18</v>
      </c>
      <c r="C243" s="8">
        <v>62.99</v>
      </c>
      <c r="D243" s="8">
        <v>64.47</v>
      </c>
      <c r="E243" s="8">
        <v>63.22</v>
      </c>
      <c r="F243" s="8">
        <v>61.72</v>
      </c>
      <c r="G243" s="8">
        <v>78.98</v>
      </c>
      <c r="H243" s="8">
        <v>67.78</v>
      </c>
      <c r="I243" s="8">
        <v>60.91</v>
      </c>
      <c r="J243" s="8">
        <v>56.16</v>
      </c>
      <c r="K243" s="8">
        <v>63.77</v>
      </c>
      <c r="L243" s="8">
        <v>53.53</v>
      </c>
      <c r="M243" s="8">
        <v>74.150000000000006</v>
      </c>
      <c r="N243" s="8">
        <v>54.39</v>
      </c>
      <c r="O243" s="8">
        <v>61.93</v>
      </c>
      <c r="P243" s="8">
        <v>67.39</v>
      </c>
      <c r="Q243" s="8">
        <v>72.64</v>
      </c>
      <c r="R243" s="8">
        <v>58.16</v>
      </c>
      <c r="S243" s="8">
        <v>68.52</v>
      </c>
      <c r="T243" s="8">
        <v>78.19</v>
      </c>
      <c r="U243" s="8">
        <v>101.91</v>
      </c>
      <c r="V243" s="8">
        <v>58.01</v>
      </c>
      <c r="W243" s="8">
        <v>64.56</v>
      </c>
      <c r="X243" s="8">
        <v>56.73</v>
      </c>
      <c r="Y243" s="8">
        <v>71.38</v>
      </c>
      <c r="Z243" s="8">
        <v>69.599999999999994</v>
      </c>
      <c r="AA243" s="8">
        <v>48.89</v>
      </c>
      <c r="AB243" s="8">
        <v>62.82</v>
      </c>
      <c r="AC243" s="8">
        <v>73.78</v>
      </c>
      <c r="AD243" s="8">
        <v>60.5</v>
      </c>
      <c r="AE243" s="8">
        <v>65.42</v>
      </c>
      <c r="AF243" s="8">
        <v>59.39</v>
      </c>
      <c r="AG243" s="8">
        <v>56.26</v>
      </c>
      <c r="AH243" s="8">
        <v>59.4</v>
      </c>
      <c r="AI243" s="8">
        <v>53.24</v>
      </c>
      <c r="AJ243" s="8">
        <v>34.880000000000003</v>
      </c>
      <c r="AK243" s="8">
        <v>61.62</v>
      </c>
      <c r="AL243" s="8">
        <v>51.5</v>
      </c>
      <c r="AM243" s="8">
        <v>86.05</v>
      </c>
      <c r="AN243" s="8">
        <v>51.9</v>
      </c>
      <c r="AO243" s="8">
        <v>14.04</v>
      </c>
      <c r="AP243" s="8">
        <v>14.04</v>
      </c>
      <c r="AQ243" s="8">
        <v>97.83</v>
      </c>
      <c r="AR243" s="8">
        <v>114.01</v>
      </c>
      <c r="AS243" s="8">
        <v>107.42</v>
      </c>
      <c r="AT243" s="8">
        <v>120.88</v>
      </c>
      <c r="AU243" s="8">
        <v>102.63</v>
      </c>
      <c r="AV243" s="8">
        <v>109.61</v>
      </c>
      <c r="AW243" s="8">
        <v>108.58</v>
      </c>
      <c r="AX243" s="8">
        <v>114.31</v>
      </c>
      <c r="AY243" s="8">
        <v>98.97</v>
      </c>
      <c r="AZ243" s="8">
        <v>59.58</v>
      </c>
      <c r="BA243" s="8">
        <v>59.99</v>
      </c>
      <c r="BB243" s="8">
        <v>54.44</v>
      </c>
      <c r="BC243" s="8">
        <v>48.86</v>
      </c>
      <c r="BD243" s="8">
        <v>54.33</v>
      </c>
      <c r="BE243" s="8">
        <v>54.33</v>
      </c>
      <c r="BF243" s="8">
        <v>49.91</v>
      </c>
      <c r="BG243" s="8">
        <v>49.91</v>
      </c>
      <c r="BH243" s="8">
        <v>50.65</v>
      </c>
      <c r="BI243" s="8">
        <v>58.46</v>
      </c>
      <c r="BJ243" s="8">
        <v>40.93</v>
      </c>
      <c r="BK243" s="8">
        <v>37.770000000000003</v>
      </c>
      <c r="BL243" s="8">
        <v>44.05</v>
      </c>
      <c r="BM243" s="8">
        <v>37.94</v>
      </c>
      <c r="BN243" s="8">
        <v>32.54</v>
      </c>
      <c r="BO243" s="8">
        <v>77.83</v>
      </c>
      <c r="BP243" s="8">
        <v>78.209999999999994</v>
      </c>
      <c r="BQ243" s="8">
        <v>81.25</v>
      </c>
      <c r="BR243" s="8">
        <v>65.569999999999993</v>
      </c>
      <c r="BS243" s="8">
        <v>118.32</v>
      </c>
      <c r="BT243" s="8">
        <v>118.32</v>
      </c>
      <c r="BU243" s="8">
        <v>101.12</v>
      </c>
      <c r="BV243" s="8">
        <v>104.54</v>
      </c>
      <c r="BW243" s="8">
        <v>104.38</v>
      </c>
      <c r="BX243" s="8">
        <v>116.73</v>
      </c>
      <c r="BY243" s="8">
        <v>76.73</v>
      </c>
      <c r="BZ243" s="8">
        <v>85.82</v>
      </c>
      <c r="CA243" s="8">
        <v>83.39</v>
      </c>
      <c r="CB243" s="8">
        <v>104.5</v>
      </c>
      <c r="CC243" s="8">
        <v>74.569999999999993</v>
      </c>
      <c r="CD243" s="8">
        <v>56.05</v>
      </c>
      <c r="CE243" s="8">
        <v>76.09</v>
      </c>
      <c r="CF243" s="8">
        <v>55.68</v>
      </c>
      <c r="CG243" s="8">
        <v>48.94</v>
      </c>
      <c r="CH243" s="8">
        <v>45.46</v>
      </c>
      <c r="CI243" s="8">
        <v>80.760000000000005</v>
      </c>
      <c r="CJ243" s="8">
        <v>80.040000000000006</v>
      </c>
      <c r="CK243" s="8">
        <v>87.84</v>
      </c>
      <c r="CL243" s="8">
        <v>38.89</v>
      </c>
      <c r="CM243" s="8">
        <v>36.39</v>
      </c>
      <c r="CN243" s="8">
        <v>59.17</v>
      </c>
      <c r="CO243" s="8">
        <v>70.72</v>
      </c>
      <c r="CP243" s="8">
        <v>71.150000000000006</v>
      </c>
      <c r="CQ243" s="8">
        <v>95.57</v>
      </c>
      <c r="CR243" s="8">
        <v>59.38</v>
      </c>
      <c r="CS243" s="8">
        <v>70.14</v>
      </c>
      <c r="CT243" s="8">
        <v>59.97</v>
      </c>
      <c r="CU243" s="8">
        <v>49.15</v>
      </c>
      <c r="CV243" s="8">
        <v>67.19</v>
      </c>
      <c r="CW243" s="8">
        <v>67.19</v>
      </c>
      <c r="CX243" s="8">
        <v>121.19</v>
      </c>
      <c r="CY243" s="8">
        <v>121.19</v>
      </c>
      <c r="CZ243" s="8">
        <v>46.19</v>
      </c>
      <c r="DA243" s="8">
        <v>126.49</v>
      </c>
      <c r="DB243" s="8">
        <v>77.11</v>
      </c>
      <c r="DC243" s="8">
        <v>202.25</v>
      </c>
      <c r="DD243" s="8">
        <v>484.35</v>
      </c>
      <c r="DE243" s="8">
        <v>75.13</v>
      </c>
      <c r="DF243" s="8">
        <v>68.81</v>
      </c>
      <c r="DG243" s="8">
        <v>96.14</v>
      </c>
      <c r="DH243" s="8">
        <v>58.85</v>
      </c>
      <c r="DI243" s="8">
        <v>60.61</v>
      </c>
      <c r="DJ243" s="8">
        <v>56.44</v>
      </c>
      <c r="DK243" s="8">
        <v>57.46</v>
      </c>
      <c r="DL243" s="8">
        <v>63.63</v>
      </c>
      <c r="DM243" s="8">
        <v>91.09</v>
      </c>
      <c r="DN243" s="8">
        <v>124.47</v>
      </c>
      <c r="DO243" s="8">
        <v>54.88</v>
      </c>
      <c r="DP243" s="8">
        <v>45.37</v>
      </c>
      <c r="DQ243" s="8">
        <v>54.54</v>
      </c>
      <c r="DR243" s="8">
        <v>52.8</v>
      </c>
      <c r="DS243" s="8">
        <v>43.93</v>
      </c>
      <c r="DT243" s="8">
        <v>43.93</v>
      </c>
      <c r="DU243" s="8">
        <v>48.56</v>
      </c>
      <c r="DV243" s="8">
        <v>38.07</v>
      </c>
      <c r="DW243" s="8">
        <v>47.53</v>
      </c>
      <c r="DX243" s="8">
        <v>60.01</v>
      </c>
      <c r="DY243" s="8">
        <v>37.840000000000003</v>
      </c>
      <c r="DZ243" s="8">
        <v>37.840000000000003</v>
      </c>
      <c r="EC243" s="8">
        <v>66.11</v>
      </c>
      <c r="ED243" s="9">
        <v>0.9</v>
      </c>
      <c r="EE243" s="9">
        <v>2.2999999999999998</v>
      </c>
      <c r="EF243" s="9">
        <v>0.8</v>
      </c>
      <c r="EG243" s="9">
        <v>1.7</v>
      </c>
      <c r="EH243" s="9">
        <v>0.3</v>
      </c>
      <c r="EI243" s="9">
        <v>0.4</v>
      </c>
      <c r="EJ243" s="9">
        <v>-0.3</v>
      </c>
      <c r="EK243" s="9">
        <v>-0.3</v>
      </c>
      <c r="EL243" s="9">
        <v>-0.3</v>
      </c>
      <c r="EM243" s="9">
        <v>0.7</v>
      </c>
      <c r="EN243" s="9">
        <v>0.5</v>
      </c>
      <c r="EO243" s="9">
        <v>-2.2000000000000002</v>
      </c>
      <c r="EP243" s="9">
        <v>-0.1</v>
      </c>
      <c r="EQ243" s="9">
        <v>0</v>
      </c>
      <c r="ER243" s="9">
        <v>0.9</v>
      </c>
      <c r="ES243" s="9">
        <v>0.8</v>
      </c>
      <c r="ET243" s="9">
        <v>1.2</v>
      </c>
      <c r="EU243" s="9">
        <v>0.5</v>
      </c>
      <c r="EV243" s="9">
        <v>8.6</v>
      </c>
      <c r="EW243" s="9">
        <v>20.5</v>
      </c>
      <c r="EX243" s="9">
        <v>-5.3</v>
      </c>
      <c r="EY243" s="9">
        <v>1.7</v>
      </c>
      <c r="EZ243" s="9">
        <v>1.3</v>
      </c>
      <c r="FA243" s="9">
        <v>4.0999999999999996</v>
      </c>
      <c r="FB243" s="9">
        <v>1.9</v>
      </c>
      <c r="FC243" s="9">
        <v>4.0999999999999996</v>
      </c>
      <c r="FD243" s="9">
        <v>0.8</v>
      </c>
      <c r="FE243" s="9">
        <v>2</v>
      </c>
      <c r="FF243" s="9">
        <v>2.9</v>
      </c>
      <c r="FG243" s="9">
        <v>1.9</v>
      </c>
      <c r="FH243" s="9">
        <v>3.2</v>
      </c>
      <c r="FI243" s="9">
        <v>0.9</v>
      </c>
      <c r="FJ243" s="9">
        <v>0.9</v>
      </c>
      <c r="FK243" s="9">
        <v>0.9</v>
      </c>
      <c r="FL243" s="9">
        <v>0.6</v>
      </c>
      <c r="FM243" s="9">
        <v>0.1</v>
      </c>
      <c r="FN243" s="9">
        <v>0.9</v>
      </c>
      <c r="FO243" s="9">
        <v>-1.3</v>
      </c>
      <c r="FP243" s="9">
        <v>0.9</v>
      </c>
      <c r="FQ243" s="9">
        <v>1.4</v>
      </c>
      <c r="FR243" s="9">
        <v>1.4</v>
      </c>
      <c r="FS243" s="9">
        <v>0.1</v>
      </c>
      <c r="FT243" s="9">
        <v>-0.1</v>
      </c>
      <c r="FU243" s="9">
        <v>-0.4</v>
      </c>
      <c r="FV243" s="9">
        <v>-0.2</v>
      </c>
      <c r="FW243" s="9">
        <v>0.9</v>
      </c>
      <c r="FX243" s="9">
        <v>0.9</v>
      </c>
      <c r="FY243" s="9">
        <v>0.8</v>
      </c>
      <c r="FZ243" s="9">
        <v>1.6</v>
      </c>
      <c r="GA243" s="9">
        <v>-0.7</v>
      </c>
      <c r="GB243" s="9">
        <v>0.1</v>
      </c>
      <c r="GC243" s="9">
        <v>-0.4</v>
      </c>
      <c r="GD243" s="9">
        <v>1.6</v>
      </c>
      <c r="GE243" s="9">
        <v>1.2</v>
      </c>
      <c r="GF243" s="9">
        <v>1</v>
      </c>
      <c r="GG243" s="9">
        <v>1</v>
      </c>
      <c r="GH243" s="9">
        <v>0.2</v>
      </c>
      <c r="GI243" s="9">
        <v>0.2</v>
      </c>
      <c r="GJ243" s="9">
        <v>2.2999999999999998</v>
      </c>
      <c r="GK243" s="9">
        <v>0.5</v>
      </c>
      <c r="GL243" s="9">
        <v>5.6</v>
      </c>
      <c r="GM243" s="9">
        <v>2.9</v>
      </c>
      <c r="GN243" s="9">
        <v>4.7</v>
      </c>
      <c r="GO243" s="9">
        <v>2.2000000000000002</v>
      </c>
      <c r="GP243" s="9">
        <v>2.6</v>
      </c>
      <c r="GQ243" s="9">
        <v>1.3</v>
      </c>
      <c r="GR243" s="9">
        <v>1.1000000000000001</v>
      </c>
      <c r="GS243" s="9">
        <v>1.4</v>
      </c>
      <c r="GT243" s="9">
        <v>0.5</v>
      </c>
      <c r="GU243" s="9">
        <v>2.1</v>
      </c>
      <c r="GV243" s="9">
        <v>2.1</v>
      </c>
      <c r="GW243" s="9">
        <v>-0.3</v>
      </c>
      <c r="GX243" s="9">
        <v>-1.9</v>
      </c>
      <c r="GY243" s="9">
        <v>0.2</v>
      </c>
      <c r="GZ243" s="9">
        <v>1.3</v>
      </c>
      <c r="HA243" s="9">
        <v>0.3</v>
      </c>
      <c r="HB243" s="9">
        <v>1.7</v>
      </c>
      <c r="HC243" s="9">
        <v>0.7</v>
      </c>
      <c r="HD243" s="9">
        <v>0.6</v>
      </c>
      <c r="HE243" s="9">
        <v>2.9</v>
      </c>
      <c r="HF243" s="9">
        <v>2</v>
      </c>
      <c r="HG243" s="9">
        <v>3.2</v>
      </c>
      <c r="HH243" s="9">
        <v>1</v>
      </c>
      <c r="HI243" s="9">
        <v>2.2000000000000002</v>
      </c>
      <c r="HJ243" s="9">
        <v>-0.7</v>
      </c>
      <c r="HK243" s="9">
        <v>-4.5</v>
      </c>
      <c r="HL243" s="9">
        <v>-5</v>
      </c>
      <c r="HM243" s="9">
        <v>0.3</v>
      </c>
      <c r="HN243" s="9">
        <v>0.6</v>
      </c>
      <c r="HO243" s="9">
        <v>0.4</v>
      </c>
      <c r="HP243" s="9">
        <v>1.5</v>
      </c>
      <c r="HQ243" s="9">
        <v>0.4</v>
      </c>
      <c r="HR243" s="9">
        <v>0.2</v>
      </c>
      <c r="HS243" s="9">
        <v>0.8</v>
      </c>
      <c r="HT243" s="9">
        <v>0.7</v>
      </c>
      <c r="HU243" s="9">
        <v>-1.2</v>
      </c>
      <c r="HV243" s="9">
        <v>0.7</v>
      </c>
      <c r="HW243" s="9">
        <v>2.7</v>
      </c>
      <c r="HX243" s="9">
        <v>2.4</v>
      </c>
      <c r="HY243" s="9">
        <v>2.4</v>
      </c>
      <c r="HZ243" s="9">
        <v>0.6</v>
      </c>
      <c r="IA243" s="9">
        <v>0.6</v>
      </c>
      <c r="IB243" s="9">
        <v>0.3</v>
      </c>
      <c r="IC243" s="9">
        <v>0.6</v>
      </c>
      <c r="ID243" s="9">
        <v>0.8</v>
      </c>
      <c r="IE243" s="9">
        <v>-1.4</v>
      </c>
      <c r="IF243" s="9">
        <v>-1.6</v>
      </c>
      <c r="IG243" s="9">
        <v>-1</v>
      </c>
      <c r="IH243" s="9">
        <v>0.4</v>
      </c>
      <c r="II243" s="9">
        <v>0.9</v>
      </c>
      <c r="IJ243" s="9">
        <v>0.2</v>
      </c>
      <c r="IK243" s="9">
        <v>1.3</v>
      </c>
      <c r="IL243" s="9">
        <v>1.2</v>
      </c>
      <c r="IM243" s="9">
        <v>1.4</v>
      </c>
      <c r="IN243" s="9">
        <v>1.6</v>
      </c>
      <c r="IO243" s="9">
        <v>0.6</v>
      </c>
      <c r="IP243" s="9">
        <v>-0.6</v>
      </c>
      <c r="IQ243" s="9">
        <v>3.6</v>
      </c>
    </row>
    <row r="244" spans="1:251" x14ac:dyDescent="0.2">
      <c r="A244" s="10">
        <v>39052</v>
      </c>
      <c r="B244" s="8">
        <v>60.11</v>
      </c>
      <c r="C244" s="8">
        <v>63.3</v>
      </c>
      <c r="D244" s="8">
        <v>65.760000000000005</v>
      </c>
      <c r="E244" s="8">
        <v>64.36</v>
      </c>
      <c r="F244" s="8">
        <v>62.94</v>
      </c>
      <c r="G244" s="8">
        <v>81.03</v>
      </c>
      <c r="H244" s="8">
        <v>69.31</v>
      </c>
      <c r="I244" s="8">
        <v>61.1</v>
      </c>
      <c r="J244" s="8">
        <v>55.11</v>
      </c>
      <c r="K244" s="8">
        <v>65.47</v>
      </c>
      <c r="L244" s="8">
        <v>53.14</v>
      </c>
      <c r="M244" s="8">
        <v>73.930000000000007</v>
      </c>
      <c r="N244" s="8">
        <v>54.83</v>
      </c>
      <c r="O244" s="8">
        <v>62.89</v>
      </c>
      <c r="P244" s="8">
        <v>68.150000000000006</v>
      </c>
      <c r="Q244" s="8">
        <v>73.459999999999994</v>
      </c>
      <c r="R244" s="8">
        <v>58.33</v>
      </c>
      <c r="S244" s="8">
        <v>69.92</v>
      </c>
      <c r="T244" s="8">
        <v>77.03</v>
      </c>
      <c r="U244" s="8">
        <v>96.57</v>
      </c>
      <c r="V244" s="8">
        <v>60.41</v>
      </c>
      <c r="W244" s="8">
        <v>65.209999999999994</v>
      </c>
      <c r="X244" s="8">
        <v>59.43</v>
      </c>
      <c r="Y244" s="8">
        <v>71.62</v>
      </c>
      <c r="Z244" s="8">
        <v>71.39</v>
      </c>
      <c r="AA244" s="8">
        <v>50.67</v>
      </c>
      <c r="AB244" s="8">
        <v>62.84</v>
      </c>
      <c r="AC244" s="8">
        <v>74.23</v>
      </c>
      <c r="AD244" s="8">
        <v>61.18</v>
      </c>
      <c r="AE244" s="8">
        <v>66.56</v>
      </c>
      <c r="AF244" s="8">
        <v>59.93</v>
      </c>
      <c r="AG244" s="8">
        <v>56.66</v>
      </c>
      <c r="AH244" s="8">
        <v>59.9</v>
      </c>
      <c r="AI244" s="8">
        <v>53.55</v>
      </c>
      <c r="AJ244" s="8">
        <v>35.14</v>
      </c>
      <c r="AK244" s="8">
        <v>62.13</v>
      </c>
      <c r="AL244" s="8">
        <v>52.28</v>
      </c>
      <c r="AM244" s="8">
        <v>85.98</v>
      </c>
      <c r="AN244" s="8">
        <v>52.54</v>
      </c>
      <c r="AO244" s="8">
        <v>14.12</v>
      </c>
      <c r="AP244" s="8">
        <v>14.12</v>
      </c>
      <c r="AQ244" s="8">
        <v>97.42</v>
      </c>
      <c r="AR244" s="8">
        <v>113.8</v>
      </c>
      <c r="AS244" s="8">
        <v>108</v>
      </c>
      <c r="AT244" s="8">
        <v>120.14</v>
      </c>
      <c r="AU244" s="8">
        <v>102.43</v>
      </c>
      <c r="AV244" s="8">
        <v>108.12</v>
      </c>
      <c r="AW244" s="8">
        <v>106.29</v>
      </c>
      <c r="AX244" s="8">
        <v>112.81</v>
      </c>
      <c r="AY244" s="8">
        <v>98.56</v>
      </c>
      <c r="AZ244" s="8">
        <v>59.41</v>
      </c>
      <c r="BA244" s="8">
        <v>59.76</v>
      </c>
      <c r="BB244" s="8">
        <v>54.47</v>
      </c>
      <c r="BC244" s="8">
        <v>49.12</v>
      </c>
      <c r="BD244" s="8">
        <v>54.88</v>
      </c>
      <c r="BE244" s="8">
        <v>54.88</v>
      </c>
      <c r="BF244" s="8">
        <v>50.14</v>
      </c>
      <c r="BG244" s="8">
        <v>50.15</v>
      </c>
      <c r="BH244" s="8">
        <v>50.75</v>
      </c>
      <c r="BI244" s="8">
        <v>58.67</v>
      </c>
      <c r="BJ244" s="8">
        <v>40.93</v>
      </c>
      <c r="BK244" s="8">
        <v>37.85</v>
      </c>
      <c r="BL244" s="8">
        <v>44.21</v>
      </c>
      <c r="BM244" s="8">
        <v>38.130000000000003</v>
      </c>
      <c r="BN244" s="8">
        <v>32.33</v>
      </c>
      <c r="BO244" s="8">
        <v>77.97</v>
      </c>
      <c r="BP244" s="8">
        <v>78.86</v>
      </c>
      <c r="BQ244" s="8">
        <v>81.99</v>
      </c>
      <c r="BR244" s="8">
        <v>65.88</v>
      </c>
      <c r="BS244" s="8">
        <v>117.58</v>
      </c>
      <c r="BT244" s="8">
        <v>117.58</v>
      </c>
      <c r="BU244" s="8">
        <v>100.21</v>
      </c>
      <c r="BV244" s="8">
        <v>104.38</v>
      </c>
      <c r="BW244" s="8">
        <v>103.71</v>
      </c>
      <c r="BX244" s="8">
        <v>113.23</v>
      </c>
      <c r="BY244" s="8">
        <v>76.989999999999995</v>
      </c>
      <c r="BZ244" s="8">
        <v>85.68</v>
      </c>
      <c r="CA244" s="8">
        <v>84.18</v>
      </c>
      <c r="CB244" s="8">
        <v>103.56</v>
      </c>
      <c r="CC244" s="8">
        <v>74.73</v>
      </c>
      <c r="CD244" s="8">
        <v>56.65</v>
      </c>
      <c r="CE244" s="8">
        <v>77.61</v>
      </c>
      <c r="CF244" s="8">
        <v>56.04</v>
      </c>
      <c r="CG244" s="8">
        <v>49.34</v>
      </c>
      <c r="CH244" s="8">
        <v>45.09</v>
      </c>
      <c r="CI244" s="8">
        <v>77.13</v>
      </c>
      <c r="CJ244" s="8">
        <v>76</v>
      </c>
      <c r="CK244" s="8">
        <v>87.91</v>
      </c>
      <c r="CL244" s="8">
        <v>39.06</v>
      </c>
      <c r="CM244" s="8">
        <v>36.56</v>
      </c>
      <c r="CN244" s="8">
        <v>59.47</v>
      </c>
      <c r="CO244" s="8">
        <v>68.06</v>
      </c>
      <c r="CP244" s="8">
        <v>68.31</v>
      </c>
      <c r="CQ244" s="8">
        <v>95.81</v>
      </c>
      <c r="CR244" s="8">
        <v>59.74</v>
      </c>
      <c r="CS244" s="8">
        <v>61.47</v>
      </c>
      <c r="CT244" s="8">
        <v>60.56</v>
      </c>
      <c r="CU244" s="8">
        <v>49.39</v>
      </c>
      <c r="CV244" s="8">
        <v>67.25</v>
      </c>
      <c r="CW244" s="8">
        <v>67.25</v>
      </c>
      <c r="CX244" s="8">
        <v>121.75</v>
      </c>
      <c r="CY244" s="8">
        <v>121.75</v>
      </c>
      <c r="CZ244" s="8">
        <v>46.48</v>
      </c>
      <c r="DA244" s="8">
        <v>127.07</v>
      </c>
      <c r="DB244" s="8">
        <v>78.12</v>
      </c>
      <c r="DC244" s="8">
        <v>197.92</v>
      </c>
      <c r="DD244" s="8">
        <v>470.94</v>
      </c>
      <c r="DE244" s="8">
        <v>74.239999999999995</v>
      </c>
      <c r="DF244" s="8">
        <v>69.36</v>
      </c>
      <c r="DG244" s="8">
        <v>96.58</v>
      </c>
      <c r="DH244" s="8">
        <v>59.41</v>
      </c>
      <c r="DI244" s="8">
        <v>63.08</v>
      </c>
      <c r="DJ244" s="8">
        <v>59.92</v>
      </c>
      <c r="DK244" s="8">
        <v>58.21</v>
      </c>
      <c r="DL244" s="8">
        <v>63.95</v>
      </c>
      <c r="DM244" s="8">
        <v>90.95</v>
      </c>
      <c r="DN244" s="8">
        <v>123.31</v>
      </c>
      <c r="DO244" s="8">
        <v>55.79</v>
      </c>
      <c r="DP244" s="8">
        <v>45.59</v>
      </c>
      <c r="DQ244" s="8">
        <v>54.92</v>
      </c>
      <c r="DR244" s="8">
        <v>53.26</v>
      </c>
      <c r="DS244" s="8">
        <v>43.94</v>
      </c>
      <c r="DT244" s="8">
        <v>43.94</v>
      </c>
      <c r="DU244" s="8">
        <v>48.6</v>
      </c>
      <c r="DV244" s="8">
        <v>38.07</v>
      </c>
      <c r="DW244" s="8">
        <v>47.53</v>
      </c>
      <c r="DX244" s="8">
        <v>60.26</v>
      </c>
      <c r="DY244" s="8">
        <v>37.630000000000003</v>
      </c>
      <c r="DZ244" s="8">
        <v>37.630000000000003</v>
      </c>
      <c r="EC244" s="8">
        <v>66.63</v>
      </c>
      <c r="ED244" s="9">
        <v>-0.1</v>
      </c>
      <c r="EE244" s="9">
        <v>0.5</v>
      </c>
      <c r="EF244" s="9">
        <v>2</v>
      </c>
      <c r="EG244" s="9">
        <v>1.8</v>
      </c>
      <c r="EH244" s="9">
        <v>2</v>
      </c>
      <c r="EI244" s="9">
        <v>2.6</v>
      </c>
      <c r="EJ244" s="9">
        <v>2.2999999999999998</v>
      </c>
      <c r="EK244" s="9">
        <v>0.3</v>
      </c>
      <c r="EL244" s="9">
        <v>-1.9</v>
      </c>
      <c r="EM244" s="9">
        <v>2.7</v>
      </c>
      <c r="EN244" s="9">
        <v>-0.7</v>
      </c>
      <c r="EO244" s="9">
        <v>-0.3</v>
      </c>
      <c r="EP244" s="9">
        <v>0.8</v>
      </c>
      <c r="EQ244" s="9">
        <v>1.6</v>
      </c>
      <c r="ER244" s="9">
        <v>1.1000000000000001</v>
      </c>
      <c r="ES244" s="9">
        <v>1.1000000000000001</v>
      </c>
      <c r="ET244" s="9">
        <v>0.3</v>
      </c>
      <c r="EU244" s="9">
        <v>2</v>
      </c>
      <c r="EV244" s="9">
        <v>-1.5</v>
      </c>
      <c r="EW244" s="9">
        <v>-5.2</v>
      </c>
      <c r="EX244" s="9">
        <v>4.0999999999999996</v>
      </c>
      <c r="EY244" s="9">
        <v>1</v>
      </c>
      <c r="EZ244" s="9">
        <v>4.8</v>
      </c>
      <c r="FA244" s="9">
        <v>0.3</v>
      </c>
      <c r="FB244" s="9">
        <v>2.6</v>
      </c>
      <c r="FC244" s="9">
        <v>3.6</v>
      </c>
      <c r="FD244" s="9">
        <v>0</v>
      </c>
      <c r="FE244" s="9">
        <v>0.6</v>
      </c>
      <c r="FF244" s="9">
        <v>1.1000000000000001</v>
      </c>
      <c r="FG244" s="9">
        <v>1.7</v>
      </c>
      <c r="FH244" s="9">
        <v>0.9</v>
      </c>
      <c r="FI244" s="9">
        <v>0.7</v>
      </c>
      <c r="FJ244" s="9">
        <v>0.8</v>
      </c>
      <c r="FK244" s="9">
        <v>0.6</v>
      </c>
      <c r="FL244" s="9">
        <v>0.7</v>
      </c>
      <c r="FM244" s="9">
        <v>0.8</v>
      </c>
      <c r="FN244" s="9">
        <v>1.5</v>
      </c>
      <c r="FO244" s="9">
        <v>-0.1</v>
      </c>
      <c r="FP244" s="9">
        <v>1.2</v>
      </c>
      <c r="FQ244" s="9">
        <v>0.6</v>
      </c>
      <c r="FR244" s="9">
        <v>0.6</v>
      </c>
      <c r="FS244" s="9">
        <v>-0.4</v>
      </c>
      <c r="FT244" s="9">
        <v>-0.2</v>
      </c>
      <c r="FU244" s="9">
        <v>0.5</v>
      </c>
      <c r="FV244" s="9">
        <v>-0.6</v>
      </c>
      <c r="FW244" s="9">
        <v>-0.2</v>
      </c>
      <c r="FX244" s="9">
        <v>-1.4</v>
      </c>
      <c r="FY244" s="9">
        <v>-2.1</v>
      </c>
      <c r="FZ244" s="9">
        <v>-1.3</v>
      </c>
      <c r="GA244" s="9">
        <v>-0.4</v>
      </c>
      <c r="GB244" s="9">
        <v>-0.3</v>
      </c>
      <c r="GC244" s="9">
        <v>-0.4</v>
      </c>
      <c r="GD244" s="9">
        <v>0.1</v>
      </c>
      <c r="GE244" s="9">
        <v>0.5</v>
      </c>
      <c r="GF244" s="9">
        <v>1</v>
      </c>
      <c r="GG244" s="9">
        <v>1</v>
      </c>
      <c r="GH244" s="9">
        <v>0.5</v>
      </c>
      <c r="GI244" s="9">
        <v>0.5</v>
      </c>
      <c r="GJ244" s="9">
        <v>0.2</v>
      </c>
      <c r="GK244" s="9">
        <v>0.4</v>
      </c>
      <c r="GL244" s="9">
        <v>0</v>
      </c>
      <c r="GM244" s="9">
        <v>0.2</v>
      </c>
      <c r="GN244" s="9">
        <v>0.4</v>
      </c>
      <c r="GO244" s="9">
        <v>0.5</v>
      </c>
      <c r="GP244" s="9">
        <v>-0.6</v>
      </c>
      <c r="GQ244" s="9">
        <v>0.2</v>
      </c>
      <c r="GR244" s="9">
        <v>0.8</v>
      </c>
      <c r="GS244" s="9">
        <v>0.9</v>
      </c>
      <c r="GT244" s="9">
        <v>0.5</v>
      </c>
      <c r="GU244" s="9">
        <v>-0.6</v>
      </c>
      <c r="GV244" s="9">
        <v>-0.6</v>
      </c>
      <c r="GW244" s="9">
        <v>-0.9</v>
      </c>
      <c r="GX244" s="9">
        <v>-0.2</v>
      </c>
      <c r="GY244" s="9">
        <v>-0.6</v>
      </c>
      <c r="GZ244" s="9">
        <v>-3</v>
      </c>
      <c r="HA244" s="9">
        <v>0.3</v>
      </c>
      <c r="HB244" s="9">
        <v>-0.2</v>
      </c>
      <c r="HC244" s="9">
        <v>0.9</v>
      </c>
      <c r="HD244" s="9">
        <v>-0.9</v>
      </c>
      <c r="HE244" s="9">
        <v>0.2</v>
      </c>
      <c r="HF244" s="9">
        <v>1.1000000000000001</v>
      </c>
      <c r="HG244" s="9">
        <v>2</v>
      </c>
      <c r="HH244" s="9">
        <v>0.6</v>
      </c>
      <c r="HI244" s="9">
        <v>0.8</v>
      </c>
      <c r="HJ244" s="9">
        <v>-0.8</v>
      </c>
      <c r="HK244" s="9">
        <v>-4.5</v>
      </c>
      <c r="HL244" s="9">
        <v>-5</v>
      </c>
      <c r="HM244" s="9">
        <v>0.1</v>
      </c>
      <c r="HN244" s="9">
        <v>0.4</v>
      </c>
      <c r="HO244" s="9">
        <v>0.5</v>
      </c>
      <c r="HP244" s="9">
        <v>0.5</v>
      </c>
      <c r="HQ244" s="9">
        <v>-3.8</v>
      </c>
      <c r="HR244" s="9">
        <v>-4</v>
      </c>
      <c r="HS244" s="9">
        <v>0.3</v>
      </c>
      <c r="HT244" s="9">
        <v>0.6</v>
      </c>
      <c r="HU244" s="9">
        <v>-12.4</v>
      </c>
      <c r="HV244" s="9">
        <v>1</v>
      </c>
      <c r="HW244" s="9">
        <v>0.5</v>
      </c>
      <c r="HX244" s="9">
        <v>0.1</v>
      </c>
      <c r="HY244" s="9">
        <v>0.1</v>
      </c>
      <c r="HZ244" s="9">
        <v>0.5</v>
      </c>
      <c r="IA244" s="9">
        <v>0.5</v>
      </c>
      <c r="IB244" s="9">
        <v>0.6</v>
      </c>
      <c r="IC244" s="9">
        <v>0.5</v>
      </c>
      <c r="ID244" s="9">
        <v>1.3</v>
      </c>
      <c r="IE244" s="9">
        <v>-2.1</v>
      </c>
      <c r="IF244" s="9">
        <v>-2.8</v>
      </c>
      <c r="IG244" s="9">
        <v>-1.2</v>
      </c>
      <c r="IH244" s="9">
        <v>0.8</v>
      </c>
      <c r="II244" s="9">
        <v>0.5</v>
      </c>
      <c r="IJ244" s="9">
        <v>1</v>
      </c>
      <c r="IK244" s="9">
        <v>4.0999999999999996</v>
      </c>
      <c r="IL244" s="9">
        <v>6.2</v>
      </c>
      <c r="IM244" s="9">
        <v>1.3</v>
      </c>
      <c r="IN244" s="9">
        <v>0.5</v>
      </c>
      <c r="IO244" s="9">
        <v>-0.2</v>
      </c>
      <c r="IP244" s="9">
        <v>-0.9</v>
      </c>
      <c r="IQ244" s="9">
        <v>1.7</v>
      </c>
    </row>
    <row r="245" spans="1:251" x14ac:dyDescent="0.2">
      <c r="A245" s="10">
        <v>39142</v>
      </c>
      <c r="B245" s="8">
        <v>60.16</v>
      </c>
      <c r="C245" s="8">
        <v>61.84</v>
      </c>
      <c r="D245" s="8">
        <v>66.78</v>
      </c>
      <c r="E245" s="8">
        <v>66.849999999999994</v>
      </c>
      <c r="F245" s="8">
        <v>63.84</v>
      </c>
      <c r="G245" s="8">
        <v>77.010000000000005</v>
      </c>
      <c r="H245" s="8">
        <v>69.760000000000005</v>
      </c>
      <c r="I245" s="8">
        <v>61.65</v>
      </c>
      <c r="J245" s="8">
        <v>54.58</v>
      </c>
      <c r="K245" s="8">
        <v>66.83</v>
      </c>
      <c r="L245" s="8">
        <v>51.49</v>
      </c>
      <c r="M245" s="8">
        <v>75.5</v>
      </c>
      <c r="N245" s="8">
        <v>55.27</v>
      </c>
      <c r="O245" s="8">
        <v>64.98</v>
      </c>
      <c r="P245" s="8">
        <v>68.89</v>
      </c>
      <c r="Q245" s="8">
        <v>74.19</v>
      </c>
      <c r="R245" s="8">
        <v>59.54</v>
      </c>
      <c r="S245" s="8">
        <v>70.06</v>
      </c>
      <c r="T245" s="8">
        <v>62.63</v>
      </c>
      <c r="U245" s="8">
        <v>63.95</v>
      </c>
      <c r="V245" s="8">
        <v>61.54</v>
      </c>
      <c r="W245" s="8">
        <v>66.39</v>
      </c>
      <c r="X245" s="8">
        <v>61.6</v>
      </c>
      <c r="Y245" s="8">
        <v>72.38</v>
      </c>
      <c r="Z245" s="8">
        <v>72.36</v>
      </c>
      <c r="AA245" s="8">
        <v>51.47</v>
      </c>
      <c r="AB245" s="8">
        <v>64.02</v>
      </c>
      <c r="AC245" s="8">
        <v>75.540000000000006</v>
      </c>
      <c r="AD245" s="8">
        <v>61.74</v>
      </c>
      <c r="AE245" s="8">
        <v>66.62</v>
      </c>
      <c r="AF245" s="8">
        <v>60.65</v>
      </c>
      <c r="AG245" s="8">
        <v>57.4</v>
      </c>
      <c r="AH245" s="8">
        <v>60.43</v>
      </c>
      <c r="AI245" s="8">
        <v>54.43</v>
      </c>
      <c r="AJ245" s="8">
        <v>35.44</v>
      </c>
      <c r="AK245" s="8">
        <v>62.49</v>
      </c>
      <c r="AL245" s="8">
        <v>52.83</v>
      </c>
      <c r="AM245" s="8">
        <v>86.06</v>
      </c>
      <c r="AN245" s="8">
        <v>52.92</v>
      </c>
      <c r="AO245" s="8">
        <v>14.32</v>
      </c>
      <c r="AP245" s="8">
        <v>14.32</v>
      </c>
      <c r="AQ245" s="8">
        <v>97.1</v>
      </c>
      <c r="AR245" s="8">
        <v>113.48</v>
      </c>
      <c r="AS245" s="8">
        <v>105.89</v>
      </c>
      <c r="AT245" s="8">
        <v>120.79</v>
      </c>
      <c r="AU245" s="8">
        <v>102.84</v>
      </c>
      <c r="AV245" s="8">
        <v>109.78</v>
      </c>
      <c r="AW245" s="8">
        <v>110.31</v>
      </c>
      <c r="AX245" s="8">
        <v>113.98</v>
      </c>
      <c r="AY245" s="8">
        <v>98.36</v>
      </c>
      <c r="AZ245" s="8">
        <v>58.01</v>
      </c>
      <c r="BA245" s="8">
        <v>57.77</v>
      </c>
      <c r="BB245" s="8">
        <v>54.95</v>
      </c>
      <c r="BC245" s="8">
        <v>49.6</v>
      </c>
      <c r="BD245" s="8">
        <v>55.66</v>
      </c>
      <c r="BE245" s="8">
        <v>55.66</v>
      </c>
      <c r="BF245" s="8">
        <v>50.67</v>
      </c>
      <c r="BG245" s="8">
        <v>50.66</v>
      </c>
      <c r="BH245" s="8">
        <v>50.72</v>
      </c>
      <c r="BI245" s="8">
        <v>58.6</v>
      </c>
      <c r="BJ245" s="8">
        <v>40.93</v>
      </c>
      <c r="BK245" s="8">
        <v>38.35</v>
      </c>
      <c r="BL245" s="8">
        <v>44.21</v>
      </c>
      <c r="BM245" s="8">
        <v>38.85</v>
      </c>
      <c r="BN245" s="8">
        <v>32.840000000000003</v>
      </c>
      <c r="BO245" s="8">
        <v>77.31</v>
      </c>
      <c r="BP245" s="8">
        <v>76.98</v>
      </c>
      <c r="BQ245" s="8">
        <v>79.290000000000006</v>
      </c>
      <c r="BR245" s="8">
        <v>66.28</v>
      </c>
      <c r="BS245" s="8">
        <v>112.5</v>
      </c>
      <c r="BT245" s="8">
        <v>112.5</v>
      </c>
      <c r="BU245" s="8">
        <v>99.44</v>
      </c>
      <c r="BV245" s="8">
        <v>103.89</v>
      </c>
      <c r="BW245" s="8">
        <v>103.42</v>
      </c>
      <c r="BX245" s="8">
        <v>110.67</v>
      </c>
      <c r="BY245" s="8">
        <v>77.22</v>
      </c>
      <c r="BZ245" s="8">
        <v>85.09</v>
      </c>
      <c r="CA245" s="8">
        <v>83.57</v>
      </c>
      <c r="CB245" s="8">
        <v>103.37</v>
      </c>
      <c r="CC245" s="8">
        <v>73.900000000000006</v>
      </c>
      <c r="CD245" s="8">
        <v>57.73</v>
      </c>
      <c r="CE245" s="8">
        <v>81.77</v>
      </c>
      <c r="CF245" s="8">
        <v>56.28</v>
      </c>
      <c r="CG245" s="8">
        <v>49.77</v>
      </c>
      <c r="CH245" s="8">
        <v>46.69</v>
      </c>
      <c r="CI245" s="8">
        <v>86.03</v>
      </c>
      <c r="CJ245" s="8">
        <v>85.74</v>
      </c>
      <c r="CK245" s="8">
        <v>88.26</v>
      </c>
      <c r="CL245" s="8">
        <v>39.44</v>
      </c>
      <c r="CM245" s="8">
        <v>36.9</v>
      </c>
      <c r="CN245" s="8">
        <v>60.08</v>
      </c>
      <c r="CO245" s="8">
        <v>68.5</v>
      </c>
      <c r="CP245" s="8">
        <v>68.760000000000005</v>
      </c>
      <c r="CQ245" s="8">
        <v>95.89</v>
      </c>
      <c r="CR245" s="8">
        <v>60.44</v>
      </c>
      <c r="CS245" s="8">
        <v>62.33</v>
      </c>
      <c r="CT245" s="8">
        <v>60.62</v>
      </c>
      <c r="CU245" s="8">
        <v>49.98</v>
      </c>
      <c r="CV245" s="8">
        <v>67.540000000000006</v>
      </c>
      <c r="CW245" s="8">
        <v>67.540000000000006</v>
      </c>
      <c r="CX245" s="8">
        <v>121.98</v>
      </c>
      <c r="CY245" s="8">
        <v>121.98</v>
      </c>
      <c r="CZ245" s="8">
        <v>46.88</v>
      </c>
      <c r="DA245" s="8">
        <v>127.27</v>
      </c>
      <c r="DB245" s="8">
        <v>77.61</v>
      </c>
      <c r="DC245" s="8">
        <v>195.75</v>
      </c>
      <c r="DD245" s="8">
        <v>458.91</v>
      </c>
      <c r="DE245" s="8">
        <v>74.89</v>
      </c>
      <c r="DF245" s="8">
        <v>69.510000000000005</v>
      </c>
      <c r="DG245" s="8">
        <v>96.96</v>
      </c>
      <c r="DH245" s="8">
        <v>59.5</v>
      </c>
      <c r="DI245" s="8">
        <v>62.02</v>
      </c>
      <c r="DJ245" s="8">
        <v>59.19</v>
      </c>
      <c r="DK245" s="8">
        <v>56.88</v>
      </c>
      <c r="DL245" s="8">
        <v>64.290000000000006</v>
      </c>
      <c r="DM245" s="8">
        <v>90.58</v>
      </c>
      <c r="DN245" s="8">
        <v>123.27</v>
      </c>
      <c r="DO245" s="8">
        <v>55.95</v>
      </c>
      <c r="DP245" s="8">
        <v>46.2</v>
      </c>
      <c r="DQ245" s="8">
        <v>55.12</v>
      </c>
      <c r="DR245" s="8">
        <v>53.84</v>
      </c>
      <c r="DS245" s="8">
        <v>46.14</v>
      </c>
      <c r="DT245" s="8">
        <v>46.14</v>
      </c>
      <c r="DU245" s="8">
        <v>51.82</v>
      </c>
      <c r="DV245" s="8">
        <v>40.78</v>
      </c>
      <c r="DW245" s="8">
        <v>48.78</v>
      </c>
      <c r="DX245" s="8">
        <v>60.16</v>
      </c>
      <c r="DY245" s="8">
        <v>37.6</v>
      </c>
      <c r="DZ245" s="8">
        <v>37.6</v>
      </c>
      <c r="EC245" s="8">
        <v>66.84</v>
      </c>
      <c r="ED245" s="9">
        <v>0.1</v>
      </c>
      <c r="EE245" s="9">
        <v>-2.2999999999999998</v>
      </c>
      <c r="EF245" s="9">
        <v>1.6</v>
      </c>
      <c r="EG245" s="9">
        <v>3.9</v>
      </c>
      <c r="EH245" s="9">
        <v>1.4</v>
      </c>
      <c r="EI245" s="9">
        <v>-5</v>
      </c>
      <c r="EJ245" s="9">
        <v>0.6</v>
      </c>
      <c r="EK245" s="9">
        <v>0.9</v>
      </c>
      <c r="EL245" s="9">
        <v>-1</v>
      </c>
      <c r="EM245" s="9">
        <v>2.1</v>
      </c>
      <c r="EN245" s="9">
        <v>-3.1</v>
      </c>
      <c r="EO245" s="9">
        <v>2.1</v>
      </c>
      <c r="EP245" s="9">
        <v>0.8</v>
      </c>
      <c r="EQ245" s="9">
        <v>3.3</v>
      </c>
      <c r="ER245" s="9">
        <v>1.1000000000000001</v>
      </c>
      <c r="ES245" s="9">
        <v>1</v>
      </c>
      <c r="ET245" s="9">
        <v>2.1</v>
      </c>
      <c r="EU245" s="9">
        <v>0.2</v>
      </c>
      <c r="EV245" s="9">
        <v>-18.7</v>
      </c>
      <c r="EW245" s="9">
        <v>-33.799999999999997</v>
      </c>
      <c r="EX245" s="9">
        <v>1.9</v>
      </c>
      <c r="EY245" s="9">
        <v>1.8</v>
      </c>
      <c r="EZ245" s="9">
        <v>3.7</v>
      </c>
      <c r="FA245" s="9">
        <v>1.1000000000000001</v>
      </c>
      <c r="FB245" s="9">
        <v>1.4</v>
      </c>
      <c r="FC245" s="9">
        <v>1.6</v>
      </c>
      <c r="FD245" s="9">
        <v>1.9</v>
      </c>
      <c r="FE245" s="9">
        <v>1.8</v>
      </c>
      <c r="FF245" s="9">
        <v>0.9</v>
      </c>
      <c r="FG245" s="9">
        <v>0.1</v>
      </c>
      <c r="FH245" s="9">
        <v>1.2</v>
      </c>
      <c r="FI245" s="9">
        <v>1.3</v>
      </c>
      <c r="FJ245" s="9">
        <v>0.9</v>
      </c>
      <c r="FK245" s="9">
        <v>1.6</v>
      </c>
      <c r="FL245" s="9">
        <v>0.9</v>
      </c>
      <c r="FM245" s="9">
        <v>0.6</v>
      </c>
      <c r="FN245" s="9">
        <v>1.1000000000000001</v>
      </c>
      <c r="FO245" s="9">
        <v>0.1</v>
      </c>
      <c r="FP245" s="9">
        <v>0.7</v>
      </c>
      <c r="FQ245" s="9">
        <v>1.4</v>
      </c>
      <c r="FR245" s="9">
        <v>1.4</v>
      </c>
      <c r="FS245" s="9">
        <v>-0.3</v>
      </c>
      <c r="FT245" s="9">
        <v>-0.3</v>
      </c>
      <c r="FU245" s="9">
        <v>-2</v>
      </c>
      <c r="FV245" s="9">
        <v>0.5</v>
      </c>
      <c r="FW245" s="9">
        <v>0.4</v>
      </c>
      <c r="FX245" s="9">
        <v>1.5</v>
      </c>
      <c r="FY245" s="9">
        <v>3.8</v>
      </c>
      <c r="FZ245" s="9">
        <v>1</v>
      </c>
      <c r="GA245" s="9">
        <v>-0.2</v>
      </c>
      <c r="GB245" s="9">
        <v>-2.4</v>
      </c>
      <c r="GC245" s="9">
        <v>-3.3</v>
      </c>
      <c r="GD245" s="9">
        <v>0.9</v>
      </c>
      <c r="GE245" s="9">
        <v>1</v>
      </c>
      <c r="GF245" s="9">
        <v>1.4</v>
      </c>
      <c r="GG245" s="9">
        <v>1.4</v>
      </c>
      <c r="GH245" s="9">
        <v>1.1000000000000001</v>
      </c>
      <c r="GI245" s="9">
        <v>1</v>
      </c>
      <c r="GJ245" s="9">
        <v>-0.1</v>
      </c>
      <c r="GK245" s="9">
        <v>-0.1</v>
      </c>
      <c r="GL245" s="9">
        <v>0</v>
      </c>
      <c r="GM245" s="9">
        <v>1.3</v>
      </c>
      <c r="GN245" s="9">
        <v>0</v>
      </c>
      <c r="GO245" s="9">
        <v>1.9</v>
      </c>
      <c r="GP245" s="9">
        <v>1.6</v>
      </c>
      <c r="GQ245" s="9">
        <v>-0.8</v>
      </c>
      <c r="GR245" s="9">
        <v>-2.4</v>
      </c>
      <c r="GS245" s="9">
        <v>-3.3</v>
      </c>
      <c r="GT245" s="9">
        <v>0.6</v>
      </c>
      <c r="GU245" s="9">
        <v>-4.3</v>
      </c>
      <c r="GV245" s="9">
        <v>-4.3</v>
      </c>
      <c r="GW245" s="9">
        <v>-0.8</v>
      </c>
      <c r="GX245" s="9">
        <v>-0.5</v>
      </c>
      <c r="GY245" s="9">
        <v>-0.3</v>
      </c>
      <c r="GZ245" s="9">
        <v>-2.2999999999999998</v>
      </c>
      <c r="HA245" s="9">
        <v>0.3</v>
      </c>
      <c r="HB245" s="9">
        <v>-0.7</v>
      </c>
      <c r="HC245" s="9">
        <v>-0.7</v>
      </c>
      <c r="HD245" s="9">
        <v>-0.2</v>
      </c>
      <c r="HE245" s="9">
        <v>-1.1000000000000001</v>
      </c>
      <c r="HF245" s="9">
        <v>1.9</v>
      </c>
      <c r="HG245" s="9">
        <v>5.4</v>
      </c>
      <c r="HH245" s="9">
        <v>0.4</v>
      </c>
      <c r="HI245" s="9">
        <v>0.9</v>
      </c>
      <c r="HJ245" s="9">
        <v>3.5</v>
      </c>
      <c r="HK245" s="9">
        <v>11.5</v>
      </c>
      <c r="HL245" s="9">
        <v>12.8</v>
      </c>
      <c r="HM245" s="9">
        <v>0.4</v>
      </c>
      <c r="HN245" s="9">
        <v>1</v>
      </c>
      <c r="HO245" s="9">
        <v>0.9</v>
      </c>
      <c r="HP245" s="9">
        <v>1</v>
      </c>
      <c r="HQ245" s="9">
        <v>0.6</v>
      </c>
      <c r="HR245" s="9">
        <v>0.7</v>
      </c>
      <c r="HS245" s="9">
        <v>0.1</v>
      </c>
      <c r="HT245" s="9">
        <v>1.2</v>
      </c>
      <c r="HU245" s="9">
        <v>1.4</v>
      </c>
      <c r="HV245" s="9">
        <v>0.1</v>
      </c>
      <c r="HW245" s="9">
        <v>1.2</v>
      </c>
      <c r="HX245" s="9">
        <v>0.4</v>
      </c>
      <c r="HY245" s="9">
        <v>0.4</v>
      </c>
      <c r="HZ245" s="9">
        <v>0.2</v>
      </c>
      <c r="IA245" s="9">
        <v>0.2</v>
      </c>
      <c r="IB245" s="9">
        <v>0.9</v>
      </c>
      <c r="IC245" s="9">
        <v>0.2</v>
      </c>
      <c r="ID245" s="9">
        <v>-0.7</v>
      </c>
      <c r="IE245" s="9">
        <v>-1.1000000000000001</v>
      </c>
      <c r="IF245" s="9">
        <v>-2.6</v>
      </c>
      <c r="IG245" s="9">
        <v>0.9</v>
      </c>
      <c r="IH245" s="9">
        <v>0.2</v>
      </c>
      <c r="II245" s="9">
        <v>0.4</v>
      </c>
      <c r="IJ245" s="9">
        <v>0.2</v>
      </c>
      <c r="IK245" s="9">
        <v>-1.7</v>
      </c>
      <c r="IL245" s="9">
        <v>-1.2</v>
      </c>
      <c r="IM245" s="9">
        <v>-2.2999999999999998</v>
      </c>
      <c r="IN245" s="9">
        <v>0.5</v>
      </c>
      <c r="IO245" s="9">
        <v>-0.4</v>
      </c>
      <c r="IP245" s="9">
        <v>0</v>
      </c>
      <c r="IQ245" s="9">
        <v>0.3</v>
      </c>
    </row>
    <row r="246" spans="1:251" x14ac:dyDescent="0.2">
      <c r="A246" s="10">
        <v>39234</v>
      </c>
      <c r="B246" s="8">
        <v>60.9</v>
      </c>
      <c r="C246" s="8">
        <v>62.91</v>
      </c>
      <c r="D246" s="8">
        <v>67.25</v>
      </c>
      <c r="E246" s="8">
        <v>67.650000000000006</v>
      </c>
      <c r="F246" s="8">
        <v>64.16</v>
      </c>
      <c r="G246" s="8">
        <v>75.83</v>
      </c>
      <c r="H246" s="8">
        <v>71.19</v>
      </c>
      <c r="I246" s="8">
        <v>61.92</v>
      </c>
      <c r="J246" s="8">
        <v>55.61</v>
      </c>
      <c r="K246" s="8">
        <v>65.09</v>
      </c>
      <c r="L246" s="8">
        <v>52.78</v>
      </c>
      <c r="M246" s="8">
        <v>75.98</v>
      </c>
      <c r="N246" s="8">
        <v>55.39</v>
      </c>
      <c r="O246" s="8">
        <v>65.23</v>
      </c>
      <c r="P246" s="8">
        <v>69.67</v>
      </c>
      <c r="Q246" s="8">
        <v>74.75</v>
      </c>
      <c r="R246" s="8">
        <v>61.41</v>
      </c>
      <c r="S246" s="8">
        <v>69.84</v>
      </c>
      <c r="T246" s="8">
        <v>67.12</v>
      </c>
      <c r="U246" s="8">
        <v>69.28</v>
      </c>
      <c r="V246" s="8">
        <v>65.3</v>
      </c>
      <c r="W246" s="8">
        <v>66.53</v>
      </c>
      <c r="X246" s="8">
        <v>62.32</v>
      </c>
      <c r="Y246" s="8">
        <v>72.78</v>
      </c>
      <c r="Z246" s="8">
        <v>73</v>
      </c>
      <c r="AA246" s="8">
        <v>51.97</v>
      </c>
      <c r="AB246" s="8">
        <v>64.09</v>
      </c>
      <c r="AC246" s="8">
        <v>75.150000000000006</v>
      </c>
      <c r="AD246" s="8">
        <v>63.26</v>
      </c>
      <c r="AE246" s="8">
        <v>68</v>
      </c>
      <c r="AF246" s="8">
        <v>62.2</v>
      </c>
      <c r="AG246" s="8">
        <v>57.81</v>
      </c>
      <c r="AH246" s="8">
        <v>60.81</v>
      </c>
      <c r="AI246" s="8">
        <v>54.85</v>
      </c>
      <c r="AJ246" s="8">
        <v>35.74</v>
      </c>
      <c r="AK246" s="8">
        <v>63.2</v>
      </c>
      <c r="AL246" s="8">
        <v>53.34</v>
      </c>
      <c r="AM246" s="8">
        <v>86.37</v>
      </c>
      <c r="AN246" s="8">
        <v>53.88</v>
      </c>
      <c r="AO246" s="8">
        <v>14.37</v>
      </c>
      <c r="AP246" s="8">
        <v>14.37</v>
      </c>
      <c r="AQ246" s="8">
        <v>98.45</v>
      </c>
      <c r="AR246" s="8">
        <v>115.05</v>
      </c>
      <c r="AS246" s="8">
        <v>107.19</v>
      </c>
      <c r="AT246" s="8">
        <v>122.86</v>
      </c>
      <c r="AU246" s="8">
        <v>103.3</v>
      </c>
      <c r="AV246" s="8">
        <v>106.89</v>
      </c>
      <c r="AW246" s="8">
        <v>108.85</v>
      </c>
      <c r="AX246" s="8">
        <v>109.78</v>
      </c>
      <c r="AY246" s="8">
        <v>96.82</v>
      </c>
      <c r="AZ246" s="8">
        <v>61</v>
      </c>
      <c r="BA246" s="8">
        <v>61.5</v>
      </c>
      <c r="BB246" s="8">
        <v>55.53</v>
      </c>
      <c r="BC246" s="8">
        <v>50.01</v>
      </c>
      <c r="BD246" s="8">
        <v>56.58</v>
      </c>
      <c r="BE246" s="8">
        <v>56.58</v>
      </c>
      <c r="BF246" s="8">
        <v>51.15</v>
      </c>
      <c r="BG246" s="8">
        <v>51.15</v>
      </c>
      <c r="BH246" s="8">
        <v>50.89</v>
      </c>
      <c r="BI246" s="8">
        <v>58.95</v>
      </c>
      <c r="BJ246" s="8">
        <v>40.93</v>
      </c>
      <c r="BK246" s="8">
        <v>38.15</v>
      </c>
      <c r="BL246" s="8">
        <v>44.21</v>
      </c>
      <c r="BM246" s="8">
        <v>38.409999999999997</v>
      </c>
      <c r="BN246" s="8">
        <v>32.94</v>
      </c>
      <c r="BO246" s="8">
        <v>78.45</v>
      </c>
      <c r="BP246" s="8">
        <v>79.209999999999994</v>
      </c>
      <c r="BQ246" s="8">
        <v>82.38</v>
      </c>
      <c r="BR246" s="8">
        <v>66.150000000000006</v>
      </c>
      <c r="BS246" s="8">
        <v>117.16</v>
      </c>
      <c r="BT246" s="8">
        <v>117.16</v>
      </c>
      <c r="BU246" s="8">
        <v>100.56</v>
      </c>
      <c r="BV246" s="8">
        <v>104.23</v>
      </c>
      <c r="BW246" s="8">
        <v>104.46</v>
      </c>
      <c r="BX246" s="8">
        <v>114.7</v>
      </c>
      <c r="BY246" s="8">
        <v>76.83</v>
      </c>
      <c r="BZ246" s="8">
        <v>85.4</v>
      </c>
      <c r="CA246" s="8">
        <v>84.84</v>
      </c>
      <c r="CB246" s="8">
        <v>103.67</v>
      </c>
      <c r="CC246" s="8">
        <v>74.010000000000005</v>
      </c>
      <c r="CD246" s="8">
        <v>58.2</v>
      </c>
      <c r="CE246" s="8">
        <v>83.16</v>
      </c>
      <c r="CF246" s="8">
        <v>56.58</v>
      </c>
      <c r="CG246" s="8">
        <v>49.99</v>
      </c>
      <c r="CH246" s="8">
        <v>47.68</v>
      </c>
      <c r="CI246" s="8">
        <v>85.71</v>
      </c>
      <c r="CJ246" s="8">
        <v>85.42</v>
      </c>
      <c r="CK246" s="8">
        <v>88.49</v>
      </c>
      <c r="CL246" s="8">
        <v>40.630000000000003</v>
      </c>
      <c r="CM246" s="8">
        <v>38.15</v>
      </c>
      <c r="CN246" s="8">
        <v>60.93</v>
      </c>
      <c r="CO246" s="8">
        <v>70.599999999999994</v>
      </c>
      <c r="CP246" s="8">
        <v>70.97</v>
      </c>
      <c r="CQ246" s="8">
        <v>96.08</v>
      </c>
      <c r="CR246" s="8">
        <v>61.05</v>
      </c>
      <c r="CS246" s="8">
        <v>68</v>
      </c>
      <c r="CT246" s="8">
        <v>61.17</v>
      </c>
      <c r="CU246" s="8">
        <v>50.12</v>
      </c>
      <c r="CV246" s="8">
        <v>68.03</v>
      </c>
      <c r="CW246" s="8">
        <v>68.03</v>
      </c>
      <c r="CX246" s="8">
        <v>122.18</v>
      </c>
      <c r="CY246" s="8">
        <v>122.18</v>
      </c>
      <c r="CZ246" s="8">
        <v>47.67</v>
      </c>
      <c r="DA246" s="8">
        <v>127.41</v>
      </c>
      <c r="DB246" s="8">
        <v>77.239999999999995</v>
      </c>
      <c r="DC246" s="8">
        <v>191.73</v>
      </c>
      <c r="DD246" s="8">
        <v>449.01</v>
      </c>
      <c r="DE246" s="8">
        <v>73.5</v>
      </c>
      <c r="DF246" s="8">
        <v>69.88</v>
      </c>
      <c r="DG246" s="8">
        <v>96.9</v>
      </c>
      <c r="DH246" s="8">
        <v>60.06</v>
      </c>
      <c r="DI246" s="8">
        <v>61.42</v>
      </c>
      <c r="DJ246" s="8">
        <v>57.11</v>
      </c>
      <c r="DK246" s="8">
        <v>58.34</v>
      </c>
      <c r="DL246" s="8">
        <v>64.72</v>
      </c>
      <c r="DM246" s="8">
        <v>90.39</v>
      </c>
      <c r="DN246" s="8">
        <v>124.54</v>
      </c>
      <c r="DO246" s="8">
        <v>57.08</v>
      </c>
      <c r="DP246" s="8">
        <v>46.47</v>
      </c>
      <c r="DQ246" s="8">
        <v>55.29</v>
      </c>
      <c r="DR246" s="8">
        <v>54.2</v>
      </c>
      <c r="DS246" s="8">
        <v>46.2</v>
      </c>
      <c r="DT246" s="8">
        <v>46.2</v>
      </c>
      <c r="DU246" s="8">
        <v>52.17</v>
      </c>
      <c r="DV246" s="8">
        <v>40.78</v>
      </c>
      <c r="DW246" s="8">
        <v>48.78</v>
      </c>
      <c r="DX246" s="8">
        <v>60.68</v>
      </c>
      <c r="DY246" s="8">
        <v>37.9</v>
      </c>
      <c r="DZ246" s="8">
        <v>37.9</v>
      </c>
      <c r="EC246" s="8">
        <v>67.11</v>
      </c>
      <c r="ED246" s="9">
        <v>1.2</v>
      </c>
      <c r="EE246" s="9">
        <v>1.7</v>
      </c>
      <c r="EF246" s="9">
        <v>0.7</v>
      </c>
      <c r="EG246" s="9">
        <v>1.2</v>
      </c>
      <c r="EH246" s="9">
        <v>0.5</v>
      </c>
      <c r="EI246" s="9">
        <v>-1.5</v>
      </c>
      <c r="EJ246" s="9">
        <v>2</v>
      </c>
      <c r="EK246" s="9">
        <v>0.4</v>
      </c>
      <c r="EL246" s="9">
        <v>1.9</v>
      </c>
      <c r="EM246" s="9">
        <v>-2.6</v>
      </c>
      <c r="EN246" s="9">
        <v>2.5</v>
      </c>
      <c r="EO246" s="9">
        <v>0.6</v>
      </c>
      <c r="EP246" s="9">
        <v>0.2</v>
      </c>
      <c r="EQ246" s="9">
        <v>0.4</v>
      </c>
      <c r="ER246" s="9">
        <v>1.1000000000000001</v>
      </c>
      <c r="ES246" s="9">
        <v>0.8</v>
      </c>
      <c r="ET246" s="9">
        <v>3.1</v>
      </c>
      <c r="EU246" s="9">
        <v>-0.3</v>
      </c>
      <c r="EV246" s="9">
        <v>7.2</v>
      </c>
      <c r="EW246" s="9">
        <v>8.3000000000000007</v>
      </c>
      <c r="EX246" s="9">
        <v>6.1</v>
      </c>
      <c r="EY246" s="9">
        <v>0.2</v>
      </c>
      <c r="EZ246" s="9">
        <v>1.2</v>
      </c>
      <c r="FA246" s="9">
        <v>0.6</v>
      </c>
      <c r="FB246" s="9">
        <v>0.9</v>
      </c>
      <c r="FC246" s="9">
        <v>1</v>
      </c>
      <c r="FD246" s="9">
        <v>0.1</v>
      </c>
      <c r="FE246" s="9">
        <v>-0.5</v>
      </c>
      <c r="FF246" s="9">
        <v>2.5</v>
      </c>
      <c r="FG246" s="9">
        <v>2.1</v>
      </c>
      <c r="FH246" s="9">
        <v>2.6</v>
      </c>
      <c r="FI246" s="9">
        <v>0.7</v>
      </c>
      <c r="FJ246" s="9">
        <v>0.6</v>
      </c>
      <c r="FK246" s="9">
        <v>0.8</v>
      </c>
      <c r="FL246" s="9">
        <v>0.8</v>
      </c>
      <c r="FM246" s="9">
        <v>1.1000000000000001</v>
      </c>
      <c r="FN246" s="9">
        <v>1</v>
      </c>
      <c r="FO246" s="9">
        <v>0.4</v>
      </c>
      <c r="FP246" s="9">
        <v>1.8</v>
      </c>
      <c r="FQ246" s="9">
        <v>0.3</v>
      </c>
      <c r="FR246" s="9">
        <v>0.3</v>
      </c>
      <c r="FS246" s="9">
        <v>1.4</v>
      </c>
      <c r="FT246" s="9">
        <v>1.4</v>
      </c>
      <c r="FU246" s="9">
        <v>1.2</v>
      </c>
      <c r="FV246" s="9">
        <v>1.7</v>
      </c>
      <c r="FW246" s="9">
        <v>0.4</v>
      </c>
      <c r="FX246" s="9">
        <v>-2.6</v>
      </c>
      <c r="FY246" s="9">
        <v>-1.3</v>
      </c>
      <c r="FZ246" s="9">
        <v>-3.7</v>
      </c>
      <c r="GA246" s="9">
        <v>-1.6</v>
      </c>
      <c r="GB246" s="9">
        <v>5.2</v>
      </c>
      <c r="GC246" s="9">
        <v>6.5</v>
      </c>
      <c r="GD246" s="9">
        <v>1.1000000000000001</v>
      </c>
      <c r="GE246" s="9">
        <v>0.8</v>
      </c>
      <c r="GF246" s="9">
        <v>1.7</v>
      </c>
      <c r="GG246" s="9">
        <v>1.7</v>
      </c>
      <c r="GH246" s="9">
        <v>0.9</v>
      </c>
      <c r="GI246" s="9">
        <v>1</v>
      </c>
      <c r="GJ246" s="9">
        <v>0.3</v>
      </c>
      <c r="GK246" s="9">
        <v>0.6</v>
      </c>
      <c r="GL246" s="9">
        <v>0</v>
      </c>
      <c r="GM246" s="9">
        <v>-0.5</v>
      </c>
      <c r="GN246" s="9">
        <v>0</v>
      </c>
      <c r="GO246" s="9">
        <v>-1.1000000000000001</v>
      </c>
      <c r="GP246" s="9">
        <v>0.3</v>
      </c>
      <c r="GQ246" s="9">
        <v>1.5</v>
      </c>
      <c r="GR246" s="9">
        <v>2.9</v>
      </c>
      <c r="GS246" s="9">
        <v>3.9</v>
      </c>
      <c r="GT246" s="9">
        <v>-0.2</v>
      </c>
      <c r="GU246" s="9">
        <v>4.0999999999999996</v>
      </c>
      <c r="GV246" s="9">
        <v>4.0999999999999996</v>
      </c>
      <c r="GW246" s="9">
        <v>1.1000000000000001</v>
      </c>
      <c r="GX246" s="9">
        <v>0.3</v>
      </c>
      <c r="GY246" s="9">
        <v>1</v>
      </c>
      <c r="GZ246" s="9">
        <v>3.6</v>
      </c>
      <c r="HA246" s="9">
        <v>-0.5</v>
      </c>
      <c r="HB246" s="9">
        <v>0.4</v>
      </c>
      <c r="HC246" s="9">
        <v>1.5</v>
      </c>
      <c r="HD246" s="9">
        <v>0.3</v>
      </c>
      <c r="HE246" s="9">
        <v>0.1</v>
      </c>
      <c r="HF246" s="9">
        <v>0.8</v>
      </c>
      <c r="HG246" s="9">
        <v>1.7</v>
      </c>
      <c r="HH246" s="9">
        <v>0.5</v>
      </c>
      <c r="HI246" s="9">
        <v>0.4</v>
      </c>
      <c r="HJ246" s="9">
        <v>2.1</v>
      </c>
      <c r="HK246" s="9">
        <v>-0.4</v>
      </c>
      <c r="HL246" s="9">
        <v>-0.4</v>
      </c>
      <c r="HM246" s="9">
        <v>0.3</v>
      </c>
      <c r="HN246" s="9">
        <v>3</v>
      </c>
      <c r="HO246" s="9">
        <v>3.4</v>
      </c>
      <c r="HP246" s="9">
        <v>1.4</v>
      </c>
      <c r="HQ246" s="9">
        <v>3.1</v>
      </c>
      <c r="HR246" s="9">
        <v>3.2</v>
      </c>
      <c r="HS246" s="9">
        <v>0.2</v>
      </c>
      <c r="HT246" s="9">
        <v>1</v>
      </c>
      <c r="HU246" s="9">
        <v>9.1</v>
      </c>
      <c r="HV246" s="9">
        <v>0.9</v>
      </c>
      <c r="HW246" s="9">
        <v>0.3</v>
      </c>
      <c r="HX246" s="9">
        <v>0.7</v>
      </c>
      <c r="HY246" s="9">
        <v>0.7</v>
      </c>
      <c r="HZ246" s="9">
        <v>0.2</v>
      </c>
      <c r="IA246" s="9">
        <v>0.2</v>
      </c>
      <c r="IB246" s="9">
        <v>1.7</v>
      </c>
      <c r="IC246" s="9">
        <v>0.1</v>
      </c>
      <c r="ID246" s="9">
        <v>-0.5</v>
      </c>
      <c r="IE246" s="9">
        <v>-2.1</v>
      </c>
      <c r="IF246" s="9">
        <v>-2.2000000000000002</v>
      </c>
      <c r="IG246" s="9">
        <v>-1.9</v>
      </c>
      <c r="IH246" s="9">
        <v>0.5</v>
      </c>
      <c r="II246" s="9">
        <v>-0.1</v>
      </c>
      <c r="IJ246" s="9">
        <v>0.9</v>
      </c>
      <c r="IK246" s="9">
        <v>-1</v>
      </c>
      <c r="IL246" s="9">
        <v>-3.5</v>
      </c>
      <c r="IM246" s="9">
        <v>2.6</v>
      </c>
      <c r="IN246" s="9">
        <v>0.7</v>
      </c>
      <c r="IO246" s="9">
        <v>-0.2</v>
      </c>
      <c r="IP246" s="9">
        <v>1</v>
      </c>
      <c r="IQ246" s="9">
        <v>2</v>
      </c>
    </row>
    <row r="247" spans="1:251" x14ac:dyDescent="0.2">
      <c r="A247" s="10">
        <v>39326</v>
      </c>
      <c r="B247" s="8">
        <v>61.32</v>
      </c>
      <c r="C247" s="8">
        <v>64.12</v>
      </c>
      <c r="D247" s="8">
        <v>67.900000000000006</v>
      </c>
      <c r="E247" s="8">
        <v>68.209999999999994</v>
      </c>
      <c r="F247" s="8">
        <v>64.58</v>
      </c>
      <c r="G247" s="8">
        <v>78.53</v>
      </c>
      <c r="H247" s="8">
        <v>71.2</v>
      </c>
      <c r="I247" s="8">
        <v>62.16</v>
      </c>
      <c r="J247" s="8">
        <v>55.39</v>
      </c>
      <c r="K247" s="8">
        <v>64.5</v>
      </c>
      <c r="L247" s="8">
        <v>52.83</v>
      </c>
      <c r="M247" s="8">
        <v>77.13</v>
      </c>
      <c r="N247" s="8">
        <v>55.44</v>
      </c>
      <c r="O247" s="8">
        <v>66.39</v>
      </c>
      <c r="P247" s="8">
        <v>71.12</v>
      </c>
      <c r="Q247" s="8">
        <v>76.59</v>
      </c>
      <c r="R247" s="8">
        <v>63.1</v>
      </c>
      <c r="S247" s="8">
        <v>70.3</v>
      </c>
      <c r="T247" s="8">
        <v>72.989999999999995</v>
      </c>
      <c r="U247" s="8">
        <v>75.97</v>
      </c>
      <c r="V247" s="8">
        <v>70.48</v>
      </c>
      <c r="W247" s="8">
        <v>66.53</v>
      </c>
      <c r="X247" s="8">
        <v>62.3</v>
      </c>
      <c r="Y247" s="8">
        <v>72.77</v>
      </c>
      <c r="Z247" s="8">
        <v>73.599999999999994</v>
      </c>
      <c r="AA247" s="8">
        <v>51.84</v>
      </c>
      <c r="AB247" s="8">
        <v>64.39</v>
      </c>
      <c r="AC247" s="8">
        <v>74.27</v>
      </c>
      <c r="AD247" s="8">
        <v>62.46</v>
      </c>
      <c r="AE247" s="8">
        <v>65.489999999999995</v>
      </c>
      <c r="AF247" s="8">
        <v>61.79</v>
      </c>
      <c r="AG247" s="8">
        <v>58.45</v>
      </c>
      <c r="AH247" s="8">
        <v>61.58</v>
      </c>
      <c r="AI247" s="8">
        <v>55.4</v>
      </c>
      <c r="AJ247" s="8">
        <v>35.950000000000003</v>
      </c>
      <c r="AK247" s="8">
        <v>63.47</v>
      </c>
      <c r="AL247" s="8">
        <v>53.91</v>
      </c>
      <c r="AM247" s="8">
        <v>86.05</v>
      </c>
      <c r="AN247" s="8">
        <v>54.27</v>
      </c>
      <c r="AO247" s="8">
        <v>14.49</v>
      </c>
      <c r="AP247" s="8">
        <v>14.49</v>
      </c>
      <c r="AQ247" s="8">
        <v>98.76</v>
      </c>
      <c r="AR247" s="8">
        <v>114.84</v>
      </c>
      <c r="AS247" s="8">
        <v>108.05</v>
      </c>
      <c r="AT247" s="8">
        <v>122.02</v>
      </c>
      <c r="AU247" s="8">
        <v>102.87</v>
      </c>
      <c r="AV247" s="8">
        <v>109.23</v>
      </c>
      <c r="AW247" s="8">
        <v>111.41</v>
      </c>
      <c r="AX247" s="8">
        <v>111.71</v>
      </c>
      <c r="AY247" s="8">
        <v>99.88</v>
      </c>
      <c r="AZ247" s="8">
        <v>61.32</v>
      </c>
      <c r="BA247" s="8">
        <v>61.85</v>
      </c>
      <c r="BB247" s="8">
        <v>55.74</v>
      </c>
      <c r="BC247" s="8">
        <v>50.93</v>
      </c>
      <c r="BD247" s="8">
        <v>57.48</v>
      </c>
      <c r="BE247" s="8">
        <v>57.48</v>
      </c>
      <c r="BF247" s="8">
        <v>51.65</v>
      </c>
      <c r="BG247" s="8">
        <v>51.66</v>
      </c>
      <c r="BH247" s="8">
        <v>51.97</v>
      </c>
      <c r="BI247" s="8">
        <v>59.35</v>
      </c>
      <c r="BJ247" s="8">
        <v>42.79</v>
      </c>
      <c r="BK247" s="8">
        <v>39.74</v>
      </c>
      <c r="BL247" s="8">
        <v>46.65</v>
      </c>
      <c r="BM247" s="8">
        <v>40.04</v>
      </c>
      <c r="BN247" s="8">
        <v>33.75</v>
      </c>
      <c r="BO247" s="8">
        <v>76.599999999999994</v>
      </c>
      <c r="BP247" s="8">
        <v>78.39</v>
      </c>
      <c r="BQ247" s="8">
        <v>81.16</v>
      </c>
      <c r="BR247" s="8">
        <v>66.37</v>
      </c>
      <c r="BS247" s="8">
        <v>114.08</v>
      </c>
      <c r="BT247" s="8">
        <v>114.08</v>
      </c>
      <c r="BU247" s="8">
        <v>100.75</v>
      </c>
      <c r="BV247" s="8">
        <v>104.32</v>
      </c>
      <c r="BW247" s="8">
        <v>104.75</v>
      </c>
      <c r="BX247" s="8">
        <v>115.52</v>
      </c>
      <c r="BY247" s="8">
        <v>76.52</v>
      </c>
      <c r="BZ247" s="8">
        <v>85.09</v>
      </c>
      <c r="CA247" s="8">
        <v>84.73</v>
      </c>
      <c r="CB247" s="8">
        <v>102.83</v>
      </c>
      <c r="CC247" s="8">
        <v>73.98</v>
      </c>
      <c r="CD247" s="8">
        <v>52.95</v>
      </c>
      <c r="CE247" s="8">
        <v>55.39</v>
      </c>
      <c r="CF247" s="8">
        <v>56.98</v>
      </c>
      <c r="CG247" s="8">
        <v>50.15</v>
      </c>
      <c r="CH247" s="8">
        <v>47.42</v>
      </c>
      <c r="CI247" s="8">
        <v>82.24</v>
      </c>
      <c r="CJ247" s="8">
        <v>81.56</v>
      </c>
      <c r="CK247" s="8">
        <v>88.83</v>
      </c>
      <c r="CL247" s="8">
        <v>40.9</v>
      </c>
      <c r="CM247" s="8">
        <v>38.33</v>
      </c>
      <c r="CN247" s="8">
        <v>61.82</v>
      </c>
      <c r="CO247" s="8">
        <v>70.12</v>
      </c>
      <c r="CP247" s="8">
        <v>70.39</v>
      </c>
      <c r="CQ247" s="8">
        <v>96.03</v>
      </c>
      <c r="CR247" s="8">
        <v>62.12</v>
      </c>
      <c r="CS247" s="8">
        <v>65.47</v>
      </c>
      <c r="CT247" s="8">
        <v>61.77</v>
      </c>
      <c r="CU247" s="8">
        <v>51.39</v>
      </c>
      <c r="CV247" s="8">
        <v>69.16</v>
      </c>
      <c r="CW247" s="8">
        <v>69.16</v>
      </c>
      <c r="CX247" s="8">
        <v>122.19</v>
      </c>
      <c r="CY247" s="8">
        <v>122.19</v>
      </c>
      <c r="CZ247" s="8">
        <v>47.82</v>
      </c>
      <c r="DA247" s="8">
        <v>127.41</v>
      </c>
      <c r="DB247" s="8">
        <v>78.31</v>
      </c>
      <c r="DC247" s="8">
        <v>188.64</v>
      </c>
      <c r="DD247" s="8">
        <v>437.49</v>
      </c>
      <c r="DE247" s="8">
        <v>73.099999999999994</v>
      </c>
      <c r="DF247" s="8">
        <v>70.33</v>
      </c>
      <c r="DG247" s="8">
        <v>97.31</v>
      </c>
      <c r="DH247" s="8">
        <v>60.48</v>
      </c>
      <c r="DI247" s="8">
        <v>63.16</v>
      </c>
      <c r="DJ247" s="8">
        <v>58.15</v>
      </c>
      <c r="DK247" s="8">
        <v>60.76</v>
      </c>
      <c r="DL247" s="8">
        <v>65.89</v>
      </c>
      <c r="DM247" s="8">
        <v>90.77</v>
      </c>
      <c r="DN247" s="8">
        <v>123.98</v>
      </c>
      <c r="DO247" s="8">
        <v>58.57</v>
      </c>
      <c r="DP247" s="8">
        <v>47.3</v>
      </c>
      <c r="DQ247" s="8">
        <v>57.48</v>
      </c>
      <c r="DR247" s="8">
        <v>55.11</v>
      </c>
      <c r="DS247" s="8">
        <v>45.75</v>
      </c>
      <c r="DT247" s="8">
        <v>45.75</v>
      </c>
      <c r="DU247" s="8">
        <v>49.62</v>
      </c>
      <c r="DV247" s="8">
        <v>40.78</v>
      </c>
      <c r="DW247" s="8">
        <v>48.78</v>
      </c>
      <c r="DX247" s="8">
        <v>61.91</v>
      </c>
      <c r="DY247" s="8">
        <v>38.270000000000003</v>
      </c>
      <c r="DZ247" s="8">
        <v>38.270000000000003</v>
      </c>
      <c r="EC247" s="8">
        <v>68.63</v>
      </c>
      <c r="ED247" s="9">
        <v>0.7</v>
      </c>
      <c r="EE247" s="9">
        <v>1.9</v>
      </c>
      <c r="EF247" s="9">
        <v>1</v>
      </c>
      <c r="EG247" s="9">
        <v>0.8</v>
      </c>
      <c r="EH247" s="9">
        <v>0.7</v>
      </c>
      <c r="EI247" s="9">
        <v>3.6</v>
      </c>
      <c r="EJ247" s="9">
        <v>0</v>
      </c>
      <c r="EK247" s="9">
        <v>0.4</v>
      </c>
      <c r="EL247" s="9">
        <v>-0.4</v>
      </c>
      <c r="EM247" s="9">
        <v>-0.9</v>
      </c>
      <c r="EN247" s="9">
        <v>0.1</v>
      </c>
      <c r="EO247" s="9">
        <v>1.5</v>
      </c>
      <c r="EP247" s="9">
        <v>0.1</v>
      </c>
      <c r="EQ247" s="9">
        <v>1.8</v>
      </c>
      <c r="ER247" s="9">
        <v>2.1</v>
      </c>
      <c r="ES247" s="9">
        <v>2.5</v>
      </c>
      <c r="ET247" s="9">
        <v>2.8</v>
      </c>
      <c r="EU247" s="9">
        <v>0.7</v>
      </c>
      <c r="EV247" s="9">
        <v>8.6999999999999993</v>
      </c>
      <c r="EW247" s="9">
        <v>9.6999999999999993</v>
      </c>
      <c r="EX247" s="9">
        <v>7.9</v>
      </c>
      <c r="EY247" s="9">
        <v>0</v>
      </c>
      <c r="EZ247" s="9">
        <v>0</v>
      </c>
      <c r="FA247" s="9">
        <v>0</v>
      </c>
      <c r="FB247" s="9">
        <v>0.8</v>
      </c>
      <c r="FC247" s="9">
        <v>-0.3</v>
      </c>
      <c r="FD247" s="9">
        <v>0.5</v>
      </c>
      <c r="FE247" s="9">
        <v>-1.2</v>
      </c>
      <c r="FF247" s="9">
        <v>-1.3</v>
      </c>
      <c r="FG247" s="9">
        <v>-3.7</v>
      </c>
      <c r="FH247" s="9">
        <v>-0.7</v>
      </c>
      <c r="FI247" s="9">
        <v>1.1000000000000001</v>
      </c>
      <c r="FJ247" s="9">
        <v>1.3</v>
      </c>
      <c r="FK247" s="9">
        <v>1</v>
      </c>
      <c r="FL247" s="9">
        <v>0.6</v>
      </c>
      <c r="FM247" s="9">
        <v>0.4</v>
      </c>
      <c r="FN247" s="9">
        <v>1.1000000000000001</v>
      </c>
      <c r="FO247" s="9">
        <v>-0.4</v>
      </c>
      <c r="FP247" s="9">
        <v>0.7</v>
      </c>
      <c r="FQ247" s="9">
        <v>0.8</v>
      </c>
      <c r="FR247" s="9">
        <v>0.8</v>
      </c>
      <c r="FS247" s="9">
        <v>0.3</v>
      </c>
      <c r="FT247" s="9">
        <v>-0.2</v>
      </c>
      <c r="FU247" s="9">
        <v>0.8</v>
      </c>
      <c r="FV247" s="9">
        <v>-0.7</v>
      </c>
      <c r="FW247" s="9">
        <v>-0.4</v>
      </c>
      <c r="FX247" s="9">
        <v>2.2000000000000002</v>
      </c>
      <c r="FY247" s="9">
        <v>2.4</v>
      </c>
      <c r="FZ247" s="9">
        <v>1.8</v>
      </c>
      <c r="GA247" s="9">
        <v>3.2</v>
      </c>
      <c r="GB247" s="9">
        <v>0.5</v>
      </c>
      <c r="GC247" s="9">
        <v>0.6</v>
      </c>
      <c r="GD247" s="9">
        <v>0.4</v>
      </c>
      <c r="GE247" s="9">
        <v>1.8</v>
      </c>
      <c r="GF247" s="9">
        <v>1.6</v>
      </c>
      <c r="GG247" s="9">
        <v>1.6</v>
      </c>
      <c r="GH247" s="9">
        <v>1</v>
      </c>
      <c r="GI247" s="9">
        <v>1</v>
      </c>
      <c r="GJ247" s="9">
        <v>2.1</v>
      </c>
      <c r="GK247" s="9">
        <v>0.7</v>
      </c>
      <c r="GL247" s="9">
        <v>4.5</v>
      </c>
      <c r="GM247" s="9">
        <v>4.2</v>
      </c>
      <c r="GN247" s="9">
        <v>5.5</v>
      </c>
      <c r="GO247" s="9">
        <v>4.2</v>
      </c>
      <c r="GP247" s="9">
        <v>2.5</v>
      </c>
      <c r="GQ247" s="9">
        <v>-2.4</v>
      </c>
      <c r="GR247" s="9">
        <v>-1</v>
      </c>
      <c r="GS247" s="9">
        <v>-1.5</v>
      </c>
      <c r="GT247" s="9">
        <v>0.3</v>
      </c>
      <c r="GU247" s="9">
        <v>-2.6</v>
      </c>
      <c r="GV247" s="9">
        <v>-2.6</v>
      </c>
      <c r="GW247" s="9">
        <v>0.2</v>
      </c>
      <c r="GX247" s="9">
        <v>0.1</v>
      </c>
      <c r="GY247" s="9">
        <v>0.3</v>
      </c>
      <c r="GZ247" s="9">
        <v>0.7</v>
      </c>
      <c r="HA247" s="9">
        <v>-0.4</v>
      </c>
      <c r="HB247" s="9">
        <v>-0.4</v>
      </c>
      <c r="HC247" s="9">
        <v>-0.1</v>
      </c>
      <c r="HD247" s="9">
        <v>-0.8</v>
      </c>
      <c r="HE247" s="9">
        <v>0</v>
      </c>
      <c r="HF247" s="9">
        <v>-9</v>
      </c>
      <c r="HG247" s="9">
        <v>-33.4</v>
      </c>
      <c r="HH247" s="9">
        <v>0.7</v>
      </c>
      <c r="HI247" s="9">
        <v>0.3</v>
      </c>
      <c r="HJ247" s="9">
        <v>-0.5</v>
      </c>
      <c r="HK247" s="9">
        <v>-4</v>
      </c>
      <c r="HL247" s="9">
        <v>-4.5</v>
      </c>
      <c r="HM247" s="9">
        <v>0.4</v>
      </c>
      <c r="HN247" s="9">
        <v>0.7</v>
      </c>
      <c r="HO247" s="9">
        <v>0.5</v>
      </c>
      <c r="HP247" s="9">
        <v>1.5</v>
      </c>
      <c r="HQ247" s="9">
        <v>-0.7</v>
      </c>
      <c r="HR247" s="9">
        <v>-0.8</v>
      </c>
      <c r="HS247" s="9">
        <v>-0.1</v>
      </c>
      <c r="HT247" s="9">
        <v>1.8</v>
      </c>
      <c r="HU247" s="9">
        <v>-3.7</v>
      </c>
      <c r="HV247" s="9">
        <v>1</v>
      </c>
      <c r="HW247" s="9">
        <v>2.5</v>
      </c>
      <c r="HX247" s="9">
        <v>1.7</v>
      </c>
      <c r="HY247" s="9">
        <v>1.7</v>
      </c>
      <c r="HZ247" s="9">
        <v>0</v>
      </c>
      <c r="IA247" s="9">
        <v>0</v>
      </c>
      <c r="IB247" s="9">
        <v>0.3</v>
      </c>
      <c r="IC247" s="9">
        <v>0</v>
      </c>
      <c r="ID247" s="9">
        <v>1.4</v>
      </c>
      <c r="IE247" s="9">
        <v>-1.6</v>
      </c>
      <c r="IF247" s="9">
        <v>-2.6</v>
      </c>
      <c r="IG247" s="9">
        <v>-0.5</v>
      </c>
      <c r="IH247" s="9">
        <v>0.6</v>
      </c>
      <c r="II247" s="9">
        <v>0.4</v>
      </c>
      <c r="IJ247" s="9">
        <v>0.7</v>
      </c>
      <c r="IK247" s="9">
        <v>2.8</v>
      </c>
      <c r="IL247" s="9">
        <v>1.8</v>
      </c>
      <c r="IM247" s="9">
        <v>4.0999999999999996</v>
      </c>
      <c r="IN247" s="9">
        <v>1.8</v>
      </c>
      <c r="IO247" s="9">
        <v>0.4</v>
      </c>
      <c r="IP247" s="9">
        <v>-0.4</v>
      </c>
      <c r="IQ247" s="9">
        <v>2.6</v>
      </c>
    </row>
    <row r="248" spans="1:251" x14ac:dyDescent="0.2">
      <c r="A248" s="10">
        <v>39417</v>
      </c>
      <c r="B248" s="8">
        <v>61.89</v>
      </c>
      <c r="C248" s="8">
        <v>64.02</v>
      </c>
      <c r="D248" s="8">
        <v>69.349999999999994</v>
      </c>
      <c r="E248" s="8">
        <v>70.06</v>
      </c>
      <c r="F248" s="8">
        <v>65.58</v>
      </c>
      <c r="G248" s="8">
        <v>80.62</v>
      </c>
      <c r="H248" s="8">
        <v>72.37</v>
      </c>
      <c r="I248" s="8">
        <v>63.06</v>
      </c>
      <c r="J248" s="8">
        <v>55.14</v>
      </c>
      <c r="K248" s="8">
        <v>65.13</v>
      </c>
      <c r="L248" s="8">
        <v>52.83</v>
      </c>
      <c r="M248" s="8">
        <v>80.34</v>
      </c>
      <c r="N248" s="8">
        <v>56.75</v>
      </c>
      <c r="O248" s="8">
        <v>67.19</v>
      </c>
      <c r="P248" s="8">
        <v>74.319999999999993</v>
      </c>
      <c r="Q248" s="8">
        <v>80.88</v>
      </c>
      <c r="R248" s="8">
        <v>66.2</v>
      </c>
      <c r="S248" s="8">
        <v>71.69</v>
      </c>
      <c r="T248" s="8">
        <v>65.63</v>
      </c>
      <c r="U248" s="8">
        <v>65.7</v>
      </c>
      <c r="V248" s="8">
        <v>65.599999999999994</v>
      </c>
      <c r="W248" s="8">
        <v>67.7</v>
      </c>
      <c r="X248" s="8">
        <v>62</v>
      </c>
      <c r="Y248" s="8">
        <v>73.81</v>
      </c>
      <c r="Z248" s="8">
        <v>72.739999999999995</v>
      </c>
      <c r="AA248" s="8">
        <v>52.25</v>
      </c>
      <c r="AB248" s="8">
        <v>65.66</v>
      </c>
      <c r="AC248" s="8">
        <v>77.13</v>
      </c>
      <c r="AD248" s="8">
        <v>63.86</v>
      </c>
      <c r="AE248" s="8">
        <v>68.42</v>
      </c>
      <c r="AF248" s="8">
        <v>62.85</v>
      </c>
      <c r="AG248" s="8">
        <v>59.17</v>
      </c>
      <c r="AH248" s="8">
        <v>62.19</v>
      </c>
      <c r="AI248" s="8">
        <v>56.17</v>
      </c>
      <c r="AJ248" s="8">
        <v>36.409999999999997</v>
      </c>
      <c r="AK248" s="8">
        <v>64.34</v>
      </c>
      <c r="AL248" s="8">
        <v>54.31</v>
      </c>
      <c r="AM248" s="8">
        <v>86.74</v>
      </c>
      <c r="AN248" s="8">
        <v>55.4</v>
      </c>
      <c r="AO248" s="8">
        <v>14.65</v>
      </c>
      <c r="AP248" s="8">
        <v>14.65</v>
      </c>
      <c r="AQ248" s="8">
        <v>99</v>
      </c>
      <c r="AR248" s="8">
        <v>114.63</v>
      </c>
      <c r="AS248" s="8">
        <v>107.8</v>
      </c>
      <c r="AT248" s="8">
        <v>121.52</v>
      </c>
      <c r="AU248" s="8">
        <v>103.47</v>
      </c>
      <c r="AV248" s="8">
        <v>109.93</v>
      </c>
      <c r="AW248" s="8">
        <v>108.63</v>
      </c>
      <c r="AX248" s="8">
        <v>114.27</v>
      </c>
      <c r="AY248" s="8">
        <v>100.55</v>
      </c>
      <c r="AZ248" s="8">
        <v>62.15</v>
      </c>
      <c r="BA248" s="8">
        <v>62.91</v>
      </c>
      <c r="BB248" s="8">
        <v>55.86</v>
      </c>
      <c r="BC248" s="8">
        <v>51.5</v>
      </c>
      <c r="BD248" s="8">
        <v>58.44</v>
      </c>
      <c r="BE248" s="8">
        <v>58.44</v>
      </c>
      <c r="BF248" s="8">
        <v>52.33</v>
      </c>
      <c r="BG248" s="8">
        <v>52.33</v>
      </c>
      <c r="BH248" s="8">
        <v>52.25</v>
      </c>
      <c r="BI248" s="8">
        <v>59.89</v>
      </c>
      <c r="BJ248" s="8">
        <v>42.79</v>
      </c>
      <c r="BK248" s="8">
        <v>39.9</v>
      </c>
      <c r="BL248" s="8">
        <v>46.85</v>
      </c>
      <c r="BM248" s="8">
        <v>40.32</v>
      </c>
      <c r="BN248" s="8">
        <v>33.65</v>
      </c>
      <c r="BO248" s="8">
        <v>77.2</v>
      </c>
      <c r="BP248" s="8">
        <v>79.62</v>
      </c>
      <c r="BQ248" s="8">
        <v>82.82</v>
      </c>
      <c r="BR248" s="8">
        <v>66.37</v>
      </c>
      <c r="BS248" s="8">
        <v>113.87</v>
      </c>
      <c r="BT248" s="8">
        <v>113.87</v>
      </c>
      <c r="BU248" s="8">
        <v>100.72</v>
      </c>
      <c r="BV248" s="8">
        <v>103.65</v>
      </c>
      <c r="BW248" s="8">
        <v>105.72</v>
      </c>
      <c r="BX248" s="8">
        <v>115.67</v>
      </c>
      <c r="BY248" s="8">
        <v>76.650000000000006</v>
      </c>
      <c r="BZ248" s="8">
        <v>85.37</v>
      </c>
      <c r="CA248" s="8">
        <v>83.72</v>
      </c>
      <c r="CB248" s="8">
        <v>103.09</v>
      </c>
      <c r="CC248" s="8">
        <v>74.540000000000006</v>
      </c>
      <c r="CD248" s="8">
        <v>53.74</v>
      </c>
      <c r="CE248" s="8">
        <v>56.06</v>
      </c>
      <c r="CF248" s="8">
        <v>57.66</v>
      </c>
      <c r="CG248" s="8">
        <v>51.15</v>
      </c>
      <c r="CH248" s="8">
        <v>46.93</v>
      </c>
      <c r="CI248" s="8">
        <v>78.34</v>
      </c>
      <c r="CJ248" s="8">
        <v>77.19</v>
      </c>
      <c r="CK248" s="8">
        <v>89.63</v>
      </c>
      <c r="CL248" s="8">
        <v>40.96</v>
      </c>
      <c r="CM248" s="8">
        <v>38.33</v>
      </c>
      <c r="CN248" s="8">
        <v>62.4</v>
      </c>
      <c r="CO248" s="8">
        <v>71.81</v>
      </c>
      <c r="CP248" s="8">
        <v>72.12</v>
      </c>
      <c r="CQ248" s="8">
        <v>95.36</v>
      </c>
      <c r="CR248" s="8">
        <v>63.01</v>
      </c>
      <c r="CS248" s="8">
        <v>70.25</v>
      </c>
      <c r="CT248" s="8">
        <v>62.33</v>
      </c>
      <c r="CU248" s="8">
        <v>51.98</v>
      </c>
      <c r="CV248" s="8">
        <v>70.19</v>
      </c>
      <c r="CW248" s="8">
        <v>70.19</v>
      </c>
      <c r="CX248" s="8">
        <v>122.21</v>
      </c>
      <c r="CY248" s="8">
        <v>122.21</v>
      </c>
      <c r="CZ248" s="8">
        <v>48.12</v>
      </c>
      <c r="DA248" s="8">
        <v>127.4</v>
      </c>
      <c r="DB248" s="8">
        <v>78.97</v>
      </c>
      <c r="DC248" s="8">
        <v>186.78</v>
      </c>
      <c r="DD248" s="8">
        <v>419.38</v>
      </c>
      <c r="DE248" s="8">
        <v>75.3</v>
      </c>
      <c r="DF248" s="8">
        <v>70.44</v>
      </c>
      <c r="DG248" s="8">
        <v>97.34</v>
      </c>
      <c r="DH248" s="8">
        <v>60.62</v>
      </c>
      <c r="DI248" s="8">
        <v>64.78</v>
      </c>
      <c r="DJ248" s="8">
        <v>60.32</v>
      </c>
      <c r="DK248" s="8">
        <v>61.41</v>
      </c>
      <c r="DL248" s="8">
        <v>65.959999999999994</v>
      </c>
      <c r="DM248" s="8">
        <v>90.5</v>
      </c>
      <c r="DN248" s="8">
        <v>122.29</v>
      </c>
      <c r="DO248" s="8">
        <v>58.05</v>
      </c>
      <c r="DP248" s="8">
        <v>47.64</v>
      </c>
      <c r="DQ248" s="8">
        <v>57.95</v>
      </c>
      <c r="DR248" s="8">
        <v>55.4</v>
      </c>
      <c r="DS248" s="8">
        <v>45.76</v>
      </c>
      <c r="DT248" s="8">
        <v>45.76</v>
      </c>
      <c r="DU248" s="8">
        <v>49.67</v>
      </c>
      <c r="DV248" s="8">
        <v>40.78</v>
      </c>
      <c r="DW248" s="8">
        <v>48.78</v>
      </c>
      <c r="DX248" s="8">
        <v>63.22</v>
      </c>
      <c r="DY248" s="8">
        <v>38.729999999999997</v>
      </c>
      <c r="DZ248" s="8">
        <v>38.729999999999997</v>
      </c>
      <c r="EC248" s="8">
        <v>69.91</v>
      </c>
      <c r="ED248" s="9">
        <v>0.9</v>
      </c>
      <c r="EE248" s="9">
        <v>-0.2</v>
      </c>
      <c r="EF248" s="9">
        <v>2.1</v>
      </c>
      <c r="EG248" s="9">
        <v>2.7</v>
      </c>
      <c r="EH248" s="9">
        <v>1.5</v>
      </c>
      <c r="EI248" s="9">
        <v>2.7</v>
      </c>
      <c r="EJ248" s="9">
        <v>1.6</v>
      </c>
      <c r="EK248" s="9">
        <v>1.4</v>
      </c>
      <c r="EL248" s="9">
        <v>-0.5</v>
      </c>
      <c r="EM248" s="9">
        <v>1</v>
      </c>
      <c r="EN248" s="9">
        <v>0</v>
      </c>
      <c r="EO248" s="9">
        <v>4.2</v>
      </c>
      <c r="EP248" s="9">
        <v>2.4</v>
      </c>
      <c r="EQ248" s="9">
        <v>1.2</v>
      </c>
      <c r="ER248" s="9">
        <v>4.5</v>
      </c>
      <c r="ES248" s="9">
        <v>5.6</v>
      </c>
      <c r="ET248" s="9">
        <v>4.9000000000000004</v>
      </c>
      <c r="EU248" s="9">
        <v>2</v>
      </c>
      <c r="EV248" s="9">
        <v>-10.1</v>
      </c>
      <c r="EW248" s="9">
        <v>-13.5</v>
      </c>
      <c r="EX248" s="9">
        <v>-6.9</v>
      </c>
      <c r="EY248" s="9">
        <v>1.8</v>
      </c>
      <c r="EZ248" s="9">
        <v>-0.5</v>
      </c>
      <c r="FA248" s="9">
        <v>1.4</v>
      </c>
      <c r="FB248" s="9">
        <v>-1.2</v>
      </c>
      <c r="FC248" s="9">
        <v>0.8</v>
      </c>
      <c r="FD248" s="9">
        <v>2</v>
      </c>
      <c r="FE248" s="9">
        <v>3.9</v>
      </c>
      <c r="FF248" s="9">
        <v>2.2000000000000002</v>
      </c>
      <c r="FG248" s="9">
        <v>4.5</v>
      </c>
      <c r="FH248" s="9">
        <v>1.7</v>
      </c>
      <c r="FI248" s="9">
        <v>1.2</v>
      </c>
      <c r="FJ248" s="9">
        <v>1</v>
      </c>
      <c r="FK248" s="9">
        <v>1.4</v>
      </c>
      <c r="FL248" s="9">
        <v>1.3</v>
      </c>
      <c r="FM248" s="9">
        <v>1.4</v>
      </c>
      <c r="FN248" s="9">
        <v>0.7</v>
      </c>
      <c r="FO248" s="9">
        <v>0.8</v>
      </c>
      <c r="FP248" s="9">
        <v>2.1</v>
      </c>
      <c r="FQ248" s="9">
        <v>1.1000000000000001</v>
      </c>
      <c r="FR248" s="9">
        <v>1.1000000000000001</v>
      </c>
      <c r="FS248" s="9">
        <v>0.2</v>
      </c>
      <c r="FT248" s="9">
        <v>-0.2</v>
      </c>
      <c r="FU248" s="9">
        <v>-0.2</v>
      </c>
      <c r="FV248" s="9">
        <v>-0.4</v>
      </c>
      <c r="FW248" s="9">
        <v>0.6</v>
      </c>
      <c r="FX248" s="9">
        <v>0.6</v>
      </c>
      <c r="FY248" s="9">
        <v>-2.5</v>
      </c>
      <c r="FZ248" s="9">
        <v>2.2999999999999998</v>
      </c>
      <c r="GA248" s="9">
        <v>0.7</v>
      </c>
      <c r="GB248" s="9">
        <v>1.4</v>
      </c>
      <c r="GC248" s="9">
        <v>1.7</v>
      </c>
      <c r="GD248" s="9">
        <v>0.2</v>
      </c>
      <c r="GE248" s="9">
        <v>1.1000000000000001</v>
      </c>
      <c r="GF248" s="9">
        <v>1.7</v>
      </c>
      <c r="GG248" s="9">
        <v>1.7</v>
      </c>
      <c r="GH248" s="9">
        <v>1.3</v>
      </c>
      <c r="GI248" s="9">
        <v>1.3</v>
      </c>
      <c r="GJ248" s="9">
        <v>0.5</v>
      </c>
      <c r="GK248" s="9">
        <v>0.9</v>
      </c>
      <c r="GL248" s="9">
        <v>0</v>
      </c>
      <c r="GM248" s="9">
        <v>0.4</v>
      </c>
      <c r="GN248" s="9">
        <v>0.4</v>
      </c>
      <c r="GO248" s="9">
        <v>0.7</v>
      </c>
      <c r="GP248" s="9">
        <v>-0.3</v>
      </c>
      <c r="GQ248" s="9">
        <v>0.8</v>
      </c>
      <c r="GR248" s="9">
        <v>1.6</v>
      </c>
      <c r="GS248" s="9">
        <v>2</v>
      </c>
      <c r="GT248" s="9">
        <v>0</v>
      </c>
      <c r="GU248" s="9">
        <v>-0.2</v>
      </c>
      <c r="GV248" s="9">
        <v>-0.2</v>
      </c>
      <c r="GW248" s="9">
        <v>0</v>
      </c>
      <c r="GX248" s="9">
        <v>-0.6</v>
      </c>
      <c r="GY248" s="9">
        <v>0.9</v>
      </c>
      <c r="GZ248" s="9">
        <v>0.1</v>
      </c>
      <c r="HA248" s="9">
        <v>0.2</v>
      </c>
      <c r="HB248" s="9">
        <v>0.3</v>
      </c>
      <c r="HC248" s="9">
        <v>-1.2</v>
      </c>
      <c r="HD248" s="9">
        <v>0.3</v>
      </c>
      <c r="HE248" s="9">
        <v>0.8</v>
      </c>
      <c r="HF248" s="9">
        <v>1.5</v>
      </c>
      <c r="HG248" s="9">
        <v>1.2</v>
      </c>
      <c r="HH248" s="9">
        <v>1.2</v>
      </c>
      <c r="HI248" s="9">
        <v>2</v>
      </c>
      <c r="HJ248" s="9">
        <v>-1</v>
      </c>
      <c r="HK248" s="9">
        <v>-4.7</v>
      </c>
      <c r="HL248" s="9">
        <v>-5.4</v>
      </c>
      <c r="HM248" s="9">
        <v>0.9</v>
      </c>
      <c r="HN248" s="9">
        <v>0.1</v>
      </c>
      <c r="HO248" s="9">
        <v>0</v>
      </c>
      <c r="HP248" s="9">
        <v>0.9</v>
      </c>
      <c r="HQ248" s="9">
        <v>2.4</v>
      </c>
      <c r="HR248" s="9">
        <v>2.5</v>
      </c>
      <c r="HS248" s="9">
        <v>-0.7</v>
      </c>
      <c r="HT248" s="9">
        <v>1.4</v>
      </c>
      <c r="HU248" s="9">
        <v>7.3</v>
      </c>
      <c r="HV248" s="9">
        <v>0.9</v>
      </c>
      <c r="HW248" s="9">
        <v>1.1000000000000001</v>
      </c>
      <c r="HX248" s="9">
        <v>1.5</v>
      </c>
      <c r="HY248" s="9">
        <v>1.5</v>
      </c>
      <c r="HZ248" s="9">
        <v>0</v>
      </c>
      <c r="IA248" s="9">
        <v>0</v>
      </c>
      <c r="IB248" s="9">
        <v>0.6</v>
      </c>
      <c r="IC248" s="9">
        <v>0</v>
      </c>
      <c r="ID248" s="9">
        <v>0.8</v>
      </c>
      <c r="IE248" s="9">
        <v>-1</v>
      </c>
      <c r="IF248" s="9">
        <v>-4.0999999999999996</v>
      </c>
      <c r="IG248" s="9">
        <v>3</v>
      </c>
      <c r="IH248" s="9">
        <v>0.2</v>
      </c>
      <c r="II248" s="9">
        <v>0</v>
      </c>
      <c r="IJ248" s="9">
        <v>0.2</v>
      </c>
      <c r="IK248" s="9">
        <v>2.6</v>
      </c>
      <c r="IL248" s="9">
        <v>3.7</v>
      </c>
      <c r="IM248" s="9">
        <v>1.1000000000000001</v>
      </c>
      <c r="IN248" s="9">
        <v>0.1</v>
      </c>
      <c r="IO248" s="9">
        <v>-0.3</v>
      </c>
      <c r="IP248" s="9">
        <v>-1.4</v>
      </c>
      <c r="IQ248" s="9">
        <v>-0.9</v>
      </c>
    </row>
    <row r="249" spans="1:251" x14ac:dyDescent="0.2">
      <c r="A249" s="10">
        <v>39508</v>
      </c>
      <c r="B249" s="8">
        <v>62.72</v>
      </c>
      <c r="C249" s="8">
        <v>65.38</v>
      </c>
      <c r="D249" s="8">
        <v>72.06</v>
      </c>
      <c r="E249" s="8">
        <v>72.84</v>
      </c>
      <c r="F249" s="8">
        <v>67.87</v>
      </c>
      <c r="G249" s="8">
        <v>82.27</v>
      </c>
      <c r="H249" s="8">
        <v>77.819999999999993</v>
      </c>
      <c r="I249" s="8">
        <v>64.61</v>
      </c>
      <c r="J249" s="8">
        <v>56.84</v>
      </c>
      <c r="K249" s="8">
        <v>67.040000000000006</v>
      </c>
      <c r="L249" s="8">
        <v>53.99</v>
      </c>
      <c r="M249" s="8">
        <v>84.26</v>
      </c>
      <c r="N249" s="8">
        <v>57.09</v>
      </c>
      <c r="O249" s="8">
        <v>67.62</v>
      </c>
      <c r="P249" s="8">
        <v>75.97</v>
      </c>
      <c r="Q249" s="8">
        <v>82.82</v>
      </c>
      <c r="R249" s="8">
        <v>68.48</v>
      </c>
      <c r="S249" s="8">
        <v>72.02</v>
      </c>
      <c r="T249" s="8">
        <v>66.510000000000005</v>
      </c>
      <c r="U249" s="8">
        <v>65.319999999999993</v>
      </c>
      <c r="V249" s="8">
        <v>67.55</v>
      </c>
      <c r="W249" s="8">
        <v>68.91</v>
      </c>
      <c r="X249" s="8">
        <v>65.22</v>
      </c>
      <c r="Y249" s="8">
        <v>74.7</v>
      </c>
      <c r="Z249" s="8">
        <v>73.17</v>
      </c>
      <c r="AA249" s="8">
        <v>53.45</v>
      </c>
      <c r="AB249" s="8">
        <v>66.78</v>
      </c>
      <c r="AC249" s="8">
        <v>78.61</v>
      </c>
      <c r="AD249" s="8">
        <v>65.39</v>
      </c>
      <c r="AE249" s="8">
        <v>70.099999999999994</v>
      </c>
      <c r="AF249" s="8">
        <v>64.349999999999994</v>
      </c>
      <c r="AG249" s="8">
        <v>60.17</v>
      </c>
      <c r="AH249" s="8">
        <v>62.81</v>
      </c>
      <c r="AI249" s="8">
        <v>57.44</v>
      </c>
      <c r="AJ249" s="8">
        <v>36.79</v>
      </c>
      <c r="AK249" s="8">
        <v>65.150000000000006</v>
      </c>
      <c r="AL249" s="8">
        <v>54.91</v>
      </c>
      <c r="AM249" s="8">
        <v>87.52</v>
      </c>
      <c r="AN249" s="8">
        <v>56.28</v>
      </c>
      <c r="AO249" s="8">
        <v>14.75</v>
      </c>
      <c r="AP249" s="8">
        <v>14.75</v>
      </c>
      <c r="AQ249" s="8">
        <v>96.58</v>
      </c>
      <c r="AR249" s="8">
        <v>112.44</v>
      </c>
      <c r="AS249" s="8">
        <v>103.95</v>
      </c>
      <c r="AT249" s="8">
        <v>121</v>
      </c>
      <c r="AU249" s="8">
        <v>99.36</v>
      </c>
      <c r="AV249" s="8">
        <v>106.91</v>
      </c>
      <c r="AW249" s="8">
        <v>105.69</v>
      </c>
      <c r="AX249" s="8">
        <v>110.22</v>
      </c>
      <c r="AY249" s="8">
        <v>99.96</v>
      </c>
      <c r="AZ249" s="8">
        <v>59.73</v>
      </c>
      <c r="BA249" s="8">
        <v>59.58</v>
      </c>
      <c r="BB249" s="8">
        <v>56.28</v>
      </c>
      <c r="BC249" s="8">
        <v>52.47</v>
      </c>
      <c r="BD249" s="8">
        <v>59.58</v>
      </c>
      <c r="BE249" s="8">
        <v>59.58</v>
      </c>
      <c r="BF249" s="8">
        <v>53.2</v>
      </c>
      <c r="BG249" s="8">
        <v>53.21</v>
      </c>
      <c r="BH249" s="8">
        <v>52.53</v>
      </c>
      <c r="BI249" s="8">
        <v>60.35</v>
      </c>
      <c r="BJ249" s="8">
        <v>42.79</v>
      </c>
      <c r="BK249" s="8">
        <v>41.39</v>
      </c>
      <c r="BL249" s="8">
        <v>46.85</v>
      </c>
      <c r="BM249" s="8">
        <v>42.74</v>
      </c>
      <c r="BN249" s="8">
        <v>34.6</v>
      </c>
      <c r="BO249" s="8">
        <v>76.69</v>
      </c>
      <c r="BP249" s="8">
        <v>77.510000000000005</v>
      </c>
      <c r="BQ249" s="8">
        <v>79.81</v>
      </c>
      <c r="BR249" s="8">
        <v>66.72</v>
      </c>
      <c r="BS249" s="8">
        <v>108.89</v>
      </c>
      <c r="BT249" s="8">
        <v>108.89</v>
      </c>
      <c r="BU249" s="8">
        <v>99.41</v>
      </c>
      <c r="BV249" s="8">
        <v>103.03</v>
      </c>
      <c r="BW249" s="8">
        <v>104.29</v>
      </c>
      <c r="BX249" s="8">
        <v>111.76</v>
      </c>
      <c r="BY249" s="8">
        <v>76.86</v>
      </c>
      <c r="BZ249" s="8">
        <v>85.83</v>
      </c>
      <c r="CA249" s="8">
        <v>84.39</v>
      </c>
      <c r="CB249" s="8">
        <v>103.13</v>
      </c>
      <c r="CC249" s="8">
        <v>75.209999999999994</v>
      </c>
      <c r="CD249" s="8">
        <v>54.78</v>
      </c>
      <c r="CE249" s="8">
        <v>58.6</v>
      </c>
      <c r="CF249" s="8">
        <v>58.15</v>
      </c>
      <c r="CG249" s="8">
        <v>52.05</v>
      </c>
      <c r="CH249" s="8">
        <v>48.81</v>
      </c>
      <c r="CI249" s="8">
        <v>87.61</v>
      </c>
      <c r="CJ249" s="8">
        <v>87.36</v>
      </c>
      <c r="CK249" s="8">
        <v>89.94</v>
      </c>
      <c r="CL249" s="8">
        <v>41.61</v>
      </c>
      <c r="CM249" s="8">
        <v>38.92</v>
      </c>
      <c r="CN249" s="8">
        <v>63.39</v>
      </c>
      <c r="CO249" s="8">
        <v>73.2</v>
      </c>
      <c r="CP249" s="8">
        <v>73.540000000000006</v>
      </c>
      <c r="CQ249" s="8">
        <v>94.94</v>
      </c>
      <c r="CR249" s="8">
        <v>64.06</v>
      </c>
      <c r="CS249" s="8">
        <v>74.08</v>
      </c>
      <c r="CT249" s="8">
        <v>62.72</v>
      </c>
      <c r="CU249" s="8">
        <v>52.37</v>
      </c>
      <c r="CV249" s="8">
        <v>71.150000000000006</v>
      </c>
      <c r="CW249" s="8">
        <v>71.150000000000006</v>
      </c>
      <c r="CX249" s="8">
        <v>122.14</v>
      </c>
      <c r="CY249" s="8">
        <v>122.14</v>
      </c>
      <c r="CZ249" s="8">
        <v>48.14</v>
      </c>
      <c r="DA249" s="8">
        <v>127.32</v>
      </c>
      <c r="DB249" s="8">
        <v>78.709999999999994</v>
      </c>
      <c r="DC249" s="8">
        <v>180.91</v>
      </c>
      <c r="DD249" s="8">
        <v>394.25</v>
      </c>
      <c r="DE249" s="8">
        <v>75.459999999999994</v>
      </c>
      <c r="DF249" s="8">
        <v>70.739999999999995</v>
      </c>
      <c r="DG249" s="8">
        <v>98.91</v>
      </c>
      <c r="DH249" s="8">
        <v>60.48</v>
      </c>
      <c r="DI249" s="8">
        <v>64.459999999999994</v>
      </c>
      <c r="DJ249" s="8">
        <v>59.48</v>
      </c>
      <c r="DK249" s="8">
        <v>61.83</v>
      </c>
      <c r="DL249" s="8">
        <v>66.739999999999995</v>
      </c>
      <c r="DM249" s="8">
        <v>90.76</v>
      </c>
      <c r="DN249" s="8">
        <v>124.07</v>
      </c>
      <c r="DO249" s="8">
        <v>58.58</v>
      </c>
      <c r="DP249" s="8">
        <v>48.14</v>
      </c>
      <c r="DQ249" s="8">
        <v>58.33</v>
      </c>
      <c r="DR249" s="8">
        <v>56.52</v>
      </c>
      <c r="DS249" s="8">
        <v>48.12</v>
      </c>
      <c r="DT249" s="8">
        <v>48.12</v>
      </c>
      <c r="DU249" s="8">
        <v>52.54</v>
      </c>
      <c r="DV249" s="8">
        <v>43.45</v>
      </c>
      <c r="DW249" s="8">
        <v>50.61</v>
      </c>
      <c r="DX249" s="8">
        <v>64.290000000000006</v>
      </c>
      <c r="DY249" s="8">
        <v>39.549999999999997</v>
      </c>
      <c r="DZ249" s="8">
        <v>39.549999999999997</v>
      </c>
      <c r="EC249" s="8">
        <v>71.349999999999994</v>
      </c>
      <c r="ED249" s="9">
        <v>1.3</v>
      </c>
      <c r="EE249" s="9">
        <v>2.1</v>
      </c>
      <c r="EF249" s="9">
        <v>3.9</v>
      </c>
      <c r="EG249" s="9">
        <v>4</v>
      </c>
      <c r="EH249" s="9">
        <v>3.5</v>
      </c>
      <c r="EI249" s="9">
        <v>2</v>
      </c>
      <c r="EJ249" s="9">
        <v>7.5</v>
      </c>
      <c r="EK249" s="9">
        <v>2.5</v>
      </c>
      <c r="EL249" s="9">
        <v>3.1</v>
      </c>
      <c r="EM249" s="9">
        <v>2.9</v>
      </c>
      <c r="EN249" s="9">
        <v>2.2000000000000002</v>
      </c>
      <c r="EO249" s="9">
        <v>4.9000000000000004</v>
      </c>
      <c r="EP249" s="9">
        <v>0.6</v>
      </c>
      <c r="EQ249" s="9">
        <v>0.6</v>
      </c>
      <c r="ER249" s="9">
        <v>2.2000000000000002</v>
      </c>
      <c r="ES249" s="9">
        <v>2.4</v>
      </c>
      <c r="ET249" s="9">
        <v>3.4</v>
      </c>
      <c r="EU249" s="9">
        <v>0.5</v>
      </c>
      <c r="EV249" s="9">
        <v>1.3</v>
      </c>
      <c r="EW249" s="9">
        <v>-0.6</v>
      </c>
      <c r="EX249" s="9">
        <v>3</v>
      </c>
      <c r="EY249" s="9">
        <v>1.8</v>
      </c>
      <c r="EZ249" s="9">
        <v>5.2</v>
      </c>
      <c r="FA249" s="9">
        <v>1.2</v>
      </c>
      <c r="FB249" s="9">
        <v>0.6</v>
      </c>
      <c r="FC249" s="9">
        <v>2.2999999999999998</v>
      </c>
      <c r="FD249" s="9">
        <v>1.7</v>
      </c>
      <c r="FE249" s="9">
        <v>1.9</v>
      </c>
      <c r="FF249" s="9">
        <v>2.4</v>
      </c>
      <c r="FG249" s="9">
        <v>2.5</v>
      </c>
      <c r="FH249" s="9">
        <v>2.4</v>
      </c>
      <c r="FI249" s="9">
        <v>1.7</v>
      </c>
      <c r="FJ249" s="9">
        <v>1</v>
      </c>
      <c r="FK249" s="9">
        <v>2.2999999999999998</v>
      </c>
      <c r="FL249" s="9">
        <v>1</v>
      </c>
      <c r="FM249" s="9">
        <v>1.3</v>
      </c>
      <c r="FN249" s="9">
        <v>1.1000000000000001</v>
      </c>
      <c r="FO249" s="9">
        <v>0.9</v>
      </c>
      <c r="FP249" s="9">
        <v>1.6</v>
      </c>
      <c r="FQ249" s="9">
        <v>0.7</v>
      </c>
      <c r="FR249" s="9">
        <v>0.7</v>
      </c>
      <c r="FS249" s="9">
        <v>-2.4</v>
      </c>
      <c r="FT249" s="9">
        <v>-1.9</v>
      </c>
      <c r="FU249" s="9">
        <v>-3.6</v>
      </c>
      <c r="FV249" s="9">
        <v>-0.4</v>
      </c>
      <c r="FW249" s="9">
        <v>-4</v>
      </c>
      <c r="FX249" s="9">
        <v>-2.7</v>
      </c>
      <c r="FY249" s="9">
        <v>-2.7</v>
      </c>
      <c r="FZ249" s="9">
        <v>-3.5</v>
      </c>
      <c r="GA249" s="9">
        <v>-0.6</v>
      </c>
      <c r="GB249" s="9">
        <v>-3.9</v>
      </c>
      <c r="GC249" s="9">
        <v>-5.3</v>
      </c>
      <c r="GD249" s="9">
        <v>0.8</v>
      </c>
      <c r="GE249" s="9">
        <v>1.9</v>
      </c>
      <c r="GF249" s="9">
        <v>2</v>
      </c>
      <c r="GG249" s="9">
        <v>2</v>
      </c>
      <c r="GH249" s="9">
        <v>1.7</v>
      </c>
      <c r="GI249" s="9">
        <v>1.7</v>
      </c>
      <c r="GJ249" s="9">
        <v>0.5</v>
      </c>
      <c r="GK249" s="9">
        <v>0.8</v>
      </c>
      <c r="GL249" s="9">
        <v>0</v>
      </c>
      <c r="GM249" s="9">
        <v>3.7</v>
      </c>
      <c r="GN249" s="9">
        <v>0</v>
      </c>
      <c r="GO249" s="9">
        <v>6</v>
      </c>
      <c r="GP249" s="9">
        <v>2.8</v>
      </c>
      <c r="GQ249" s="9">
        <v>-0.7</v>
      </c>
      <c r="GR249" s="9">
        <v>-2.7</v>
      </c>
      <c r="GS249" s="9">
        <v>-3.6</v>
      </c>
      <c r="GT249" s="9">
        <v>0.5</v>
      </c>
      <c r="GU249" s="9">
        <v>-4.4000000000000004</v>
      </c>
      <c r="GV249" s="9">
        <v>-4.4000000000000004</v>
      </c>
      <c r="GW249" s="9">
        <v>-1.3</v>
      </c>
      <c r="GX249" s="9">
        <v>-0.6</v>
      </c>
      <c r="GY249" s="9">
        <v>-1.4</v>
      </c>
      <c r="GZ249" s="9">
        <v>-3.4</v>
      </c>
      <c r="HA249" s="9">
        <v>0.3</v>
      </c>
      <c r="HB249" s="9">
        <v>0.5</v>
      </c>
      <c r="HC249" s="9">
        <v>0.8</v>
      </c>
      <c r="HD249" s="9">
        <v>0</v>
      </c>
      <c r="HE249" s="9">
        <v>0.9</v>
      </c>
      <c r="HF249" s="9">
        <v>1.9</v>
      </c>
      <c r="HG249" s="9">
        <v>4.5</v>
      </c>
      <c r="HH249" s="9">
        <v>0.8</v>
      </c>
      <c r="HI249" s="9">
        <v>1.8</v>
      </c>
      <c r="HJ249" s="9">
        <v>4</v>
      </c>
      <c r="HK249" s="9">
        <v>11.8</v>
      </c>
      <c r="HL249" s="9">
        <v>13.2</v>
      </c>
      <c r="HM249" s="9">
        <v>0.3</v>
      </c>
      <c r="HN249" s="9">
        <v>1.6</v>
      </c>
      <c r="HO249" s="9">
        <v>1.5</v>
      </c>
      <c r="HP249" s="9">
        <v>1.6</v>
      </c>
      <c r="HQ249" s="9">
        <v>1.9</v>
      </c>
      <c r="HR249" s="9">
        <v>2</v>
      </c>
      <c r="HS249" s="9">
        <v>-0.4</v>
      </c>
      <c r="HT249" s="9">
        <v>1.7</v>
      </c>
      <c r="HU249" s="9">
        <v>5.5</v>
      </c>
      <c r="HV249" s="9">
        <v>0.6</v>
      </c>
      <c r="HW249" s="9">
        <v>0.8</v>
      </c>
      <c r="HX249" s="9">
        <v>1.4</v>
      </c>
      <c r="HY249" s="9">
        <v>1.4</v>
      </c>
      <c r="HZ249" s="9">
        <v>-0.1</v>
      </c>
      <c r="IA249" s="9">
        <v>-0.1</v>
      </c>
      <c r="IB249" s="9">
        <v>0</v>
      </c>
      <c r="IC249" s="9">
        <v>-0.1</v>
      </c>
      <c r="ID249" s="9">
        <v>-0.3</v>
      </c>
      <c r="IE249" s="9">
        <v>-3.1</v>
      </c>
      <c r="IF249" s="9">
        <v>-6</v>
      </c>
      <c r="IG249" s="9">
        <v>0.2</v>
      </c>
      <c r="IH249" s="9">
        <v>0.4</v>
      </c>
      <c r="II249" s="9">
        <v>1.6</v>
      </c>
      <c r="IJ249" s="9">
        <v>-0.2</v>
      </c>
      <c r="IK249" s="9">
        <v>-0.5</v>
      </c>
      <c r="IL249" s="9">
        <v>-1.4</v>
      </c>
      <c r="IM249" s="9">
        <v>0.7</v>
      </c>
      <c r="IN249" s="9">
        <v>1.2</v>
      </c>
      <c r="IO249" s="9">
        <v>0.3</v>
      </c>
      <c r="IP249" s="9">
        <v>1.5</v>
      </c>
      <c r="IQ249" s="9">
        <v>0.9</v>
      </c>
    </row>
    <row r="250" spans="1:251" x14ac:dyDescent="0.2">
      <c r="A250" s="10">
        <v>39600</v>
      </c>
      <c r="B250" s="8">
        <v>63.63</v>
      </c>
      <c r="C250" s="8">
        <v>65.349999999999994</v>
      </c>
      <c r="D250" s="8">
        <v>72.45</v>
      </c>
      <c r="E250" s="8">
        <v>72.23</v>
      </c>
      <c r="F250" s="8">
        <v>69.400000000000006</v>
      </c>
      <c r="G250" s="8">
        <v>82.53</v>
      </c>
      <c r="H250" s="8">
        <v>77.290000000000006</v>
      </c>
      <c r="I250" s="8">
        <v>64.5</v>
      </c>
      <c r="J250" s="8">
        <v>56.56</v>
      </c>
      <c r="K250" s="8">
        <v>66.790000000000006</v>
      </c>
      <c r="L250" s="8">
        <v>55.01</v>
      </c>
      <c r="M250" s="8">
        <v>84.29</v>
      </c>
      <c r="N250" s="8">
        <v>57</v>
      </c>
      <c r="O250" s="8">
        <v>66.89</v>
      </c>
      <c r="P250" s="8">
        <v>78.09</v>
      </c>
      <c r="Q250" s="8">
        <v>83.8</v>
      </c>
      <c r="R250" s="8">
        <v>70.12</v>
      </c>
      <c r="S250" s="8">
        <v>76.63</v>
      </c>
      <c r="T250" s="8">
        <v>61.91</v>
      </c>
      <c r="U250" s="8">
        <v>60.47</v>
      </c>
      <c r="V250" s="8">
        <v>63.16</v>
      </c>
      <c r="W250" s="8">
        <v>69.88</v>
      </c>
      <c r="X250" s="8">
        <v>63.27</v>
      </c>
      <c r="Y250" s="8">
        <v>76.459999999999994</v>
      </c>
      <c r="Z250" s="8">
        <v>75.209999999999994</v>
      </c>
      <c r="AA250" s="8">
        <v>56.21</v>
      </c>
      <c r="AB250" s="8">
        <v>67.489999999999995</v>
      </c>
      <c r="AC250" s="8">
        <v>79.12</v>
      </c>
      <c r="AD250" s="8">
        <v>66.31</v>
      </c>
      <c r="AE250" s="8">
        <v>70.88</v>
      </c>
      <c r="AF250" s="8">
        <v>65.3</v>
      </c>
      <c r="AG250" s="8">
        <v>61.09</v>
      </c>
      <c r="AH250" s="8">
        <v>63.57</v>
      </c>
      <c r="AI250" s="8">
        <v>58.45</v>
      </c>
      <c r="AJ250" s="8">
        <v>37.47</v>
      </c>
      <c r="AK250" s="8">
        <v>66.48</v>
      </c>
      <c r="AL250" s="8">
        <v>58.27</v>
      </c>
      <c r="AM250" s="8">
        <v>89</v>
      </c>
      <c r="AN250" s="8">
        <v>56.57</v>
      </c>
      <c r="AO250" s="8">
        <v>14.97</v>
      </c>
      <c r="AP250" s="8">
        <v>14.97</v>
      </c>
      <c r="AQ250" s="8">
        <v>99.46</v>
      </c>
      <c r="AR250" s="8">
        <v>115.47</v>
      </c>
      <c r="AS250" s="8">
        <v>109.47</v>
      </c>
      <c r="AT250" s="8">
        <v>122.2</v>
      </c>
      <c r="AU250" s="8">
        <v>103.17</v>
      </c>
      <c r="AV250" s="8">
        <v>108.34</v>
      </c>
      <c r="AW250" s="8">
        <v>106.35</v>
      </c>
      <c r="AX250" s="8">
        <v>112.52</v>
      </c>
      <c r="AY250" s="8">
        <v>100.25</v>
      </c>
      <c r="AZ250" s="8">
        <v>62.98</v>
      </c>
      <c r="BA250" s="8">
        <v>63.64</v>
      </c>
      <c r="BB250" s="8">
        <v>56.94</v>
      </c>
      <c r="BC250" s="8">
        <v>53.02</v>
      </c>
      <c r="BD250" s="8">
        <v>60.91</v>
      </c>
      <c r="BE250" s="8">
        <v>60.91</v>
      </c>
      <c r="BF250" s="8">
        <v>53.73</v>
      </c>
      <c r="BG250" s="8">
        <v>53.73</v>
      </c>
      <c r="BH250" s="8">
        <v>52.74</v>
      </c>
      <c r="BI250" s="8">
        <v>60.77</v>
      </c>
      <c r="BJ250" s="8">
        <v>42.79</v>
      </c>
      <c r="BK250" s="8">
        <v>41.32</v>
      </c>
      <c r="BL250" s="8">
        <v>46.85</v>
      </c>
      <c r="BM250" s="8">
        <v>42.17</v>
      </c>
      <c r="BN250" s="8">
        <v>35.43</v>
      </c>
      <c r="BO250" s="8">
        <v>77.97</v>
      </c>
      <c r="BP250" s="8">
        <v>79.62</v>
      </c>
      <c r="BQ250" s="8">
        <v>82.37</v>
      </c>
      <c r="BR250" s="8">
        <v>67.569999999999993</v>
      </c>
      <c r="BS250" s="8">
        <v>112.39</v>
      </c>
      <c r="BT250" s="8">
        <v>112.39</v>
      </c>
      <c r="BU250" s="8">
        <v>100.99</v>
      </c>
      <c r="BV250" s="8">
        <v>104.87</v>
      </c>
      <c r="BW250" s="8">
        <v>104.39</v>
      </c>
      <c r="BX250" s="8">
        <v>114.69</v>
      </c>
      <c r="BY250" s="8">
        <v>77.62</v>
      </c>
      <c r="BZ250" s="8">
        <v>86.6</v>
      </c>
      <c r="CA250" s="8">
        <v>82.61</v>
      </c>
      <c r="CB250" s="8">
        <v>103.4</v>
      </c>
      <c r="CC250" s="8">
        <v>76.790000000000006</v>
      </c>
      <c r="CD250" s="8">
        <v>55.36</v>
      </c>
      <c r="CE250" s="8">
        <v>59.31</v>
      </c>
      <c r="CF250" s="8">
        <v>58.75</v>
      </c>
      <c r="CG250" s="8">
        <v>52.58</v>
      </c>
      <c r="CH250" s="8">
        <v>49.96</v>
      </c>
      <c r="CI250" s="8">
        <v>86.92</v>
      </c>
      <c r="CJ250" s="8">
        <v>86.59</v>
      </c>
      <c r="CK250" s="8">
        <v>89.89</v>
      </c>
      <c r="CL250" s="8">
        <v>43.05</v>
      </c>
      <c r="CM250" s="8">
        <v>40.479999999999997</v>
      </c>
      <c r="CN250" s="8">
        <v>64.19</v>
      </c>
      <c r="CO250" s="8">
        <v>75.459999999999994</v>
      </c>
      <c r="CP250" s="8">
        <v>75.94</v>
      </c>
      <c r="CQ250" s="8">
        <v>94.9</v>
      </c>
      <c r="CR250" s="8">
        <v>64.06</v>
      </c>
      <c r="CS250" s="8">
        <v>80.48</v>
      </c>
      <c r="CT250" s="8">
        <v>63.27</v>
      </c>
      <c r="CU250" s="8">
        <v>52.77</v>
      </c>
      <c r="CV250" s="8">
        <v>71.349999999999994</v>
      </c>
      <c r="CW250" s="8">
        <v>71.349999999999994</v>
      </c>
      <c r="CX250" s="8">
        <v>122.22</v>
      </c>
      <c r="CY250" s="8">
        <v>122.22</v>
      </c>
      <c r="CZ250" s="8">
        <v>48.15</v>
      </c>
      <c r="DA250" s="8">
        <v>127.41</v>
      </c>
      <c r="DB250" s="8">
        <v>78.510000000000005</v>
      </c>
      <c r="DC250" s="8">
        <v>178.43</v>
      </c>
      <c r="DD250" s="8">
        <v>387.09</v>
      </c>
      <c r="DE250" s="8">
        <v>74.81</v>
      </c>
      <c r="DF250" s="8">
        <v>71.03</v>
      </c>
      <c r="DG250" s="8">
        <v>98.48</v>
      </c>
      <c r="DH250" s="8">
        <v>60.99</v>
      </c>
      <c r="DI250" s="8">
        <v>64.010000000000005</v>
      </c>
      <c r="DJ250" s="8">
        <v>58.31</v>
      </c>
      <c r="DK250" s="8">
        <v>62.43</v>
      </c>
      <c r="DL250" s="8">
        <v>67.17</v>
      </c>
      <c r="DM250" s="8">
        <v>90.29</v>
      </c>
      <c r="DN250" s="8">
        <v>122.87</v>
      </c>
      <c r="DO250" s="8">
        <v>58.14</v>
      </c>
      <c r="DP250" s="8">
        <v>48.46</v>
      </c>
      <c r="DQ250" s="8">
        <v>58.74</v>
      </c>
      <c r="DR250" s="8">
        <v>57.8</v>
      </c>
      <c r="DS250" s="8">
        <v>48.14</v>
      </c>
      <c r="DT250" s="8">
        <v>48.14</v>
      </c>
      <c r="DU250" s="8">
        <v>52.63</v>
      </c>
      <c r="DV250" s="8">
        <v>43.45</v>
      </c>
      <c r="DW250" s="8">
        <v>50.61</v>
      </c>
      <c r="DX250" s="8">
        <v>66.72</v>
      </c>
      <c r="DY250" s="8">
        <v>40.54</v>
      </c>
      <c r="DZ250" s="8">
        <v>40.54</v>
      </c>
      <c r="EC250" s="8">
        <v>69.22</v>
      </c>
      <c r="ED250" s="9">
        <v>1.5</v>
      </c>
      <c r="EE250" s="9">
        <v>0</v>
      </c>
      <c r="EF250" s="9">
        <v>0.5</v>
      </c>
      <c r="EG250" s="9">
        <v>-0.8</v>
      </c>
      <c r="EH250" s="9">
        <v>2.2999999999999998</v>
      </c>
      <c r="EI250" s="9">
        <v>0.3</v>
      </c>
      <c r="EJ250" s="9">
        <v>-0.7</v>
      </c>
      <c r="EK250" s="9">
        <v>-0.2</v>
      </c>
      <c r="EL250" s="9">
        <v>-0.5</v>
      </c>
      <c r="EM250" s="9">
        <v>-0.4</v>
      </c>
      <c r="EN250" s="9">
        <v>1.9</v>
      </c>
      <c r="EO250" s="9">
        <v>0</v>
      </c>
      <c r="EP250" s="9">
        <v>-0.2</v>
      </c>
      <c r="EQ250" s="9">
        <v>-1.1000000000000001</v>
      </c>
      <c r="ER250" s="9">
        <v>2.8</v>
      </c>
      <c r="ES250" s="9">
        <v>1.2</v>
      </c>
      <c r="ET250" s="9">
        <v>2.4</v>
      </c>
      <c r="EU250" s="9">
        <v>6.4</v>
      </c>
      <c r="EV250" s="9">
        <v>-6.9</v>
      </c>
      <c r="EW250" s="9">
        <v>-7.4</v>
      </c>
      <c r="EX250" s="9">
        <v>-6.5</v>
      </c>
      <c r="EY250" s="9">
        <v>1.4</v>
      </c>
      <c r="EZ250" s="9">
        <v>-3</v>
      </c>
      <c r="FA250" s="9">
        <v>2.4</v>
      </c>
      <c r="FB250" s="9">
        <v>2.8</v>
      </c>
      <c r="FC250" s="9">
        <v>5.2</v>
      </c>
      <c r="FD250" s="9">
        <v>1.1000000000000001</v>
      </c>
      <c r="FE250" s="9">
        <v>0.6</v>
      </c>
      <c r="FF250" s="9">
        <v>1.4</v>
      </c>
      <c r="FG250" s="9">
        <v>1.1000000000000001</v>
      </c>
      <c r="FH250" s="9">
        <v>1.5</v>
      </c>
      <c r="FI250" s="9">
        <v>1.5</v>
      </c>
      <c r="FJ250" s="9">
        <v>1.2</v>
      </c>
      <c r="FK250" s="9">
        <v>1.8</v>
      </c>
      <c r="FL250" s="9">
        <v>1.8</v>
      </c>
      <c r="FM250" s="9">
        <v>2</v>
      </c>
      <c r="FN250" s="9">
        <v>6.1</v>
      </c>
      <c r="FO250" s="9">
        <v>1.7</v>
      </c>
      <c r="FP250" s="9">
        <v>0.5</v>
      </c>
      <c r="FQ250" s="9">
        <v>1.5</v>
      </c>
      <c r="FR250" s="9">
        <v>1.5</v>
      </c>
      <c r="FS250" s="9">
        <v>3</v>
      </c>
      <c r="FT250" s="9">
        <v>2.7</v>
      </c>
      <c r="FU250" s="9">
        <v>5.3</v>
      </c>
      <c r="FV250" s="9">
        <v>1</v>
      </c>
      <c r="FW250" s="9">
        <v>3.8</v>
      </c>
      <c r="FX250" s="9">
        <v>1.3</v>
      </c>
      <c r="FY250" s="9">
        <v>0.6</v>
      </c>
      <c r="FZ250" s="9">
        <v>2.1</v>
      </c>
      <c r="GA250" s="9">
        <v>0.3</v>
      </c>
      <c r="GB250" s="9">
        <v>5.4</v>
      </c>
      <c r="GC250" s="9">
        <v>6.8</v>
      </c>
      <c r="GD250" s="9">
        <v>1.2</v>
      </c>
      <c r="GE250" s="9">
        <v>1</v>
      </c>
      <c r="GF250" s="9">
        <v>2.2000000000000002</v>
      </c>
      <c r="GG250" s="9">
        <v>2.2000000000000002</v>
      </c>
      <c r="GH250" s="9">
        <v>1</v>
      </c>
      <c r="GI250" s="9">
        <v>1</v>
      </c>
      <c r="GJ250" s="9">
        <v>0.4</v>
      </c>
      <c r="GK250" s="9">
        <v>0.7</v>
      </c>
      <c r="GL250" s="9">
        <v>0</v>
      </c>
      <c r="GM250" s="9">
        <v>-0.2</v>
      </c>
      <c r="GN250" s="9">
        <v>0</v>
      </c>
      <c r="GO250" s="9">
        <v>-1.3</v>
      </c>
      <c r="GP250" s="9">
        <v>2.4</v>
      </c>
      <c r="GQ250" s="9">
        <v>1.7</v>
      </c>
      <c r="GR250" s="9">
        <v>2.7</v>
      </c>
      <c r="GS250" s="9">
        <v>3.2</v>
      </c>
      <c r="GT250" s="9">
        <v>1.3</v>
      </c>
      <c r="GU250" s="9">
        <v>3.2</v>
      </c>
      <c r="GV250" s="9">
        <v>3.2</v>
      </c>
      <c r="GW250" s="9">
        <v>1.6</v>
      </c>
      <c r="GX250" s="9">
        <v>1.8</v>
      </c>
      <c r="GY250" s="9">
        <v>0.1</v>
      </c>
      <c r="GZ250" s="9">
        <v>2.6</v>
      </c>
      <c r="HA250" s="9">
        <v>1</v>
      </c>
      <c r="HB250" s="9">
        <v>0.9</v>
      </c>
      <c r="HC250" s="9">
        <v>-2.1</v>
      </c>
      <c r="HD250" s="9">
        <v>0.3</v>
      </c>
      <c r="HE250" s="9">
        <v>2.1</v>
      </c>
      <c r="HF250" s="9">
        <v>1.1000000000000001</v>
      </c>
      <c r="HG250" s="9">
        <v>1.2</v>
      </c>
      <c r="HH250" s="9">
        <v>1</v>
      </c>
      <c r="HI250" s="9">
        <v>1</v>
      </c>
      <c r="HJ250" s="9">
        <v>2.4</v>
      </c>
      <c r="HK250" s="9">
        <v>-0.8</v>
      </c>
      <c r="HL250" s="9">
        <v>-0.9</v>
      </c>
      <c r="HM250" s="9">
        <v>-0.1</v>
      </c>
      <c r="HN250" s="9">
        <v>3.5</v>
      </c>
      <c r="HO250" s="9">
        <v>4</v>
      </c>
      <c r="HP250" s="9">
        <v>1.3</v>
      </c>
      <c r="HQ250" s="9">
        <v>3.1</v>
      </c>
      <c r="HR250" s="9">
        <v>3.3</v>
      </c>
      <c r="HS250" s="9">
        <v>0</v>
      </c>
      <c r="HT250" s="9">
        <v>0</v>
      </c>
      <c r="HU250" s="9">
        <v>8.6</v>
      </c>
      <c r="HV250" s="9">
        <v>0.9</v>
      </c>
      <c r="HW250" s="9">
        <v>0.8</v>
      </c>
      <c r="HX250" s="9">
        <v>0.3</v>
      </c>
      <c r="HY250" s="9">
        <v>0.3</v>
      </c>
      <c r="HZ250" s="9">
        <v>0.1</v>
      </c>
      <c r="IA250" s="9">
        <v>0.1</v>
      </c>
      <c r="IB250" s="9">
        <v>0</v>
      </c>
      <c r="IC250" s="9">
        <v>0.1</v>
      </c>
      <c r="ID250" s="9">
        <v>-0.3</v>
      </c>
      <c r="IE250" s="9">
        <v>-1.4</v>
      </c>
      <c r="IF250" s="9">
        <v>-1.8</v>
      </c>
      <c r="IG250" s="9">
        <v>-0.9</v>
      </c>
      <c r="IH250" s="9">
        <v>0.4</v>
      </c>
      <c r="II250" s="9">
        <v>-0.4</v>
      </c>
      <c r="IJ250" s="9">
        <v>0.8</v>
      </c>
      <c r="IK250" s="9">
        <v>-0.7</v>
      </c>
      <c r="IL250" s="9">
        <v>-2</v>
      </c>
      <c r="IM250" s="9">
        <v>1</v>
      </c>
      <c r="IN250" s="9">
        <v>0.6</v>
      </c>
      <c r="IO250" s="9">
        <v>-0.5</v>
      </c>
      <c r="IP250" s="9">
        <v>-1</v>
      </c>
      <c r="IQ250" s="9">
        <v>-0.8</v>
      </c>
    </row>
    <row r="251" spans="1:251" x14ac:dyDescent="0.2">
      <c r="A251" s="10">
        <v>39692</v>
      </c>
      <c r="B251" s="8">
        <v>64.37</v>
      </c>
      <c r="C251" s="8">
        <v>66.28</v>
      </c>
      <c r="D251" s="8">
        <v>74.650000000000006</v>
      </c>
      <c r="E251" s="8">
        <v>75.62</v>
      </c>
      <c r="F251" s="8">
        <v>70.47</v>
      </c>
      <c r="G251" s="8">
        <v>81.86</v>
      </c>
      <c r="H251" s="8">
        <v>82.57</v>
      </c>
      <c r="I251" s="8">
        <v>64.92</v>
      </c>
      <c r="J251" s="8">
        <v>56.61</v>
      </c>
      <c r="K251" s="8">
        <v>65.599999999999994</v>
      </c>
      <c r="L251" s="8">
        <v>55.2</v>
      </c>
      <c r="M251" s="8">
        <v>83.75</v>
      </c>
      <c r="N251" s="8">
        <v>58.54</v>
      </c>
      <c r="O251" s="8">
        <v>69.09</v>
      </c>
      <c r="P251" s="8">
        <v>79.19</v>
      </c>
      <c r="Q251" s="8">
        <v>84.95</v>
      </c>
      <c r="R251" s="8">
        <v>71.87</v>
      </c>
      <c r="S251" s="8">
        <v>76.760000000000005</v>
      </c>
      <c r="T251" s="8">
        <v>63.63</v>
      </c>
      <c r="U251" s="8">
        <v>63.21</v>
      </c>
      <c r="V251" s="8">
        <v>64.010000000000005</v>
      </c>
      <c r="W251" s="8">
        <v>70.3</v>
      </c>
      <c r="X251" s="8">
        <v>63.84</v>
      </c>
      <c r="Y251" s="8">
        <v>77.06</v>
      </c>
      <c r="Z251" s="8">
        <v>76.319999999999993</v>
      </c>
      <c r="AA251" s="8">
        <v>57.88</v>
      </c>
      <c r="AB251" s="8">
        <v>67.55</v>
      </c>
      <c r="AC251" s="8">
        <v>79.209999999999994</v>
      </c>
      <c r="AD251" s="8">
        <v>66.39</v>
      </c>
      <c r="AE251" s="8">
        <v>70.55</v>
      </c>
      <c r="AF251" s="8">
        <v>65.44</v>
      </c>
      <c r="AG251" s="8">
        <v>61.88</v>
      </c>
      <c r="AH251" s="8">
        <v>64.36</v>
      </c>
      <c r="AI251" s="8">
        <v>59.23</v>
      </c>
      <c r="AJ251" s="8">
        <v>38.01</v>
      </c>
      <c r="AK251" s="8">
        <v>67.39</v>
      </c>
      <c r="AL251" s="8">
        <v>61.03</v>
      </c>
      <c r="AM251" s="8">
        <v>88.99</v>
      </c>
      <c r="AN251" s="8">
        <v>57.02</v>
      </c>
      <c r="AO251" s="8">
        <v>15.2</v>
      </c>
      <c r="AP251" s="8">
        <v>15.2</v>
      </c>
      <c r="AQ251" s="8">
        <v>98.77</v>
      </c>
      <c r="AR251" s="8">
        <v>114.01</v>
      </c>
      <c r="AS251" s="8">
        <v>107.35</v>
      </c>
      <c r="AT251" s="8">
        <v>121.47</v>
      </c>
      <c r="AU251" s="8">
        <v>101.08</v>
      </c>
      <c r="AV251" s="8">
        <v>108.05</v>
      </c>
      <c r="AW251" s="8">
        <v>105.3</v>
      </c>
      <c r="AX251" s="8">
        <v>112.01</v>
      </c>
      <c r="AY251" s="8">
        <v>101.51</v>
      </c>
      <c r="AZ251" s="8">
        <v>63.41</v>
      </c>
      <c r="BA251" s="8">
        <v>64</v>
      </c>
      <c r="BB251" s="8">
        <v>57.53</v>
      </c>
      <c r="BC251" s="8">
        <v>54.41</v>
      </c>
      <c r="BD251" s="8">
        <v>62.17</v>
      </c>
      <c r="BE251" s="8">
        <v>62.17</v>
      </c>
      <c r="BF251" s="8">
        <v>54.43</v>
      </c>
      <c r="BG251" s="8">
        <v>54.43</v>
      </c>
      <c r="BH251" s="8">
        <v>54.24</v>
      </c>
      <c r="BI251" s="8">
        <v>61.36</v>
      </c>
      <c r="BJ251" s="8">
        <v>45.39</v>
      </c>
      <c r="BK251" s="8">
        <v>44.02</v>
      </c>
      <c r="BL251" s="8">
        <v>52.61</v>
      </c>
      <c r="BM251" s="8">
        <v>44.11</v>
      </c>
      <c r="BN251" s="8">
        <v>37.08</v>
      </c>
      <c r="BO251" s="8">
        <v>77.27</v>
      </c>
      <c r="BP251" s="8">
        <v>78.91</v>
      </c>
      <c r="BQ251" s="8">
        <v>81.3</v>
      </c>
      <c r="BR251" s="8">
        <v>67.92</v>
      </c>
      <c r="BS251" s="8">
        <v>113.13</v>
      </c>
      <c r="BT251" s="8">
        <v>113.13</v>
      </c>
      <c r="BU251" s="8">
        <v>100.28</v>
      </c>
      <c r="BV251" s="8">
        <v>103.62</v>
      </c>
      <c r="BW251" s="8">
        <v>104.18</v>
      </c>
      <c r="BX251" s="8">
        <v>114.24</v>
      </c>
      <c r="BY251" s="8">
        <v>77.14</v>
      </c>
      <c r="BZ251" s="8">
        <v>86.96</v>
      </c>
      <c r="CA251" s="8">
        <v>85.2</v>
      </c>
      <c r="CB251" s="8">
        <v>103.12</v>
      </c>
      <c r="CC251" s="8">
        <v>77.06</v>
      </c>
      <c r="CD251" s="8">
        <v>53.36</v>
      </c>
      <c r="CE251" s="8">
        <v>45.73</v>
      </c>
      <c r="CF251" s="8">
        <v>59.32</v>
      </c>
      <c r="CG251" s="8">
        <v>53.75</v>
      </c>
      <c r="CH251" s="8">
        <v>49.85</v>
      </c>
      <c r="CI251" s="8">
        <v>83.87</v>
      </c>
      <c r="CJ251" s="8">
        <v>83.24</v>
      </c>
      <c r="CK251" s="8">
        <v>90</v>
      </c>
      <c r="CL251" s="8">
        <v>43.41</v>
      </c>
      <c r="CM251" s="8">
        <v>40.83</v>
      </c>
      <c r="CN251" s="8">
        <v>64.650000000000006</v>
      </c>
      <c r="CO251" s="8">
        <v>76.23</v>
      </c>
      <c r="CP251" s="8">
        <v>76.7</v>
      </c>
      <c r="CQ251" s="8">
        <v>94.15</v>
      </c>
      <c r="CR251" s="8">
        <v>65.53</v>
      </c>
      <c r="CS251" s="8">
        <v>82.08</v>
      </c>
      <c r="CT251" s="8">
        <v>64.05</v>
      </c>
      <c r="CU251" s="8">
        <v>54.18</v>
      </c>
      <c r="CV251" s="8">
        <v>72.209999999999994</v>
      </c>
      <c r="CW251" s="8">
        <v>72.209999999999994</v>
      </c>
      <c r="CX251" s="8">
        <v>122.5</v>
      </c>
      <c r="CY251" s="8">
        <v>122.5</v>
      </c>
      <c r="CZ251" s="8">
        <v>49.5</v>
      </c>
      <c r="DA251" s="8">
        <v>127.58</v>
      </c>
      <c r="DB251" s="8">
        <v>79.56</v>
      </c>
      <c r="DC251" s="8">
        <v>174.1</v>
      </c>
      <c r="DD251" s="8">
        <v>371.13</v>
      </c>
      <c r="DE251" s="8">
        <v>74.48</v>
      </c>
      <c r="DF251" s="8">
        <v>71.22</v>
      </c>
      <c r="DG251" s="8">
        <v>98.54</v>
      </c>
      <c r="DH251" s="8">
        <v>61.27</v>
      </c>
      <c r="DI251" s="8">
        <v>66.260000000000005</v>
      </c>
      <c r="DJ251" s="8">
        <v>59.67</v>
      </c>
      <c r="DK251" s="8">
        <v>65.540000000000006</v>
      </c>
      <c r="DL251" s="8">
        <v>67.92</v>
      </c>
      <c r="DM251" s="8">
        <v>89.85</v>
      </c>
      <c r="DN251" s="8">
        <v>123.25</v>
      </c>
      <c r="DO251" s="8">
        <v>58.96</v>
      </c>
      <c r="DP251" s="8">
        <v>49</v>
      </c>
      <c r="DQ251" s="8">
        <v>60.3</v>
      </c>
      <c r="DR251" s="8">
        <v>58.36</v>
      </c>
      <c r="DS251" s="8">
        <v>47.91</v>
      </c>
      <c r="DT251" s="8">
        <v>47.91</v>
      </c>
      <c r="DU251" s="8">
        <v>51.37</v>
      </c>
      <c r="DV251" s="8">
        <v>43.45</v>
      </c>
      <c r="DW251" s="8">
        <v>50.61</v>
      </c>
      <c r="DX251" s="8">
        <v>67.86</v>
      </c>
      <c r="DY251" s="8">
        <v>41.73</v>
      </c>
      <c r="DZ251" s="8">
        <v>41.73</v>
      </c>
      <c r="EC251" s="8">
        <v>69.75</v>
      </c>
      <c r="ED251" s="9">
        <v>1.2</v>
      </c>
      <c r="EE251" s="9">
        <v>1.4</v>
      </c>
      <c r="EF251" s="9">
        <v>3</v>
      </c>
      <c r="EG251" s="9">
        <v>4.7</v>
      </c>
      <c r="EH251" s="9">
        <v>1.5</v>
      </c>
      <c r="EI251" s="9">
        <v>-0.8</v>
      </c>
      <c r="EJ251" s="9">
        <v>6.8</v>
      </c>
      <c r="EK251" s="9">
        <v>0.7</v>
      </c>
      <c r="EL251" s="9">
        <v>0.1</v>
      </c>
      <c r="EM251" s="9">
        <v>-1.8</v>
      </c>
      <c r="EN251" s="9">
        <v>0.3</v>
      </c>
      <c r="EO251" s="9">
        <v>-0.6</v>
      </c>
      <c r="EP251" s="9">
        <v>2.7</v>
      </c>
      <c r="EQ251" s="9">
        <v>3.3</v>
      </c>
      <c r="ER251" s="9">
        <v>1.4</v>
      </c>
      <c r="ES251" s="9">
        <v>1.4</v>
      </c>
      <c r="ET251" s="9">
        <v>2.5</v>
      </c>
      <c r="EU251" s="9">
        <v>0.2</v>
      </c>
      <c r="EV251" s="9">
        <v>2.8</v>
      </c>
      <c r="EW251" s="9">
        <v>4.5</v>
      </c>
      <c r="EX251" s="9">
        <v>1.3</v>
      </c>
      <c r="EY251" s="9">
        <v>0.6</v>
      </c>
      <c r="EZ251" s="9">
        <v>0.9</v>
      </c>
      <c r="FA251" s="9">
        <v>0.8</v>
      </c>
      <c r="FB251" s="9">
        <v>1.5</v>
      </c>
      <c r="FC251" s="9">
        <v>3</v>
      </c>
      <c r="FD251" s="9">
        <v>0.1</v>
      </c>
      <c r="FE251" s="9">
        <v>0.1</v>
      </c>
      <c r="FF251" s="9">
        <v>0.1</v>
      </c>
      <c r="FG251" s="9">
        <v>-0.5</v>
      </c>
      <c r="FH251" s="9">
        <v>0.2</v>
      </c>
      <c r="FI251" s="9">
        <v>1.3</v>
      </c>
      <c r="FJ251" s="9">
        <v>1.2</v>
      </c>
      <c r="FK251" s="9">
        <v>1.3</v>
      </c>
      <c r="FL251" s="9">
        <v>1.4</v>
      </c>
      <c r="FM251" s="9">
        <v>1.4</v>
      </c>
      <c r="FN251" s="9">
        <v>4.7</v>
      </c>
      <c r="FO251" s="9">
        <v>0</v>
      </c>
      <c r="FP251" s="9">
        <v>0.8</v>
      </c>
      <c r="FQ251" s="9">
        <v>1.5</v>
      </c>
      <c r="FR251" s="9">
        <v>1.5</v>
      </c>
      <c r="FS251" s="9">
        <v>-0.7</v>
      </c>
      <c r="FT251" s="9">
        <v>-1.3</v>
      </c>
      <c r="FU251" s="9">
        <v>-1.9</v>
      </c>
      <c r="FV251" s="9">
        <v>-0.6</v>
      </c>
      <c r="FW251" s="9">
        <v>-2</v>
      </c>
      <c r="FX251" s="9">
        <v>-0.3</v>
      </c>
      <c r="FY251" s="9">
        <v>-1</v>
      </c>
      <c r="FZ251" s="9">
        <v>-0.5</v>
      </c>
      <c r="GA251" s="9">
        <v>1.3</v>
      </c>
      <c r="GB251" s="9">
        <v>0.7</v>
      </c>
      <c r="GC251" s="9">
        <v>0.6</v>
      </c>
      <c r="GD251" s="9">
        <v>1</v>
      </c>
      <c r="GE251" s="9">
        <v>2.6</v>
      </c>
      <c r="GF251" s="9">
        <v>2.1</v>
      </c>
      <c r="GG251" s="9">
        <v>2.1</v>
      </c>
      <c r="GH251" s="9">
        <v>1.3</v>
      </c>
      <c r="GI251" s="9">
        <v>1.3</v>
      </c>
      <c r="GJ251" s="9">
        <v>2.8</v>
      </c>
      <c r="GK251" s="9">
        <v>1</v>
      </c>
      <c r="GL251" s="9">
        <v>6.1</v>
      </c>
      <c r="GM251" s="9">
        <v>6.5</v>
      </c>
      <c r="GN251" s="9">
        <v>12.3</v>
      </c>
      <c r="GO251" s="9">
        <v>4.5999999999999996</v>
      </c>
      <c r="GP251" s="9">
        <v>4.7</v>
      </c>
      <c r="GQ251" s="9">
        <v>-0.9</v>
      </c>
      <c r="GR251" s="9">
        <v>-0.9</v>
      </c>
      <c r="GS251" s="9">
        <v>-1.3</v>
      </c>
      <c r="GT251" s="9">
        <v>0.5</v>
      </c>
      <c r="GU251" s="9">
        <v>0.7</v>
      </c>
      <c r="GV251" s="9">
        <v>0.7</v>
      </c>
      <c r="GW251" s="9">
        <v>-0.7</v>
      </c>
      <c r="GX251" s="9">
        <v>-1.2</v>
      </c>
      <c r="GY251" s="9">
        <v>-0.2</v>
      </c>
      <c r="GZ251" s="9">
        <v>-0.4</v>
      </c>
      <c r="HA251" s="9">
        <v>-0.6</v>
      </c>
      <c r="HB251" s="9">
        <v>0.4</v>
      </c>
      <c r="HC251" s="9">
        <v>3.1</v>
      </c>
      <c r="HD251" s="9">
        <v>-0.3</v>
      </c>
      <c r="HE251" s="9">
        <v>0.4</v>
      </c>
      <c r="HF251" s="9">
        <v>-3.6</v>
      </c>
      <c r="HG251" s="9">
        <v>-22.9</v>
      </c>
      <c r="HH251" s="9">
        <v>1</v>
      </c>
      <c r="HI251" s="9">
        <v>2.2000000000000002</v>
      </c>
      <c r="HJ251" s="9">
        <v>-0.2</v>
      </c>
      <c r="HK251" s="9">
        <v>-3.5</v>
      </c>
      <c r="HL251" s="9">
        <v>-3.9</v>
      </c>
      <c r="HM251" s="9">
        <v>0.1</v>
      </c>
      <c r="HN251" s="9">
        <v>0.8</v>
      </c>
      <c r="HO251" s="9">
        <v>0.9</v>
      </c>
      <c r="HP251" s="9">
        <v>0.7</v>
      </c>
      <c r="HQ251" s="9">
        <v>1</v>
      </c>
      <c r="HR251" s="9">
        <v>1</v>
      </c>
      <c r="HS251" s="9">
        <v>-0.8</v>
      </c>
      <c r="HT251" s="9">
        <v>2.2999999999999998</v>
      </c>
      <c r="HU251" s="9">
        <v>2</v>
      </c>
      <c r="HV251" s="9">
        <v>1.2</v>
      </c>
      <c r="HW251" s="9">
        <v>2.7</v>
      </c>
      <c r="HX251" s="9">
        <v>1.2</v>
      </c>
      <c r="HY251" s="9">
        <v>1.2</v>
      </c>
      <c r="HZ251" s="9">
        <v>0.2</v>
      </c>
      <c r="IA251" s="9">
        <v>0.2</v>
      </c>
      <c r="IB251" s="9">
        <v>2.8</v>
      </c>
      <c r="IC251" s="9">
        <v>0.1</v>
      </c>
      <c r="ID251" s="9">
        <v>1.3</v>
      </c>
      <c r="IE251" s="9">
        <v>-2.4</v>
      </c>
      <c r="IF251" s="9">
        <v>-4.0999999999999996</v>
      </c>
      <c r="IG251" s="9">
        <v>-0.4</v>
      </c>
      <c r="IH251" s="9">
        <v>0.3</v>
      </c>
      <c r="II251" s="9">
        <v>0.1</v>
      </c>
      <c r="IJ251" s="9">
        <v>0.5</v>
      </c>
      <c r="IK251" s="9">
        <v>3.5</v>
      </c>
      <c r="IL251" s="9">
        <v>2.2999999999999998</v>
      </c>
      <c r="IM251" s="9">
        <v>5</v>
      </c>
      <c r="IN251" s="9">
        <v>1.1000000000000001</v>
      </c>
      <c r="IO251" s="9">
        <v>-0.5</v>
      </c>
      <c r="IP251" s="9">
        <v>0.3</v>
      </c>
      <c r="IQ251" s="9">
        <v>1.4</v>
      </c>
    </row>
    <row r="252" spans="1:251" x14ac:dyDescent="0.2">
      <c r="A252" s="10">
        <v>39783</v>
      </c>
      <c r="B252" s="8">
        <v>64.16</v>
      </c>
      <c r="C252" s="8">
        <v>67.64</v>
      </c>
      <c r="D252" s="8">
        <v>75.52</v>
      </c>
      <c r="E252" s="8">
        <v>75.8</v>
      </c>
      <c r="F252" s="8">
        <v>71.709999999999994</v>
      </c>
      <c r="G252" s="8">
        <v>83.21</v>
      </c>
      <c r="H252" s="8">
        <v>84.17</v>
      </c>
      <c r="I252" s="8">
        <v>66.349999999999994</v>
      </c>
      <c r="J252" s="8">
        <v>57.43</v>
      </c>
      <c r="K252" s="8">
        <v>68.95</v>
      </c>
      <c r="L252" s="8">
        <v>56.56</v>
      </c>
      <c r="M252" s="8">
        <v>84.14</v>
      </c>
      <c r="N252" s="8">
        <v>60.8</v>
      </c>
      <c r="O252" s="8">
        <v>69.61</v>
      </c>
      <c r="P252" s="8">
        <v>80.19</v>
      </c>
      <c r="Q252" s="8">
        <v>85.99</v>
      </c>
      <c r="R252" s="8">
        <v>73.52</v>
      </c>
      <c r="S252" s="8">
        <v>76.88</v>
      </c>
      <c r="T252" s="8">
        <v>67.06</v>
      </c>
      <c r="U252" s="8">
        <v>68.239999999999995</v>
      </c>
      <c r="V252" s="8">
        <v>66.09</v>
      </c>
      <c r="W252" s="8">
        <v>71.58</v>
      </c>
      <c r="X252" s="8">
        <v>63.51</v>
      </c>
      <c r="Y252" s="8">
        <v>78.95</v>
      </c>
      <c r="Z252" s="8">
        <v>76.47</v>
      </c>
      <c r="AA252" s="8">
        <v>57.82</v>
      </c>
      <c r="AB252" s="8">
        <v>69.010000000000005</v>
      </c>
      <c r="AC252" s="8">
        <v>81.599999999999994</v>
      </c>
      <c r="AD252" s="8">
        <v>67.23</v>
      </c>
      <c r="AE252" s="8">
        <v>71.59</v>
      </c>
      <c r="AF252" s="8">
        <v>66.23</v>
      </c>
      <c r="AG252" s="8">
        <v>62.63</v>
      </c>
      <c r="AH252" s="8">
        <v>64.91</v>
      </c>
      <c r="AI252" s="8">
        <v>60.11</v>
      </c>
      <c r="AJ252" s="8">
        <v>38.53</v>
      </c>
      <c r="AK252" s="8">
        <v>68.180000000000007</v>
      </c>
      <c r="AL252" s="8">
        <v>61.87</v>
      </c>
      <c r="AM252" s="8">
        <v>89.15</v>
      </c>
      <c r="AN252" s="8">
        <v>58.04</v>
      </c>
      <c r="AO252" s="8">
        <v>15.46</v>
      </c>
      <c r="AP252" s="8">
        <v>15.46</v>
      </c>
      <c r="AQ252" s="8">
        <v>99.13</v>
      </c>
      <c r="AR252" s="8">
        <v>113.9</v>
      </c>
      <c r="AS252" s="8">
        <v>108.99</v>
      </c>
      <c r="AT252" s="8">
        <v>120.01</v>
      </c>
      <c r="AU252" s="8">
        <v>102.04</v>
      </c>
      <c r="AV252" s="8">
        <v>108.88</v>
      </c>
      <c r="AW252" s="8">
        <v>105.68</v>
      </c>
      <c r="AX252" s="8">
        <v>113.53</v>
      </c>
      <c r="AY252" s="8">
        <v>101.22</v>
      </c>
      <c r="AZ252" s="8">
        <v>64.290000000000006</v>
      </c>
      <c r="BA252" s="8">
        <v>64.88</v>
      </c>
      <c r="BB252" s="8">
        <v>58.36</v>
      </c>
      <c r="BC252" s="8">
        <v>54.84</v>
      </c>
      <c r="BD252" s="8">
        <v>63.33</v>
      </c>
      <c r="BE252" s="8">
        <v>63.33</v>
      </c>
      <c r="BF252" s="8">
        <v>54.55</v>
      </c>
      <c r="BG252" s="8">
        <v>54.54</v>
      </c>
      <c r="BH252" s="8">
        <v>54.62</v>
      </c>
      <c r="BI252" s="8">
        <v>62.08</v>
      </c>
      <c r="BJ252" s="8">
        <v>45.39</v>
      </c>
      <c r="BK252" s="8">
        <v>44.21</v>
      </c>
      <c r="BL252" s="8">
        <v>53</v>
      </c>
      <c r="BM252" s="8">
        <v>44.42</v>
      </c>
      <c r="BN252" s="8">
        <v>36.880000000000003</v>
      </c>
      <c r="BO252" s="8">
        <v>77.56</v>
      </c>
      <c r="BP252" s="8">
        <v>79.38</v>
      </c>
      <c r="BQ252" s="8">
        <v>81.72</v>
      </c>
      <c r="BR252" s="8">
        <v>68.41</v>
      </c>
      <c r="BS252" s="8">
        <v>113.13</v>
      </c>
      <c r="BT252" s="8">
        <v>113.13</v>
      </c>
      <c r="BU252" s="8">
        <v>99.69</v>
      </c>
      <c r="BV252" s="8">
        <v>103.36</v>
      </c>
      <c r="BW252" s="8">
        <v>103.81</v>
      </c>
      <c r="BX252" s="8">
        <v>111.94</v>
      </c>
      <c r="BY252" s="8">
        <v>77.569999999999993</v>
      </c>
      <c r="BZ252" s="8">
        <v>87.24</v>
      </c>
      <c r="CA252" s="8">
        <v>85.54</v>
      </c>
      <c r="CB252" s="8">
        <v>102.45</v>
      </c>
      <c r="CC252" s="8">
        <v>77.900000000000006</v>
      </c>
      <c r="CD252" s="8">
        <v>54.01</v>
      </c>
      <c r="CE252" s="8">
        <v>46.36</v>
      </c>
      <c r="CF252" s="8">
        <v>60.07</v>
      </c>
      <c r="CG252" s="8">
        <v>54.34</v>
      </c>
      <c r="CH252" s="8">
        <v>49.25</v>
      </c>
      <c r="CI252" s="8">
        <v>80.180000000000007</v>
      </c>
      <c r="CJ252" s="8">
        <v>79.31</v>
      </c>
      <c r="CK252" s="8">
        <v>88.53</v>
      </c>
      <c r="CL252" s="8">
        <v>43.33</v>
      </c>
      <c r="CM252" s="8">
        <v>40.67</v>
      </c>
      <c r="CN252" s="8">
        <v>65.14</v>
      </c>
      <c r="CO252" s="8">
        <v>70.95</v>
      </c>
      <c r="CP252" s="8">
        <v>71.06</v>
      </c>
      <c r="CQ252" s="8">
        <v>91.98</v>
      </c>
      <c r="CR252" s="8">
        <v>66.78</v>
      </c>
      <c r="CS252" s="8">
        <v>67.17</v>
      </c>
      <c r="CT252" s="8">
        <v>64.599999999999994</v>
      </c>
      <c r="CU252" s="8">
        <v>54.55</v>
      </c>
      <c r="CV252" s="8">
        <v>72.540000000000006</v>
      </c>
      <c r="CW252" s="8">
        <v>72.540000000000006</v>
      </c>
      <c r="CX252" s="8">
        <v>122.94</v>
      </c>
      <c r="CY252" s="8">
        <v>122.94</v>
      </c>
      <c r="CZ252" s="8">
        <v>51.27</v>
      </c>
      <c r="DA252" s="8">
        <v>127.89</v>
      </c>
      <c r="DB252" s="8">
        <v>79.98</v>
      </c>
      <c r="DC252" s="8">
        <v>168.23</v>
      </c>
      <c r="DD252" s="8">
        <v>359.94</v>
      </c>
      <c r="DE252" s="8">
        <v>71.709999999999994</v>
      </c>
      <c r="DF252" s="8">
        <v>71.89</v>
      </c>
      <c r="DG252" s="8">
        <v>99.76</v>
      </c>
      <c r="DH252" s="8">
        <v>61.69</v>
      </c>
      <c r="DI252" s="8">
        <v>67.319999999999993</v>
      </c>
      <c r="DJ252" s="8">
        <v>60.64</v>
      </c>
      <c r="DK252" s="8">
        <v>66.55</v>
      </c>
      <c r="DL252" s="8">
        <v>68.7</v>
      </c>
      <c r="DM252" s="8">
        <v>91.03</v>
      </c>
      <c r="DN252" s="8">
        <v>122.52</v>
      </c>
      <c r="DO252" s="8">
        <v>61.55</v>
      </c>
      <c r="DP252" s="8">
        <v>49.42</v>
      </c>
      <c r="DQ252" s="8">
        <v>60.11</v>
      </c>
      <c r="DR252" s="8">
        <v>59.32</v>
      </c>
      <c r="DS252" s="8">
        <v>47.92</v>
      </c>
      <c r="DT252" s="8">
        <v>47.92</v>
      </c>
      <c r="DU252" s="8">
        <v>51.45</v>
      </c>
      <c r="DV252" s="8">
        <v>43.45</v>
      </c>
      <c r="DW252" s="8">
        <v>50.61</v>
      </c>
      <c r="DX252" s="8">
        <v>67.64</v>
      </c>
      <c r="DY252" s="8">
        <v>42.42</v>
      </c>
      <c r="DZ252" s="8">
        <v>42.42</v>
      </c>
      <c r="EC252" s="8">
        <v>70.52</v>
      </c>
      <c r="ED252" s="9">
        <v>-0.3</v>
      </c>
      <c r="EE252" s="9">
        <v>2.1</v>
      </c>
      <c r="EF252" s="9">
        <v>1.2</v>
      </c>
      <c r="EG252" s="9">
        <v>0.2</v>
      </c>
      <c r="EH252" s="9">
        <v>1.8</v>
      </c>
      <c r="EI252" s="9">
        <v>1.6</v>
      </c>
      <c r="EJ252" s="9">
        <v>1.9</v>
      </c>
      <c r="EK252" s="9">
        <v>2.2000000000000002</v>
      </c>
      <c r="EL252" s="9">
        <v>1.4</v>
      </c>
      <c r="EM252" s="9">
        <v>5.0999999999999996</v>
      </c>
      <c r="EN252" s="9">
        <v>2.5</v>
      </c>
      <c r="EO252" s="9">
        <v>0.5</v>
      </c>
      <c r="EP252" s="9">
        <v>3.9</v>
      </c>
      <c r="EQ252" s="9">
        <v>0.8</v>
      </c>
      <c r="ER252" s="9">
        <v>1.3</v>
      </c>
      <c r="ES252" s="9">
        <v>1.2</v>
      </c>
      <c r="ET252" s="9">
        <v>2.2999999999999998</v>
      </c>
      <c r="EU252" s="9">
        <v>0.2</v>
      </c>
      <c r="EV252" s="9">
        <v>5.4</v>
      </c>
      <c r="EW252" s="9">
        <v>8</v>
      </c>
      <c r="EX252" s="9">
        <v>3.2</v>
      </c>
      <c r="EY252" s="9">
        <v>1.8</v>
      </c>
      <c r="EZ252" s="9">
        <v>-0.5</v>
      </c>
      <c r="FA252" s="9">
        <v>2.5</v>
      </c>
      <c r="FB252" s="9">
        <v>0.2</v>
      </c>
      <c r="FC252" s="9">
        <v>-0.1</v>
      </c>
      <c r="FD252" s="9">
        <v>2.2000000000000002</v>
      </c>
      <c r="FE252" s="9">
        <v>3</v>
      </c>
      <c r="FF252" s="9">
        <v>1.3</v>
      </c>
      <c r="FG252" s="9">
        <v>1.5</v>
      </c>
      <c r="FH252" s="9">
        <v>1.2</v>
      </c>
      <c r="FI252" s="9">
        <v>1.2</v>
      </c>
      <c r="FJ252" s="9">
        <v>0.9</v>
      </c>
      <c r="FK252" s="9">
        <v>1.5</v>
      </c>
      <c r="FL252" s="9">
        <v>1.4</v>
      </c>
      <c r="FM252" s="9">
        <v>1.2</v>
      </c>
      <c r="FN252" s="9">
        <v>1.4</v>
      </c>
      <c r="FO252" s="9">
        <v>0.2</v>
      </c>
      <c r="FP252" s="9">
        <v>1.8</v>
      </c>
      <c r="FQ252" s="9">
        <v>1.7</v>
      </c>
      <c r="FR252" s="9">
        <v>1.7</v>
      </c>
      <c r="FS252" s="9">
        <v>0.4</v>
      </c>
      <c r="FT252" s="9">
        <v>-0.1</v>
      </c>
      <c r="FU252" s="9">
        <v>1.5</v>
      </c>
      <c r="FV252" s="9">
        <v>-1.2</v>
      </c>
      <c r="FW252" s="9">
        <v>0.9</v>
      </c>
      <c r="FX252" s="9">
        <v>0.8</v>
      </c>
      <c r="FY252" s="9">
        <v>0.4</v>
      </c>
      <c r="FZ252" s="9">
        <v>1.4</v>
      </c>
      <c r="GA252" s="9">
        <v>-0.3</v>
      </c>
      <c r="GB252" s="9">
        <v>1.4</v>
      </c>
      <c r="GC252" s="9">
        <v>1.4</v>
      </c>
      <c r="GD252" s="9">
        <v>1.4</v>
      </c>
      <c r="GE252" s="9">
        <v>0.8</v>
      </c>
      <c r="GF252" s="9">
        <v>1.9</v>
      </c>
      <c r="GG252" s="9">
        <v>1.9</v>
      </c>
      <c r="GH252" s="9">
        <v>0.2</v>
      </c>
      <c r="GI252" s="9">
        <v>0.2</v>
      </c>
      <c r="GJ252" s="9">
        <v>0.7</v>
      </c>
      <c r="GK252" s="9">
        <v>1.2</v>
      </c>
      <c r="GL252" s="9">
        <v>0</v>
      </c>
      <c r="GM252" s="9">
        <v>0.4</v>
      </c>
      <c r="GN252" s="9">
        <v>0.7</v>
      </c>
      <c r="GO252" s="9">
        <v>0.7</v>
      </c>
      <c r="GP252" s="9">
        <v>-0.5</v>
      </c>
      <c r="GQ252" s="9">
        <v>0.4</v>
      </c>
      <c r="GR252" s="9">
        <v>0.6</v>
      </c>
      <c r="GS252" s="9">
        <v>0.5</v>
      </c>
      <c r="GT252" s="9">
        <v>0.7</v>
      </c>
      <c r="GU252" s="9">
        <v>0</v>
      </c>
      <c r="GV252" s="9">
        <v>0</v>
      </c>
      <c r="GW252" s="9">
        <v>-0.6</v>
      </c>
      <c r="GX252" s="9">
        <v>-0.3</v>
      </c>
      <c r="GY252" s="9">
        <v>-0.4</v>
      </c>
      <c r="GZ252" s="9">
        <v>-2</v>
      </c>
      <c r="HA252" s="9">
        <v>0.6</v>
      </c>
      <c r="HB252" s="9">
        <v>0.3</v>
      </c>
      <c r="HC252" s="9">
        <v>0.4</v>
      </c>
      <c r="HD252" s="9">
        <v>-0.6</v>
      </c>
      <c r="HE252" s="9">
        <v>1.1000000000000001</v>
      </c>
      <c r="HF252" s="9">
        <v>1.2</v>
      </c>
      <c r="HG252" s="9">
        <v>1.4</v>
      </c>
      <c r="HH252" s="9">
        <v>1.3</v>
      </c>
      <c r="HI252" s="9">
        <v>1.1000000000000001</v>
      </c>
      <c r="HJ252" s="9">
        <v>-1.2</v>
      </c>
      <c r="HK252" s="9">
        <v>-4.4000000000000004</v>
      </c>
      <c r="HL252" s="9">
        <v>-4.7</v>
      </c>
      <c r="HM252" s="9">
        <v>-1.6</v>
      </c>
      <c r="HN252" s="9">
        <v>-0.2</v>
      </c>
      <c r="HO252" s="9">
        <v>-0.4</v>
      </c>
      <c r="HP252" s="9">
        <v>0.8</v>
      </c>
      <c r="HQ252" s="9">
        <v>-6.9</v>
      </c>
      <c r="HR252" s="9">
        <v>-7.4</v>
      </c>
      <c r="HS252" s="9">
        <v>-2.2999999999999998</v>
      </c>
      <c r="HT252" s="9">
        <v>1.9</v>
      </c>
      <c r="HU252" s="9">
        <v>-18.2</v>
      </c>
      <c r="HV252" s="9">
        <v>0.9</v>
      </c>
      <c r="HW252" s="9">
        <v>0.7</v>
      </c>
      <c r="HX252" s="9">
        <v>0.5</v>
      </c>
      <c r="HY252" s="9">
        <v>0.5</v>
      </c>
      <c r="HZ252" s="9">
        <v>0.4</v>
      </c>
      <c r="IA252" s="9">
        <v>0.4</v>
      </c>
      <c r="IB252" s="9">
        <v>3.6</v>
      </c>
      <c r="IC252" s="9">
        <v>0.2</v>
      </c>
      <c r="ID252" s="9">
        <v>0.5</v>
      </c>
      <c r="IE252" s="9">
        <v>-3.4</v>
      </c>
      <c r="IF252" s="9">
        <v>-3</v>
      </c>
      <c r="IG252" s="9">
        <v>-3.7</v>
      </c>
      <c r="IH252" s="9">
        <v>0.9</v>
      </c>
      <c r="II252" s="9">
        <v>1.2</v>
      </c>
      <c r="IJ252" s="9">
        <v>0.7</v>
      </c>
      <c r="IK252" s="9">
        <v>1.6</v>
      </c>
      <c r="IL252" s="9">
        <v>1.6</v>
      </c>
      <c r="IM252" s="9">
        <v>1.5</v>
      </c>
      <c r="IN252" s="9">
        <v>1.1000000000000001</v>
      </c>
      <c r="IO252" s="9">
        <v>1.3</v>
      </c>
      <c r="IP252" s="9">
        <v>-0.6</v>
      </c>
      <c r="IQ252" s="9">
        <v>4.4000000000000004</v>
      </c>
    </row>
    <row r="253" spans="1:251" x14ac:dyDescent="0.2">
      <c r="A253" s="10">
        <v>39873</v>
      </c>
      <c r="B253" s="8">
        <v>64.23</v>
      </c>
      <c r="C253" s="8">
        <v>69.14</v>
      </c>
      <c r="D253" s="8">
        <v>76.45</v>
      </c>
      <c r="E253" s="8">
        <v>76.84</v>
      </c>
      <c r="F253" s="8">
        <v>72.260000000000005</v>
      </c>
      <c r="G253" s="8">
        <v>83.81</v>
      </c>
      <c r="H253" s="8">
        <v>86.66</v>
      </c>
      <c r="I253" s="8">
        <v>68.41</v>
      </c>
      <c r="J253" s="8">
        <v>58.57</v>
      </c>
      <c r="K253" s="8">
        <v>72.510000000000005</v>
      </c>
      <c r="L253" s="8">
        <v>60.09</v>
      </c>
      <c r="M253" s="8">
        <v>84.52</v>
      </c>
      <c r="N253" s="8">
        <v>62.49</v>
      </c>
      <c r="O253" s="8">
        <v>72.16</v>
      </c>
      <c r="P253" s="8">
        <v>80.489999999999995</v>
      </c>
      <c r="Q253" s="8">
        <v>84.66</v>
      </c>
      <c r="R253" s="8">
        <v>73.489999999999995</v>
      </c>
      <c r="S253" s="8">
        <v>80.34</v>
      </c>
      <c r="T253" s="8">
        <v>70.260000000000005</v>
      </c>
      <c r="U253" s="8">
        <v>70.5</v>
      </c>
      <c r="V253" s="8">
        <v>70.08</v>
      </c>
      <c r="W253" s="8">
        <v>73.17</v>
      </c>
      <c r="X253" s="8">
        <v>63.99</v>
      </c>
      <c r="Y253" s="8">
        <v>81.069999999999993</v>
      </c>
      <c r="Z253" s="8">
        <v>76.709999999999994</v>
      </c>
      <c r="AA253" s="8">
        <v>59.12</v>
      </c>
      <c r="AB253" s="8">
        <v>70.680000000000007</v>
      </c>
      <c r="AC253" s="8">
        <v>83.91</v>
      </c>
      <c r="AD253" s="8">
        <v>68.63</v>
      </c>
      <c r="AE253" s="8">
        <v>73.33</v>
      </c>
      <c r="AF253" s="8">
        <v>67.569999999999993</v>
      </c>
      <c r="AG253" s="8">
        <v>63.54</v>
      </c>
      <c r="AH253" s="8">
        <v>65.67</v>
      </c>
      <c r="AI253" s="8">
        <v>61.11</v>
      </c>
      <c r="AJ253" s="8">
        <v>38.89</v>
      </c>
      <c r="AK253" s="8">
        <v>68.45</v>
      </c>
      <c r="AL253" s="8">
        <v>63.04</v>
      </c>
      <c r="AM253" s="8">
        <v>88.5</v>
      </c>
      <c r="AN253" s="8">
        <v>58.31</v>
      </c>
      <c r="AO253" s="8">
        <v>15.76</v>
      </c>
      <c r="AP253" s="8">
        <v>15.76</v>
      </c>
      <c r="AQ253" s="8">
        <v>98.67</v>
      </c>
      <c r="AR253" s="8">
        <v>113.9</v>
      </c>
      <c r="AS253" s="8">
        <v>107.62</v>
      </c>
      <c r="AT253" s="8">
        <v>121.64</v>
      </c>
      <c r="AU253" s="8">
        <v>99.39</v>
      </c>
      <c r="AV253" s="8">
        <v>106.93</v>
      </c>
      <c r="AW253" s="8">
        <v>107.77</v>
      </c>
      <c r="AX253" s="8">
        <v>109.34</v>
      </c>
      <c r="AY253" s="8">
        <v>99.49</v>
      </c>
      <c r="AZ253" s="8">
        <v>63.85</v>
      </c>
      <c r="BA253" s="8">
        <v>64.11</v>
      </c>
      <c r="BB253" s="8">
        <v>58.92</v>
      </c>
      <c r="BC253" s="8">
        <v>55.35</v>
      </c>
      <c r="BD253" s="8">
        <v>64.39</v>
      </c>
      <c r="BE253" s="8">
        <v>64.39</v>
      </c>
      <c r="BF253" s="8">
        <v>54.29</v>
      </c>
      <c r="BG253" s="8">
        <v>54.3</v>
      </c>
      <c r="BH253" s="8">
        <v>55.21</v>
      </c>
      <c r="BI253" s="8">
        <v>63.14</v>
      </c>
      <c r="BJ253" s="8">
        <v>45.39</v>
      </c>
      <c r="BK253" s="8">
        <v>45.42</v>
      </c>
      <c r="BL253" s="8">
        <v>53</v>
      </c>
      <c r="BM253" s="8">
        <v>46.01</v>
      </c>
      <c r="BN253" s="8">
        <v>38.36</v>
      </c>
      <c r="BO253" s="8">
        <v>78.16</v>
      </c>
      <c r="BP253" s="8">
        <v>79.849999999999994</v>
      </c>
      <c r="BQ253" s="8">
        <v>81.75</v>
      </c>
      <c r="BR253" s="8">
        <v>70.09</v>
      </c>
      <c r="BS253" s="8">
        <v>111.01</v>
      </c>
      <c r="BT253" s="8">
        <v>111.01</v>
      </c>
      <c r="BU253" s="8">
        <v>99.75</v>
      </c>
      <c r="BV253" s="8">
        <v>105.22</v>
      </c>
      <c r="BW253" s="8">
        <v>104.84</v>
      </c>
      <c r="BX253" s="8">
        <v>108.56</v>
      </c>
      <c r="BY253" s="8">
        <v>77.69</v>
      </c>
      <c r="BZ253" s="8">
        <v>88.52</v>
      </c>
      <c r="CA253" s="8">
        <v>85.79</v>
      </c>
      <c r="CB253" s="8">
        <v>104.13</v>
      </c>
      <c r="CC253" s="8">
        <v>79.14</v>
      </c>
      <c r="CD253" s="8">
        <v>54.69</v>
      </c>
      <c r="CE253" s="8">
        <v>47.76</v>
      </c>
      <c r="CF253" s="8">
        <v>60.43</v>
      </c>
      <c r="CG253" s="8">
        <v>55.03</v>
      </c>
      <c r="CH253" s="8">
        <v>51.4</v>
      </c>
      <c r="CI253" s="8">
        <v>89.5</v>
      </c>
      <c r="CJ253" s="8">
        <v>89.6</v>
      </c>
      <c r="CK253" s="8">
        <v>88.15</v>
      </c>
      <c r="CL253" s="8">
        <v>44.27</v>
      </c>
      <c r="CM253" s="8">
        <v>41.58</v>
      </c>
      <c r="CN253" s="8">
        <v>66.36</v>
      </c>
      <c r="CO253" s="8">
        <v>69.83</v>
      </c>
      <c r="CP253" s="8">
        <v>69.73</v>
      </c>
      <c r="CQ253" s="8">
        <v>93.13</v>
      </c>
      <c r="CR253" s="8">
        <v>68.58</v>
      </c>
      <c r="CS253" s="8">
        <v>61.71</v>
      </c>
      <c r="CT253" s="8">
        <v>65.349999999999994</v>
      </c>
      <c r="CU253" s="8">
        <v>54.84</v>
      </c>
      <c r="CV253" s="8">
        <v>74.959999999999994</v>
      </c>
      <c r="CW253" s="8">
        <v>74.959999999999994</v>
      </c>
      <c r="CX253" s="8">
        <v>123.38</v>
      </c>
      <c r="CY253" s="8">
        <v>123.38</v>
      </c>
      <c r="CZ253" s="8">
        <v>51.27</v>
      </c>
      <c r="DA253" s="8">
        <v>128.36000000000001</v>
      </c>
      <c r="DB253" s="8">
        <v>79.09</v>
      </c>
      <c r="DC253" s="8">
        <v>171.01</v>
      </c>
      <c r="DD253" s="8">
        <v>352.77</v>
      </c>
      <c r="DE253" s="8">
        <v>75.709999999999994</v>
      </c>
      <c r="DF253" s="8">
        <v>72.37</v>
      </c>
      <c r="DG253" s="8">
        <v>99.96</v>
      </c>
      <c r="DH253" s="8">
        <v>62.3</v>
      </c>
      <c r="DI253" s="8">
        <v>64.239999999999995</v>
      </c>
      <c r="DJ253" s="8">
        <v>57.57</v>
      </c>
      <c r="DK253" s="8">
        <v>63.91</v>
      </c>
      <c r="DL253" s="8">
        <v>69.36</v>
      </c>
      <c r="DM253" s="8">
        <v>93.33</v>
      </c>
      <c r="DN253" s="8">
        <v>123.77</v>
      </c>
      <c r="DO253" s="8">
        <v>60.86</v>
      </c>
      <c r="DP253" s="8">
        <v>50.18</v>
      </c>
      <c r="DQ253" s="8">
        <v>60.28</v>
      </c>
      <c r="DR253" s="8">
        <v>60.1</v>
      </c>
      <c r="DS253" s="8">
        <v>50.54</v>
      </c>
      <c r="DT253" s="8">
        <v>50.54</v>
      </c>
      <c r="DU253" s="8">
        <v>54.81</v>
      </c>
      <c r="DV253" s="8">
        <v>46.75</v>
      </c>
      <c r="DW253" s="8">
        <v>52.23</v>
      </c>
      <c r="DX253" s="8">
        <v>63.4</v>
      </c>
      <c r="DY253" s="8">
        <v>43.61</v>
      </c>
      <c r="DZ253" s="8">
        <v>43.61</v>
      </c>
      <c r="EC253" s="8">
        <v>70.930000000000007</v>
      </c>
      <c r="ED253" s="9">
        <v>0.1</v>
      </c>
      <c r="EE253" s="9">
        <v>2.2000000000000002</v>
      </c>
      <c r="EF253" s="9">
        <v>1.2</v>
      </c>
      <c r="EG253" s="9">
        <v>1.4</v>
      </c>
      <c r="EH253" s="9">
        <v>0.8</v>
      </c>
      <c r="EI253" s="9">
        <v>0.7</v>
      </c>
      <c r="EJ253" s="9">
        <v>3</v>
      </c>
      <c r="EK253" s="9">
        <v>3.1</v>
      </c>
      <c r="EL253" s="9">
        <v>2</v>
      </c>
      <c r="EM253" s="9">
        <v>5.2</v>
      </c>
      <c r="EN253" s="9">
        <v>6.2</v>
      </c>
      <c r="EO253" s="9">
        <v>0.5</v>
      </c>
      <c r="EP253" s="9">
        <v>2.8</v>
      </c>
      <c r="EQ253" s="9">
        <v>3.7</v>
      </c>
      <c r="ER253" s="9">
        <v>0.4</v>
      </c>
      <c r="ES253" s="9">
        <v>-1.5</v>
      </c>
      <c r="ET253" s="9">
        <v>0</v>
      </c>
      <c r="EU253" s="9">
        <v>4.5</v>
      </c>
      <c r="EV253" s="9">
        <v>4.8</v>
      </c>
      <c r="EW253" s="9">
        <v>3.3</v>
      </c>
      <c r="EX253" s="9">
        <v>6</v>
      </c>
      <c r="EY253" s="9">
        <v>2.2000000000000002</v>
      </c>
      <c r="EZ253" s="9">
        <v>0.8</v>
      </c>
      <c r="FA253" s="9">
        <v>2.7</v>
      </c>
      <c r="FB253" s="9">
        <v>0.3</v>
      </c>
      <c r="FC253" s="9">
        <v>2.2000000000000002</v>
      </c>
      <c r="FD253" s="9">
        <v>2.4</v>
      </c>
      <c r="FE253" s="9">
        <v>2.8</v>
      </c>
      <c r="FF253" s="9">
        <v>2.1</v>
      </c>
      <c r="FG253" s="9">
        <v>2.4</v>
      </c>
      <c r="FH253" s="9">
        <v>2</v>
      </c>
      <c r="FI253" s="9">
        <v>1.5</v>
      </c>
      <c r="FJ253" s="9">
        <v>1.2</v>
      </c>
      <c r="FK253" s="9">
        <v>1.7</v>
      </c>
      <c r="FL253" s="9">
        <v>0.9</v>
      </c>
      <c r="FM253" s="9">
        <v>0.4</v>
      </c>
      <c r="FN253" s="9">
        <v>1.9</v>
      </c>
      <c r="FO253" s="9">
        <v>-0.7</v>
      </c>
      <c r="FP253" s="9">
        <v>0.5</v>
      </c>
      <c r="FQ253" s="9">
        <v>1.9</v>
      </c>
      <c r="FR253" s="9">
        <v>1.9</v>
      </c>
      <c r="FS253" s="9">
        <v>-0.5</v>
      </c>
      <c r="FT253" s="9">
        <v>0</v>
      </c>
      <c r="FU253" s="9">
        <v>-1.3</v>
      </c>
      <c r="FV253" s="9">
        <v>1.4</v>
      </c>
      <c r="FW253" s="9">
        <v>-2.6</v>
      </c>
      <c r="FX253" s="9">
        <v>-1.8</v>
      </c>
      <c r="FY253" s="9">
        <v>2</v>
      </c>
      <c r="FZ253" s="9">
        <v>-3.7</v>
      </c>
      <c r="GA253" s="9">
        <v>-1.7</v>
      </c>
      <c r="GB253" s="9">
        <v>-0.7</v>
      </c>
      <c r="GC253" s="9">
        <v>-1.2</v>
      </c>
      <c r="GD253" s="9">
        <v>1</v>
      </c>
      <c r="GE253" s="9">
        <v>0.9</v>
      </c>
      <c r="GF253" s="9">
        <v>1.7</v>
      </c>
      <c r="GG253" s="9">
        <v>1.7</v>
      </c>
      <c r="GH253" s="9">
        <v>-0.5</v>
      </c>
      <c r="GI253" s="9">
        <v>-0.4</v>
      </c>
      <c r="GJ253" s="9">
        <v>1.1000000000000001</v>
      </c>
      <c r="GK253" s="9">
        <v>1.7</v>
      </c>
      <c r="GL253" s="9">
        <v>0</v>
      </c>
      <c r="GM253" s="9">
        <v>2.7</v>
      </c>
      <c r="GN253" s="9">
        <v>0</v>
      </c>
      <c r="GO253" s="9">
        <v>3.6</v>
      </c>
      <c r="GP253" s="9">
        <v>4</v>
      </c>
      <c r="GQ253" s="9">
        <v>0.8</v>
      </c>
      <c r="GR253" s="9">
        <v>0.6</v>
      </c>
      <c r="GS253" s="9">
        <v>0</v>
      </c>
      <c r="GT253" s="9">
        <v>2.5</v>
      </c>
      <c r="GU253" s="9">
        <v>-1.9</v>
      </c>
      <c r="GV253" s="9">
        <v>-1.9</v>
      </c>
      <c r="GW253" s="9">
        <v>0.1</v>
      </c>
      <c r="GX253" s="9">
        <v>1.8</v>
      </c>
      <c r="GY253" s="9">
        <v>1</v>
      </c>
      <c r="GZ253" s="9">
        <v>-3</v>
      </c>
      <c r="HA253" s="9">
        <v>0.2</v>
      </c>
      <c r="HB253" s="9">
        <v>1.5</v>
      </c>
      <c r="HC253" s="9">
        <v>0.3</v>
      </c>
      <c r="HD253" s="9">
        <v>1.6</v>
      </c>
      <c r="HE253" s="9">
        <v>1.6</v>
      </c>
      <c r="HF253" s="9">
        <v>1.3</v>
      </c>
      <c r="HG253" s="9">
        <v>3</v>
      </c>
      <c r="HH253" s="9">
        <v>0.6</v>
      </c>
      <c r="HI253" s="9">
        <v>1.3</v>
      </c>
      <c r="HJ253" s="9">
        <v>4.4000000000000004</v>
      </c>
      <c r="HK253" s="9">
        <v>11.6</v>
      </c>
      <c r="HL253" s="9">
        <v>13</v>
      </c>
      <c r="HM253" s="9">
        <v>-0.4</v>
      </c>
      <c r="HN253" s="9">
        <v>2.2000000000000002</v>
      </c>
      <c r="HO253" s="9">
        <v>2.2000000000000002</v>
      </c>
      <c r="HP253" s="9">
        <v>1.9</v>
      </c>
      <c r="HQ253" s="9">
        <v>-1.6</v>
      </c>
      <c r="HR253" s="9">
        <v>-1.9</v>
      </c>
      <c r="HS253" s="9">
        <v>1.3</v>
      </c>
      <c r="HT253" s="9">
        <v>2.7</v>
      </c>
      <c r="HU253" s="9">
        <v>-8.1</v>
      </c>
      <c r="HV253" s="9">
        <v>1.2</v>
      </c>
      <c r="HW253" s="9">
        <v>0.5</v>
      </c>
      <c r="HX253" s="9">
        <v>3.3</v>
      </c>
      <c r="HY253" s="9">
        <v>3.3</v>
      </c>
      <c r="HZ253" s="9">
        <v>0.4</v>
      </c>
      <c r="IA253" s="9">
        <v>0.4</v>
      </c>
      <c r="IB253" s="9">
        <v>0</v>
      </c>
      <c r="IC253" s="9">
        <v>0.4</v>
      </c>
      <c r="ID253" s="9">
        <v>-1.1000000000000001</v>
      </c>
      <c r="IE253" s="9">
        <v>1.7</v>
      </c>
      <c r="IF253" s="9">
        <v>-2</v>
      </c>
      <c r="IG253" s="9">
        <v>5.6</v>
      </c>
      <c r="IH253" s="9">
        <v>0.7</v>
      </c>
      <c r="II253" s="9">
        <v>0.2</v>
      </c>
      <c r="IJ253" s="9">
        <v>1</v>
      </c>
      <c r="IK253" s="9">
        <v>-4.5999999999999996</v>
      </c>
      <c r="IL253" s="9">
        <v>-5.0999999999999996</v>
      </c>
      <c r="IM253" s="9">
        <v>-4</v>
      </c>
      <c r="IN253" s="9">
        <v>1</v>
      </c>
      <c r="IO253" s="9">
        <v>2.5</v>
      </c>
      <c r="IP253" s="9">
        <v>1</v>
      </c>
      <c r="IQ253" s="9">
        <v>-1.1000000000000001</v>
      </c>
    </row>
    <row r="254" spans="1:251" x14ac:dyDescent="0.2">
      <c r="A254" s="10">
        <v>39965</v>
      </c>
      <c r="B254" s="8">
        <v>64.55</v>
      </c>
      <c r="C254" s="8">
        <v>68.47</v>
      </c>
      <c r="D254" s="8">
        <v>75.87</v>
      </c>
      <c r="E254" s="8">
        <v>76.459999999999994</v>
      </c>
      <c r="F254" s="8">
        <v>71.78</v>
      </c>
      <c r="G254" s="8">
        <v>82.43</v>
      </c>
      <c r="H254" s="8">
        <v>85.64</v>
      </c>
      <c r="I254" s="8">
        <v>68.2</v>
      </c>
      <c r="J254" s="8">
        <v>58.32</v>
      </c>
      <c r="K254" s="8">
        <v>72</v>
      </c>
      <c r="L254" s="8">
        <v>60.59</v>
      </c>
      <c r="M254" s="8">
        <v>82.71</v>
      </c>
      <c r="N254" s="8">
        <v>62.72</v>
      </c>
      <c r="O254" s="8">
        <v>72.73</v>
      </c>
      <c r="P254" s="8">
        <v>79.430000000000007</v>
      </c>
      <c r="Q254" s="8">
        <v>82.12</v>
      </c>
      <c r="R254" s="8">
        <v>73.34</v>
      </c>
      <c r="S254" s="8">
        <v>80.66</v>
      </c>
      <c r="T254" s="8">
        <v>65.17</v>
      </c>
      <c r="U254" s="8">
        <v>65.13</v>
      </c>
      <c r="V254" s="8">
        <v>65.239999999999995</v>
      </c>
      <c r="W254" s="8">
        <v>73.31</v>
      </c>
      <c r="X254" s="8">
        <v>63.99</v>
      </c>
      <c r="Y254" s="8">
        <v>81.680000000000007</v>
      </c>
      <c r="Z254" s="8">
        <v>78.87</v>
      </c>
      <c r="AA254" s="8">
        <v>59.59</v>
      </c>
      <c r="AB254" s="8">
        <v>70.989999999999995</v>
      </c>
      <c r="AC254" s="8">
        <v>82.28</v>
      </c>
      <c r="AD254" s="8">
        <v>69.239999999999995</v>
      </c>
      <c r="AE254" s="8">
        <v>75.13</v>
      </c>
      <c r="AF254" s="8">
        <v>67.91</v>
      </c>
      <c r="AG254" s="8">
        <v>64.12</v>
      </c>
      <c r="AH254" s="8">
        <v>66.180000000000007</v>
      </c>
      <c r="AI254" s="8">
        <v>61.73</v>
      </c>
      <c r="AJ254" s="8">
        <v>39.22</v>
      </c>
      <c r="AK254" s="8">
        <v>68.900000000000006</v>
      </c>
      <c r="AL254" s="8">
        <v>63.51</v>
      </c>
      <c r="AM254" s="8">
        <v>88.43</v>
      </c>
      <c r="AN254" s="8">
        <v>58.98</v>
      </c>
      <c r="AO254" s="8">
        <v>15.95</v>
      </c>
      <c r="AP254" s="8">
        <v>15.95</v>
      </c>
      <c r="AQ254" s="8">
        <v>100.76</v>
      </c>
      <c r="AR254" s="8">
        <v>116.2</v>
      </c>
      <c r="AS254" s="8">
        <v>109.72</v>
      </c>
      <c r="AT254" s="8">
        <v>123.83</v>
      </c>
      <c r="AU254" s="8">
        <v>102.48</v>
      </c>
      <c r="AV254" s="8">
        <v>105.84</v>
      </c>
      <c r="AW254" s="8">
        <v>105.82</v>
      </c>
      <c r="AX254" s="8">
        <v>107.13</v>
      </c>
      <c r="AY254" s="8">
        <v>102.28</v>
      </c>
      <c r="AZ254" s="8">
        <v>67</v>
      </c>
      <c r="BA254" s="8">
        <v>68.17</v>
      </c>
      <c r="BB254" s="8">
        <v>59.16</v>
      </c>
      <c r="BC254" s="8">
        <v>55.78</v>
      </c>
      <c r="BD254" s="8">
        <v>65.3</v>
      </c>
      <c r="BE254" s="8">
        <v>65.3</v>
      </c>
      <c r="BF254" s="8">
        <v>54.71</v>
      </c>
      <c r="BG254" s="8">
        <v>54.73</v>
      </c>
      <c r="BH254" s="8">
        <v>55.63</v>
      </c>
      <c r="BI254" s="8">
        <v>63.9</v>
      </c>
      <c r="BJ254" s="8">
        <v>45.39</v>
      </c>
      <c r="BK254" s="8">
        <v>45.3</v>
      </c>
      <c r="BL254" s="8">
        <v>53</v>
      </c>
      <c r="BM254" s="8">
        <v>45.77</v>
      </c>
      <c r="BN254" s="8">
        <v>38.369999999999997</v>
      </c>
      <c r="BO254" s="8">
        <v>79.86</v>
      </c>
      <c r="BP254" s="8">
        <v>82.61</v>
      </c>
      <c r="BQ254" s="8">
        <v>84.8</v>
      </c>
      <c r="BR254" s="8">
        <v>71.73</v>
      </c>
      <c r="BS254" s="8">
        <v>114.93</v>
      </c>
      <c r="BT254" s="8">
        <v>114.93</v>
      </c>
      <c r="BU254" s="8">
        <v>102.2</v>
      </c>
      <c r="BV254" s="8">
        <v>104.39</v>
      </c>
      <c r="BW254" s="8">
        <v>107.5</v>
      </c>
      <c r="BX254" s="8">
        <v>114.52</v>
      </c>
      <c r="BY254" s="8">
        <v>81.290000000000006</v>
      </c>
      <c r="BZ254" s="8">
        <v>89.93</v>
      </c>
      <c r="CA254" s="8">
        <v>85.28</v>
      </c>
      <c r="CB254" s="8">
        <v>105.93</v>
      </c>
      <c r="CC254" s="8">
        <v>80.7</v>
      </c>
      <c r="CD254" s="8">
        <v>55.13</v>
      </c>
      <c r="CE254" s="8">
        <v>48.22</v>
      </c>
      <c r="CF254" s="8">
        <v>60.86</v>
      </c>
      <c r="CG254" s="8">
        <v>55.5</v>
      </c>
      <c r="CH254" s="8">
        <v>52.54</v>
      </c>
      <c r="CI254" s="8">
        <v>89.19</v>
      </c>
      <c r="CJ254" s="8">
        <v>89.1</v>
      </c>
      <c r="CK254" s="8">
        <v>89.72</v>
      </c>
      <c r="CL254" s="8">
        <v>45.63</v>
      </c>
      <c r="CM254" s="8">
        <v>43.09</v>
      </c>
      <c r="CN254" s="8">
        <v>66.86</v>
      </c>
      <c r="CO254" s="8">
        <v>70.959999999999994</v>
      </c>
      <c r="CP254" s="8">
        <v>70.930000000000007</v>
      </c>
      <c r="CQ254" s="8">
        <v>94.02</v>
      </c>
      <c r="CR254" s="8">
        <v>69.709999999999994</v>
      </c>
      <c r="CS254" s="8">
        <v>63.95</v>
      </c>
      <c r="CT254" s="8">
        <v>65.900000000000006</v>
      </c>
      <c r="CU254" s="8">
        <v>54.83</v>
      </c>
      <c r="CV254" s="8">
        <v>74.98</v>
      </c>
      <c r="CW254" s="8">
        <v>74.98</v>
      </c>
      <c r="CX254" s="8">
        <v>123.65</v>
      </c>
      <c r="CY254" s="8">
        <v>123.65</v>
      </c>
      <c r="CZ254" s="8">
        <v>51.27</v>
      </c>
      <c r="DA254" s="8">
        <v>128.65</v>
      </c>
      <c r="DB254" s="8">
        <v>79.040000000000006</v>
      </c>
      <c r="DC254" s="8">
        <v>168.85</v>
      </c>
      <c r="DD254" s="8">
        <v>347.55</v>
      </c>
      <c r="DE254" s="8">
        <v>74.89</v>
      </c>
      <c r="DF254" s="8">
        <v>73.040000000000006</v>
      </c>
      <c r="DG254" s="8">
        <v>99.68</v>
      </c>
      <c r="DH254" s="8">
        <v>63.28</v>
      </c>
      <c r="DI254" s="8">
        <v>63.61</v>
      </c>
      <c r="DJ254" s="8">
        <v>58.15</v>
      </c>
      <c r="DK254" s="8">
        <v>61.75</v>
      </c>
      <c r="DL254" s="8">
        <v>70.209999999999994</v>
      </c>
      <c r="DM254" s="8">
        <v>95.17</v>
      </c>
      <c r="DN254" s="8">
        <v>124.17</v>
      </c>
      <c r="DO254" s="8">
        <v>63.88</v>
      </c>
      <c r="DP254" s="8">
        <v>50.3</v>
      </c>
      <c r="DQ254" s="8">
        <v>60.52</v>
      </c>
      <c r="DR254" s="8">
        <v>60.58</v>
      </c>
      <c r="DS254" s="8">
        <v>50.57</v>
      </c>
      <c r="DT254" s="8">
        <v>50.57</v>
      </c>
      <c r="DU254" s="8">
        <v>55.01</v>
      </c>
      <c r="DV254" s="8">
        <v>46.75</v>
      </c>
      <c r="DW254" s="8">
        <v>52.23</v>
      </c>
      <c r="DX254" s="8">
        <v>62.33</v>
      </c>
      <c r="DY254" s="8">
        <v>44.18</v>
      </c>
      <c r="DZ254" s="8">
        <v>44.18</v>
      </c>
      <c r="EC254" s="8">
        <v>71.02</v>
      </c>
      <c r="ED254" s="9">
        <v>0.5</v>
      </c>
      <c r="EE254" s="9">
        <v>-1</v>
      </c>
      <c r="EF254" s="9">
        <v>-0.8</v>
      </c>
      <c r="EG254" s="9">
        <v>-0.5</v>
      </c>
      <c r="EH254" s="9">
        <v>-0.7</v>
      </c>
      <c r="EI254" s="9">
        <v>-1.6</v>
      </c>
      <c r="EJ254" s="9">
        <v>-1.2</v>
      </c>
      <c r="EK254" s="9">
        <v>-0.3</v>
      </c>
      <c r="EL254" s="9">
        <v>-0.4</v>
      </c>
      <c r="EM254" s="9">
        <v>-0.7</v>
      </c>
      <c r="EN254" s="9">
        <v>0.8</v>
      </c>
      <c r="EO254" s="9">
        <v>-2.1</v>
      </c>
      <c r="EP254" s="9">
        <v>0.4</v>
      </c>
      <c r="EQ254" s="9">
        <v>0.8</v>
      </c>
      <c r="ER254" s="9">
        <v>-1.3</v>
      </c>
      <c r="ES254" s="9">
        <v>-3</v>
      </c>
      <c r="ET254" s="9">
        <v>-0.2</v>
      </c>
      <c r="EU254" s="9">
        <v>0.4</v>
      </c>
      <c r="EV254" s="9">
        <v>-7.2</v>
      </c>
      <c r="EW254" s="9">
        <v>-7.6</v>
      </c>
      <c r="EX254" s="9">
        <v>-6.9</v>
      </c>
      <c r="EY254" s="9">
        <v>0.2</v>
      </c>
      <c r="EZ254" s="9">
        <v>0</v>
      </c>
      <c r="FA254" s="9">
        <v>0.8</v>
      </c>
      <c r="FB254" s="9">
        <v>2.8</v>
      </c>
      <c r="FC254" s="9">
        <v>0.8</v>
      </c>
      <c r="FD254" s="9">
        <v>0.4</v>
      </c>
      <c r="FE254" s="9">
        <v>-1.9</v>
      </c>
      <c r="FF254" s="9">
        <v>0.9</v>
      </c>
      <c r="FG254" s="9">
        <v>2.5</v>
      </c>
      <c r="FH254" s="9">
        <v>0.5</v>
      </c>
      <c r="FI254" s="9">
        <v>0.9</v>
      </c>
      <c r="FJ254" s="9">
        <v>0.8</v>
      </c>
      <c r="FK254" s="9">
        <v>1</v>
      </c>
      <c r="FL254" s="9">
        <v>0.8</v>
      </c>
      <c r="FM254" s="9">
        <v>0.7</v>
      </c>
      <c r="FN254" s="9">
        <v>0.7</v>
      </c>
      <c r="FO254" s="9">
        <v>-0.1</v>
      </c>
      <c r="FP254" s="9">
        <v>1.1000000000000001</v>
      </c>
      <c r="FQ254" s="9">
        <v>1.2</v>
      </c>
      <c r="FR254" s="9">
        <v>1.2</v>
      </c>
      <c r="FS254" s="9">
        <v>2.1</v>
      </c>
      <c r="FT254" s="9">
        <v>2</v>
      </c>
      <c r="FU254" s="9">
        <v>2</v>
      </c>
      <c r="FV254" s="9">
        <v>1.8</v>
      </c>
      <c r="FW254" s="9">
        <v>3.1</v>
      </c>
      <c r="FX254" s="9">
        <v>-1</v>
      </c>
      <c r="FY254" s="9">
        <v>-1.8</v>
      </c>
      <c r="FZ254" s="9">
        <v>-2</v>
      </c>
      <c r="GA254" s="9">
        <v>2.8</v>
      </c>
      <c r="GB254" s="9">
        <v>4.9000000000000004</v>
      </c>
      <c r="GC254" s="9">
        <v>6.3</v>
      </c>
      <c r="GD254" s="9">
        <v>0.4</v>
      </c>
      <c r="GE254" s="9">
        <v>0.8</v>
      </c>
      <c r="GF254" s="9">
        <v>1.4</v>
      </c>
      <c r="GG254" s="9">
        <v>1.4</v>
      </c>
      <c r="GH254" s="9">
        <v>0.8</v>
      </c>
      <c r="GI254" s="9">
        <v>0.8</v>
      </c>
      <c r="GJ254" s="9">
        <v>0.8</v>
      </c>
      <c r="GK254" s="9">
        <v>1.2</v>
      </c>
      <c r="GL254" s="9">
        <v>0</v>
      </c>
      <c r="GM254" s="9">
        <v>-0.3</v>
      </c>
      <c r="GN254" s="9">
        <v>0</v>
      </c>
      <c r="GO254" s="9">
        <v>-0.5</v>
      </c>
      <c r="GP254" s="9">
        <v>0</v>
      </c>
      <c r="GQ254" s="9">
        <v>2.2000000000000002</v>
      </c>
      <c r="GR254" s="9">
        <v>3.5</v>
      </c>
      <c r="GS254" s="9">
        <v>3.7</v>
      </c>
      <c r="GT254" s="9">
        <v>2.2999999999999998</v>
      </c>
      <c r="GU254" s="9">
        <v>3.5</v>
      </c>
      <c r="GV254" s="9">
        <v>3.5</v>
      </c>
      <c r="GW254" s="9">
        <v>2.5</v>
      </c>
      <c r="GX254" s="9">
        <v>-0.8</v>
      </c>
      <c r="GY254" s="9">
        <v>2.5</v>
      </c>
      <c r="GZ254" s="9">
        <v>5.5</v>
      </c>
      <c r="HA254" s="9">
        <v>4.5999999999999996</v>
      </c>
      <c r="HB254" s="9">
        <v>1.6</v>
      </c>
      <c r="HC254" s="9">
        <v>-0.6</v>
      </c>
      <c r="HD254" s="9">
        <v>1.7</v>
      </c>
      <c r="HE254" s="9">
        <v>2</v>
      </c>
      <c r="HF254" s="9">
        <v>0.8</v>
      </c>
      <c r="HG254" s="9">
        <v>1</v>
      </c>
      <c r="HH254" s="9">
        <v>0.7</v>
      </c>
      <c r="HI254" s="9">
        <v>0.9</v>
      </c>
      <c r="HJ254" s="9">
        <v>2.2000000000000002</v>
      </c>
      <c r="HK254" s="9">
        <v>-0.3</v>
      </c>
      <c r="HL254" s="9">
        <v>-0.6</v>
      </c>
      <c r="HM254" s="9">
        <v>1.8</v>
      </c>
      <c r="HN254" s="9">
        <v>3.1</v>
      </c>
      <c r="HO254" s="9">
        <v>3.6</v>
      </c>
      <c r="HP254" s="9">
        <v>0.8</v>
      </c>
      <c r="HQ254" s="9">
        <v>1.6</v>
      </c>
      <c r="HR254" s="9">
        <v>1.7</v>
      </c>
      <c r="HS254" s="9">
        <v>1</v>
      </c>
      <c r="HT254" s="9">
        <v>1.6</v>
      </c>
      <c r="HU254" s="9">
        <v>3.6</v>
      </c>
      <c r="HV254" s="9">
        <v>0.8</v>
      </c>
      <c r="HW254" s="9">
        <v>0</v>
      </c>
      <c r="HX254" s="9">
        <v>0</v>
      </c>
      <c r="HY254" s="9">
        <v>0</v>
      </c>
      <c r="HZ254" s="9">
        <v>0.2</v>
      </c>
      <c r="IA254" s="9">
        <v>0.2</v>
      </c>
      <c r="IB254" s="9">
        <v>0</v>
      </c>
      <c r="IC254" s="9">
        <v>0.2</v>
      </c>
      <c r="ID254" s="9">
        <v>-0.1</v>
      </c>
      <c r="IE254" s="9">
        <v>-1.3</v>
      </c>
      <c r="IF254" s="9">
        <v>-1.5</v>
      </c>
      <c r="IG254" s="9">
        <v>-1.1000000000000001</v>
      </c>
      <c r="IH254" s="9">
        <v>0.9</v>
      </c>
      <c r="II254" s="9">
        <v>-0.3</v>
      </c>
      <c r="IJ254" s="9">
        <v>1.6</v>
      </c>
      <c r="IK254" s="9">
        <v>-1</v>
      </c>
      <c r="IL254" s="9">
        <v>1</v>
      </c>
      <c r="IM254" s="9">
        <v>-3.4</v>
      </c>
      <c r="IN254" s="9">
        <v>1.2</v>
      </c>
      <c r="IO254" s="9">
        <v>2</v>
      </c>
      <c r="IP254" s="9">
        <v>0.3</v>
      </c>
      <c r="IQ254" s="9">
        <v>5</v>
      </c>
    </row>
    <row r="255" spans="1:251" x14ac:dyDescent="0.2">
      <c r="A255" s="10">
        <v>40057</v>
      </c>
      <c r="B255" s="8">
        <v>65.16</v>
      </c>
      <c r="C255" s="8">
        <v>67.930000000000007</v>
      </c>
      <c r="D255" s="8">
        <v>75.760000000000005</v>
      </c>
      <c r="E255" s="8">
        <v>77.260000000000005</v>
      </c>
      <c r="F255" s="8">
        <v>70.87</v>
      </c>
      <c r="G255" s="8">
        <v>80.930000000000007</v>
      </c>
      <c r="H255" s="8">
        <v>86.73</v>
      </c>
      <c r="I255" s="8">
        <v>68.069999999999993</v>
      </c>
      <c r="J255" s="8">
        <v>57.78</v>
      </c>
      <c r="K255" s="8">
        <v>71.03</v>
      </c>
      <c r="L255" s="8">
        <v>60.39</v>
      </c>
      <c r="M255" s="8">
        <v>83.95</v>
      </c>
      <c r="N255" s="8">
        <v>62.07</v>
      </c>
      <c r="O255" s="8">
        <v>73.260000000000005</v>
      </c>
      <c r="P255" s="8">
        <v>78.75</v>
      </c>
      <c r="Q255" s="8">
        <v>81.72</v>
      </c>
      <c r="R255" s="8">
        <v>72.290000000000006</v>
      </c>
      <c r="S255" s="8">
        <v>79.98</v>
      </c>
      <c r="T255" s="8">
        <v>61.59</v>
      </c>
      <c r="U255" s="8">
        <v>61.59</v>
      </c>
      <c r="V255" s="8">
        <v>61.61</v>
      </c>
      <c r="W255" s="8">
        <v>73.06</v>
      </c>
      <c r="X255" s="8">
        <v>63.18</v>
      </c>
      <c r="Y255" s="8">
        <v>81.13</v>
      </c>
      <c r="Z255" s="8">
        <v>79.959999999999994</v>
      </c>
      <c r="AA255" s="8">
        <v>59.02</v>
      </c>
      <c r="AB255" s="8">
        <v>70.430000000000007</v>
      </c>
      <c r="AC255" s="8">
        <v>82.48</v>
      </c>
      <c r="AD255" s="8">
        <v>68.989999999999995</v>
      </c>
      <c r="AE255" s="8">
        <v>73.52</v>
      </c>
      <c r="AF255" s="8">
        <v>67.959999999999994</v>
      </c>
      <c r="AG255" s="8">
        <v>64.52</v>
      </c>
      <c r="AH255" s="8">
        <v>66.41</v>
      </c>
      <c r="AI255" s="8">
        <v>62.24</v>
      </c>
      <c r="AJ255" s="8">
        <v>39.520000000000003</v>
      </c>
      <c r="AK255" s="8">
        <v>69.77</v>
      </c>
      <c r="AL255" s="8">
        <v>64.36</v>
      </c>
      <c r="AM255" s="8">
        <v>89.24</v>
      </c>
      <c r="AN255" s="8">
        <v>59.84</v>
      </c>
      <c r="AO255" s="8">
        <v>15.93</v>
      </c>
      <c r="AP255" s="8">
        <v>15.93</v>
      </c>
      <c r="AQ255" s="8">
        <v>101.05</v>
      </c>
      <c r="AR255" s="8">
        <v>116.31</v>
      </c>
      <c r="AS255" s="8">
        <v>109.53</v>
      </c>
      <c r="AT255" s="8">
        <v>123.53</v>
      </c>
      <c r="AU255" s="8">
        <v>104.25</v>
      </c>
      <c r="AV255" s="8">
        <v>107.05</v>
      </c>
      <c r="AW255" s="8">
        <v>102.88</v>
      </c>
      <c r="AX255" s="8">
        <v>110.63</v>
      </c>
      <c r="AY255" s="8">
        <v>103.31</v>
      </c>
      <c r="AZ255" s="8">
        <v>67.180000000000007</v>
      </c>
      <c r="BA255" s="8">
        <v>68.33</v>
      </c>
      <c r="BB255" s="8">
        <v>59.42</v>
      </c>
      <c r="BC255" s="8">
        <v>57.4</v>
      </c>
      <c r="BD255" s="8">
        <v>66.040000000000006</v>
      </c>
      <c r="BE255" s="8">
        <v>66.040000000000006</v>
      </c>
      <c r="BF255" s="8">
        <v>55.34</v>
      </c>
      <c r="BG255" s="8">
        <v>55.34</v>
      </c>
      <c r="BH255" s="8">
        <v>57.09</v>
      </c>
      <c r="BI255" s="8">
        <v>64.430000000000007</v>
      </c>
      <c r="BJ255" s="8">
        <v>47.99</v>
      </c>
      <c r="BK255" s="8">
        <v>49.91</v>
      </c>
      <c r="BL255" s="8">
        <v>60.46</v>
      </c>
      <c r="BM255" s="8">
        <v>51</v>
      </c>
      <c r="BN255" s="8">
        <v>39.409999999999997</v>
      </c>
      <c r="BO255" s="8">
        <v>80.349999999999994</v>
      </c>
      <c r="BP255" s="8">
        <v>83.07</v>
      </c>
      <c r="BQ255" s="8">
        <v>85.21</v>
      </c>
      <c r="BR255" s="8">
        <v>72.349999999999994</v>
      </c>
      <c r="BS255" s="8">
        <v>114.3</v>
      </c>
      <c r="BT255" s="8">
        <v>114.3</v>
      </c>
      <c r="BU255" s="8">
        <v>103.77</v>
      </c>
      <c r="BV255" s="8">
        <v>106.17</v>
      </c>
      <c r="BW255" s="8">
        <v>109.4</v>
      </c>
      <c r="BX255" s="8">
        <v>116.68</v>
      </c>
      <c r="BY255" s="8">
        <v>81.81</v>
      </c>
      <c r="BZ255" s="8">
        <v>90.02</v>
      </c>
      <c r="CA255" s="8">
        <v>85.09</v>
      </c>
      <c r="CB255" s="8">
        <v>105.37</v>
      </c>
      <c r="CC255" s="8">
        <v>81.239999999999995</v>
      </c>
      <c r="CD255" s="8">
        <v>55.68</v>
      </c>
      <c r="CE255" s="8">
        <v>48.64</v>
      </c>
      <c r="CF255" s="8">
        <v>61.24</v>
      </c>
      <c r="CG255" s="8">
        <v>56.33</v>
      </c>
      <c r="CH255" s="8">
        <v>52.03</v>
      </c>
      <c r="CI255" s="8">
        <v>85.45</v>
      </c>
      <c r="CJ255" s="8">
        <v>85.13</v>
      </c>
      <c r="CK255" s="8">
        <v>87.97</v>
      </c>
      <c r="CL255" s="8">
        <v>45.66</v>
      </c>
      <c r="CM255" s="8">
        <v>43.05</v>
      </c>
      <c r="CN255" s="8">
        <v>67.34</v>
      </c>
      <c r="CO255" s="8">
        <v>72.349999999999994</v>
      </c>
      <c r="CP255" s="8">
        <v>72.37</v>
      </c>
      <c r="CQ255" s="8">
        <v>94.35</v>
      </c>
      <c r="CR255" s="8">
        <v>70.37</v>
      </c>
      <c r="CS255" s="8">
        <v>66.48</v>
      </c>
      <c r="CT255" s="8">
        <v>66.45</v>
      </c>
      <c r="CU255" s="8">
        <v>57.49</v>
      </c>
      <c r="CV255" s="8">
        <v>75.599999999999994</v>
      </c>
      <c r="CW255" s="8">
        <v>75.599999999999994</v>
      </c>
      <c r="CX255" s="8">
        <v>123.71</v>
      </c>
      <c r="CY255" s="8">
        <v>123.71</v>
      </c>
      <c r="CZ255" s="8">
        <v>52.22</v>
      </c>
      <c r="DA255" s="8">
        <v>128.63</v>
      </c>
      <c r="DB255" s="8">
        <v>79.61</v>
      </c>
      <c r="DC255" s="8">
        <v>167.61</v>
      </c>
      <c r="DD255" s="8">
        <v>341.01</v>
      </c>
      <c r="DE255" s="8">
        <v>75.13</v>
      </c>
      <c r="DF255" s="8">
        <v>73.7</v>
      </c>
      <c r="DG255" s="8">
        <v>100.26</v>
      </c>
      <c r="DH255" s="8">
        <v>63.98</v>
      </c>
      <c r="DI255" s="8">
        <v>63.79</v>
      </c>
      <c r="DJ255" s="8">
        <v>58.14</v>
      </c>
      <c r="DK255" s="8">
        <v>62.17</v>
      </c>
      <c r="DL255" s="8">
        <v>71.489999999999995</v>
      </c>
      <c r="DM255" s="8">
        <v>95.17</v>
      </c>
      <c r="DN255" s="8">
        <v>124.72</v>
      </c>
      <c r="DO255" s="8">
        <v>67.33</v>
      </c>
      <c r="DP255" s="8">
        <v>51.02</v>
      </c>
      <c r="DQ255" s="8">
        <v>61.8</v>
      </c>
      <c r="DR255" s="8">
        <v>61.59</v>
      </c>
      <c r="DS255" s="8">
        <v>50.59</v>
      </c>
      <c r="DT255" s="8">
        <v>50.59</v>
      </c>
      <c r="DU255" s="8">
        <v>55.1</v>
      </c>
      <c r="DV255" s="8">
        <v>46.75</v>
      </c>
      <c r="DW255" s="8">
        <v>52.23</v>
      </c>
      <c r="DX255" s="8">
        <v>62.93</v>
      </c>
      <c r="DY255" s="8">
        <v>45.4</v>
      </c>
      <c r="DZ255" s="8">
        <v>45.4</v>
      </c>
      <c r="EC255" s="8">
        <v>69.349999999999994</v>
      </c>
      <c r="ED255" s="9">
        <v>0.9</v>
      </c>
      <c r="EE255" s="9">
        <v>-0.8</v>
      </c>
      <c r="EF255" s="9">
        <v>-0.1</v>
      </c>
      <c r="EG255" s="9">
        <v>1</v>
      </c>
      <c r="EH255" s="9">
        <v>-1.3</v>
      </c>
      <c r="EI255" s="9">
        <v>-1.8</v>
      </c>
      <c r="EJ255" s="9">
        <v>1.3</v>
      </c>
      <c r="EK255" s="9">
        <v>-0.2</v>
      </c>
      <c r="EL255" s="9">
        <v>-0.9</v>
      </c>
      <c r="EM255" s="9">
        <v>-1.3</v>
      </c>
      <c r="EN255" s="9">
        <v>-0.3</v>
      </c>
      <c r="EO255" s="9">
        <v>1.5</v>
      </c>
      <c r="EP255" s="9">
        <v>-1</v>
      </c>
      <c r="EQ255" s="9">
        <v>0.7</v>
      </c>
      <c r="ER255" s="9">
        <v>-0.9</v>
      </c>
      <c r="ES255" s="9">
        <v>-0.5</v>
      </c>
      <c r="ET255" s="9">
        <v>-1.4</v>
      </c>
      <c r="EU255" s="9">
        <v>-0.8</v>
      </c>
      <c r="EV255" s="9">
        <v>-5.5</v>
      </c>
      <c r="EW255" s="9">
        <v>-5.4</v>
      </c>
      <c r="EX255" s="9">
        <v>-5.6</v>
      </c>
      <c r="EY255" s="9">
        <v>-0.3</v>
      </c>
      <c r="EZ255" s="9">
        <v>-1.3</v>
      </c>
      <c r="FA255" s="9">
        <v>-0.7</v>
      </c>
      <c r="FB255" s="9">
        <v>1.4</v>
      </c>
      <c r="FC255" s="9">
        <v>-1</v>
      </c>
      <c r="FD255" s="9">
        <v>-0.8</v>
      </c>
      <c r="FE255" s="9">
        <v>0.2</v>
      </c>
      <c r="FF255" s="9">
        <v>-0.4</v>
      </c>
      <c r="FG255" s="9">
        <v>-2.1</v>
      </c>
      <c r="FH255" s="9">
        <v>0.1</v>
      </c>
      <c r="FI255" s="9">
        <v>0.6</v>
      </c>
      <c r="FJ255" s="9">
        <v>0.3</v>
      </c>
      <c r="FK255" s="9">
        <v>0.8</v>
      </c>
      <c r="FL255" s="9">
        <v>0.8</v>
      </c>
      <c r="FM255" s="9">
        <v>1.3</v>
      </c>
      <c r="FN255" s="9">
        <v>1.3</v>
      </c>
      <c r="FO255" s="9">
        <v>0.9</v>
      </c>
      <c r="FP255" s="9">
        <v>1.5</v>
      </c>
      <c r="FQ255" s="9">
        <v>-0.1</v>
      </c>
      <c r="FR255" s="9">
        <v>-0.1</v>
      </c>
      <c r="FS255" s="9">
        <v>0.3</v>
      </c>
      <c r="FT255" s="9">
        <v>0.1</v>
      </c>
      <c r="FU255" s="9">
        <v>-0.2</v>
      </c>
      <c r="FV255" s="9">
        <v>-0.2</v>
      </c>
      <c r="FW255" s="9">
        <v>1.7</v>
      </c>
      <c r="FX255" s="9">
        <v>1.1000000000000001</v>
      </c>
      <c r="FY255" s="9">
        <v>-2.8</v>
      </c>
      <c r="FZ255" s="9">
        <v>3.3</v>
      </c>
      <c r="GA255" s="9">
        <v>1</v>
      </c>
      <c r="GB255" s="9">
        <v>0.3</v>
      </c>
      <c r="GC255" s="9">
        <v>0.2</v>
      </c>
      <c r="GD255" s="9">
        <v>0.4</v>
      </c>
      <c r="GE255" s="9">
        <v>2.9</v>
      </c>
      <c r="GF255" s="9">
        <v>1.1000000000000001</v>
      </c>
      <c r="GG255" s="9">
        <v>1.1000000000000001</v>
      </c>
      <c r="GH255" s="9">
        <v>1.2</v>
      </c>
      <c r="GI255" s="9">
        <v>1.1000000000000001</v>
      </c>
      <c r="GJ255" s="9">
        <v>2.6</v>
      </c>
      <c r="GK255" s="9">
        <v>0.8</v>
      </c>
      <c r="GL255" s="9">
        <v>5.7</v>
      </c>
      <c r="GM255" s="9">
        <v>10.199999999999999</v>
      </c>
      <c r="GN255" s="9">
        <v>14.1</v>
      </c>
      <c r="GO255" s="9">
        <v>11.4</v>
      </c>
      <c r="GP255" s="9">
        <v>2.7</v>
      </c>
      <c r="GQ255" s="9">
        <v>0.6</v>
      </c>
      <c r="GR255" s="9">
        <v>0.6</v>
      </c>
      <c r="GS255" s="9">
        <v>0.5</v>
      </c>
      <c r="GT255" s="9">
        <v>0.9</v>
      </c>
      <c r="GU255" s="9">
        <v>-0.5</v>
      </c>
      <c r="GV255" s="9">
        <v>-0.5</v>
      </c>
      <c r="GW255" s="9">
        <v>1.5</v>
      </c>
      <c r="GX255" s="9">
        <v>1.7</v>
      </c>
      <c r="GY255" s="9">
        <v>1.8</v>
      </c>
      <c r="GZ255" s="9">
        <v>1.9</v>
      </c>
      <c r="HA255" s="9">
        <v>0.6</v>
      </c>
      <c r="HB255" s="9">
        <v>0.1</v>
      </c>
      <c r="HC255" s="9">
        <v>-0.2</v>
      </c>
      <c r="HD255" s="9">
        <v>-0.5</v>
      </c>
      <c r="HE255" s="9">
        <v>0.7</v>
      </c>
      <c r="HF255" s="9">
        <v>1</v>
      </c>
      <c r="HG255" s="9">
        <v>0.9</v>
      </c>
      <c r="HH255" s="9">
        <v>0.6</v>
      </c>
      <c r="HI255" s="9">
        <v>1.5</v>
      </c>
      <c r="HJ255" s="9">
        <v>-1</v>
      </c>
      <c r="HK255" s="9">
        <v>-4.2</v>
      </c>
      <c r="HL255" s="9">
        <v>-4.5</v>
      </c>
      <c r="HM255" s="9">
        <v>-2</v>
      </c>
      <c r="HN255" s="9">
        <v>0.1</v>
      </c>
      <c r="HO255" s="9">
        <v>-0.1</v>
      </c>
      <c r="HP255" s="9">
        <v>0.7</v>
      </c>
      <c r="HQ255" s="9">
        <v>2</v>
      </c>
      <c r="HR255" s="9">
        <v>2</v>
      </c>
      <c r="HS255" s="9">
        <v>0.4</v>
      </c>
      <c r="HT255" s="9">
        <v>0.9</v>
      </c>
      <c r="HU255" s="9">
        <v>4</v>
      </c>
      <c r="HV255" s="9">
        <v>0.8</v>
      </c>
      <c r="HW255" s="9">
        <v>4.9000000000000004</v>
      </c>
      <c r="HX255" s="9">
        <v>0.8</v>
      </c>
      <c r="HY255" s="9">
        <v>0.8</v>
      </c>
      <c r="HZ255" s="9">
        <v>0</v>
      </c>
      <c r="IA255" s="9">
        <v>0</v>
      </c>
      <c r="IB255" s="9">
        <v>1.9</v>
      </c>
      <c r="IC255" s="9">
        <v>0</v>
      </c>
      <c r="ID255" s="9">
        <v>0.7</v>
      </c>
      <c r="IE255" s="9">
        <v>-0.7</v>
      </c>
      <c r="IF255" s="9">
        <v>-1.9</v>
      </c>
      <c r="IG255" s="9">
        <v>0.3</v>
      </c>
      <c r="IH255" s="9">
        <v>0.9</v>
      </c>
      <c r="II255" s="9">
        <v>0.6</v>
      </c>
      <c r="IJ255" s="9">
        <v>1.1000000000000001</v>
      </c>
      <c r="IK255" s="9">
        <v>0.3</v>
      </c>
      <c r="IL255" s="9">
        <v>0</v>
      </c>
      <c r="IM255" s="9">
        <v>0.7</v>
      </c>
      <c r="IN255" s="9">
        <v>1.8</v>
      </c>
      <c r="IO255" s="9">
        <v>0</v>
      </c>
      <c r="IP255" s="9">
        <v>0.4</v>
      </c>
      <c r="IQ255" s="9">
        <v>5.4</v>
      </c>
    </row>
    <row r="256" spans="1:251" x14ac:dyDescent="0.2">
      <c r="A256" s="10">
        <v>40148</v>
      </c>
      <c r="B256" s="8">
        <v>65.510000000000005</v>
      </c>
      <c r="C256" s="8">
        <v>68.92</v>
      </c>
      <c r="D256" s="8">
        <v>76.58</v>
      </c>
      <c r="E256" s="8">
        <v>77.92</v>
      </c>
      <c r="F256" s="8">
        <v>72.3</v>
      </c>
      <c r="G256" s="8">
        <v>82.28</v>
      </c>
      <c r="H256" s="8">
        <v>84.96</v>
      </c>
      <c r="I256" s="8">
        <v>67.61</v>
      </c>
      <c r="J256" s="8">
        <v>57.74</v>
      </c>
      <c r="K256" s="8">
        <v>68.650000000000006</v>
      </c>
      <c r="L256" s="8">
        <v>59.22</v>
      </c>
      <c r="M256" s="8">
        <v>83.93</v>
      </c>
      <c r="N256" s="8">
        <v>62</v>
      </c>
      <c r="O256" s="8">
        <v>73.78</v>
      </c>
      <c r="P256" s="8">
        <v>79.38</v>
      </c>
      <c r="Q256" s="8">
        <v>81.88</v>
      </c>
      <c r="R256" s="8">
        <v>72.78</v>
      </c>
      <c r="S256" s="8">
        <v>81.56</v>
      </c>
      <c r="T256" s="8">
        <v>66.739999999999995</v>
      </c>
      <c r="U256" s="8">
        <v>71.36</v>
      </c>
      <c r="V256" s="8">
        <v>62.83</v>
      </c>
      <c r="W256" s="8">
        <v>73.760000000000005</v>
      </c>
      <c r="X256" s="8">
        <v>62.71</v>
      </c>
      <c r="Y256" s="8">
        <v>81.790000000000006</v>
      </c>
      <c r="Z256" s="8">
        <v>79.05</v>
      </c>
      <c r="AA256" s="8">
        <v>59.06</v>
      </c>
      <c r="AB256" s="8">
        <v>71.17</v>
      </c>
      <c r="AC256" s="8">
        <v>84.66</v>
      </c>
      <c r="AD256" s="8">
        <v>68.55</v>
      </c>
      <c r="AE256" s="8">
        <v>74.08</v>
      </c>
      <c r="AF256" s="8">
        <v>67.319999999999993</v>
      </c>
      <c r="AG256" s="8">
        <v>64.83</v>
      </c>
      <c r="AH256" s="8">
        <v>66.989999999999995</v>
      </c>
      <c r="AI256" s="8">
        <v>62.35</v>
      </c>
      <c r="AJ256" s="8">
        <v>39.729999999999997</v>
      </c>
      <c r="AK256" s="8">
        <v>70.55</v>
      </c>
      <c r="AL256" s="8">
        <v>64.89</v>
      </c>
      <c r="AM256" s="8">
        <v>89.19</v>
      </c>
      <c r="AN256" s="8">
        <v>61.09</v>
      </c>
      <c r="AO256" s="8">
        <v>15.85</v>
      </c>
      <c r="AP256" s="8">
        <v>15.85</v>
      </c>
      <c r="AQ256" s="8">
        <v>101.26</v>
      </c>
      <c r="AR256" s="8">
        <v>116.62</v>
      </c>
      <c r="AS256" s="8">
        <v>110.76</v>
      </c>
      <c r="AT256" s="8">
        <v>123.07</v>
      </c>
      <c r="AU256" s="8">
        <v>104.9</v>
      </c>
      <c r="AV256" s="8">
        <v>106.86</v>
      </c>
      <c r="AW256" s="8">
        <v>104.46</v>
      </c>
      <c r="AX256" s="8">
        <v>110.84</v>
      </c>
      <c r="AY256" s="8">
        <v>99.81</v>
      </c>
      <c r="AZ256" s="8">
        <v>67.47</v>
      </c>
      <c r="BA256" s="8">
        <v>68.5</v>
      </c>
      <c r="BB256" s="8">
        <v>60.01</v>
      </c>
      <c r="BC256" s="8">
        <v>57.87</v>
      </c>
      <c r="BD256" s="8">
        <v>66.680000000000007</v>
      </c>
      <c r="BE256" s="8">
        <v>66.680000000000007</v>
      </c>
      <c r="BF256" s="8">
        <v>55.87</v>
      </c>
      <c r="BG256" s="8">
        <v>55.88</v>
      </c>
      <c r="BH256" s="8">
        <v>57.2</v>
      </c>
      <c r="BI256" s="8">
        <v>64.62</v>
      </c>
      <c r="BJ256" s="8">
        <v>47.99</v>
      </c>
      <c r="BK256" s="8">
        <v>50.32</v>
      </c>
      <c r="BL256" s="8">
        <v>60.46</v>
      </c>
      <c r="BM256" s="8">
        <v>51.39</v>
      </c>
      <c r="BN256" s="8">
        <v>40.21</v>
      </c>
      <c r="BO256" s="8">
        <v>80.34</v>
      </c>
      <c r="BP256" s="8">
        <v>83.72</v>
      </c>
      <c r="BQ256" s="8">
        <v>86.4</v>
      </c>
      <c r="BR256" s="8">
        <v>71.599999999999994</v>
      </c>
      <c r="BS256" s="8">
        <v>114.93</v>
      </c>
      <c r="BT256" s="8">
        <v>114.93</v>
      </c>
      <c r="BU256" s="8">
        <v>102.3</v>
      </c>
      <c r="BV256" s="8">
        <v>103.21</v>
      </c>
      <c r="BW256" s="8">
        <v>107.23</v>
      </c>
      <c r="BX256" s="8">
        <v>115.16</v>
      </c>
      <c r="BY256" s="8">
        <v>82.85</v>
      </c>
      <c r="BZ256" s="8">
        <v>89.6</v>
      </c>
      <c r="CA256" s="8">
        <v>85.46</v>
      </c>
      <c r="CB256" s="8">
        <v>104.76</v>
      </c>
      <c r="CC256" s="8">
        <v>80.77</v>
      </c>
      <c r="CD256" s="8">
        <v>56.08</v>
      </c>
      <c r="CE256" s="8">
        <v>49.24</v>
      </c>
      <c r="CF256" s="8">
        <v>61.8</v>
      </c>
      <c r="CG256" s="8">
        <v>56.46</v>
      </c>
      <c r="CH256" s="8">
        <v>51.55</v>
      </c>
      <c r="CI256" s="8">
        <v>81.599999999999994</v>
      </c>
      <c r="CJ256" s="8">
        <v>80.61</v>
      </c>
      <c r="CK256" s="8">
        <v>91.03</v>
      </c>
      <c r="CL256" s="8">
        <v>45.74</v>
      </c>
      <c r="CM256" s="8">
        <v>43.06</v>
      </c>
      <c r="CN256" s="8">
        <v>67.89</v>
      </c>
      <c r="CO256" s="8">
        <v>71.77</v>
      </c>
      <c r="CP256" s="8">
        <v>71.739999999999995</v>
      </c>
      <c r="CQ256" s="8">
        <v>94.11</v>
      </c>
      <c r="CR256" s="8">
        <v>70.39</v>
      </c>
      <c r="CS256" s="8">
        <v>64.64</v>
      </c>
      <c r="CT256" s="8">
        <v>66.72</v>
      </c>
      <c r="CU256" s="8">
        <v>57.81</v>
      </c>
      <c r="CV256" s="8">
        <v>75.739999999999995</v>
      </c>
      <c r="CW256" s="8">
        <v>75.739999999999995</v>
      </c>
      <c r="CX256" s="8">
        <v>123.63</v>
      </c>
      <c r="CY256" s="8">
        <v>123.63</v>
      </c>
      <c r="CZ256" s="8">
        <v>52.22</v>
      </c>
      <c r="DA256" s="8">
        <v>128.54</v>
      </c>
      <c r="DB256" s="8">
        <v>80.83</v>
      </c>
      <c r="DC256" s="8">
        <v>162.66</v>
      </c>
      <c r="DD256" s="8">
        <v>315.39</v>
      </c>
      <c r="DE256" s="8">
        <v>76.28</v>
      </c>
      <c r="DF256" s="8">
        <v>73.89</v>
      </c>
      <c r="DG256" s="8">
        <v>101.44</v>
      </c>
      <c r="DH256" s="8">
        <v>63.84</v>
      </c>
      <c r="DI256" s="8">
        <v>66.8</v>
      </c>
      <c r="DJ256" s="8">
        <v>62.01</v>
      </c>
      <c r="DK256" s="8">
        <v>63.58</v>
      </c>
      <c r="DL256" s="8">
        <v>71.91</v>
      </c>
      <c r="DM256" s="8">
        <v>95.2</v>
      </c>
      <c r="DN256" s="8">
        <v>124.07</v>
      </c>
      <c r="DO256" s="8">
        <v>69.38</v>
      </c>
      <c r="DP256" s="8">
        <v>51.32</v>
      </c>
      <c r="DQ256" s="8">
        <v>62.13</v>
      </c>
      <c r="DR256" s="8">
        <v>61.77</v>
      </c>
      <c r="DS256" s="8">
        <v>50.62</v>
      </c>
      <c r="DT256" s="8">
        <v>50.62</v>
      </c>
      <c r="DU256" s="8">
        <v>55.29</v>
      </c>
      <c r="DV256" s="8">
        <v>46.75</v>
      </c>
      <c r="DW256" s="8">
        <v>52.23</v>
      </c>
      <c r="DX256" s="8">
        <v>63.37</v>
      </c>
      <c r="DY256" s="8">
        <v>45.97</v>
      </c>
      <c r="DZ256" s="8">
        <v>45.97</v>
      </c>
      <c r="EC256" s="8">
        <v>70.2</v>
      </c>
      <c r="ED256" s="9">
        <v>0.5</v>
      </c>
      <c r="EE256" s="9">
        <v>1.5</v>
      </c>
      <c r="EF256" s="9">
        <v>1.1000000000000001</v>
      </c>
      <c r="EG256" s="9">
        <v>0.9</v>
      </c>
      <c r="EH256" s="9">
        <v>2</v>
      </c>
      <c r="EI256" s="9">
        <v>1.7</v>
      </c>
      <c r="EJ256" s="9">
        <v>-2</v>
      </c>
      <c r="EK256" s="9">
        <v>-0.7</v>
      </c>
      <c r="EL256" s="9">
        <v>-0.1</v>
      </c>
      <c r="EM256" s="9">
        <v>-3.4</v>
      </c>
      <c r="EN256" s="9">
        <v>-1.9</v>
      </c>
      <c r="EO256" s="9">
        <v>0</v>
      </c>
      <c r="EP256" s="9">
        <v>-0.1</v>
      </c>
      <c r="EQ256" s="9">
        <v>0.7</v>
      </c>
      <c r="ER256" s="9">
        <v>0.8</v>
      </c>
      <c r="ES256" s="9">
        <v>0.2</v>
      </c>
      <c r="ET256" s="9">
        <v>0.7</v>
      </c>
      <c r="EU256" s="9">
        <v>2</v>
      </c>
      <c r="EV256" s="9">
        <v>8.4</v>
      </c>
      <c r="EW256" s="9">
        <v>15.9</v>
      </c>
      <c r="EX256" s="9">
        <v>2</v>
      </c>
      <c r="EY256" s="9">
        <v>1</v>
      </c>
      <c r="EZ256" s="9">
        <v>-0.7</v>
      </c>
      <c r="FA256" s="9">
        <v>0.8</v>
      </c>
      <c r="FB256" s="9">
        <v>-1.1000000000000001</v>
      </c>
      <c r="FC256" s="9">
        <v>0.1</v>
      </c>
      <c r="FD256" s="9">
        <v>1.1000000000000001</v>
      </c>
      <c r="FE256" s="9">
        <v>2.6</v>
      </c>
      <c r="FF256" s="9">
        <v>-0.6</v>
      </c>
      <c r="FG256" s="9">
        <v>0.8</v>
      </c>
      <c r="FH256" s="9">
        <v>-0.9</v>
      </c>
      <c r="FI256" s="9">
        <v>0.5</v>
      </c>
      <c r="FJ256" s="9">
        <v>0.9</v>
      </c>
      <c r="FK256" s="9">
        <v>0.2</v>
      </c>
      <c r="FL256" s="9">
        <v>0.5</v>
      </c>
      <c r="FM256" s="9">
        <v>1.1000000000000001</v>
      </c>
      <c r="FN256" s="9">
        <v>0.8</v>
      </c>
      <c r="FO256" s="9">
        <v>-0.1</v>
      </c>
      <c r="FP256" s="9">
        <v>2.1</v>
      </c>
      <c r="FQ256" s="9">
        <v>-0.5</v>
      </c>
      <c r="FR256" s="9">
        <v>-0.5</v>
      </c>
      <c r="FS256" s="9">
        <v>0.2</v>
      </c>
      <c r="FT256" s="9">
        <v>0.3</v>
      </c>
      <c r="FU256" s="9">
        <v>1.1000000000000001</v>
      </c>
      <c r="FV256" s="9">
        <v>-0.4</v>
      </c>
      <c r="FW256" s="9">
        <v>0.6</v>
      </c>
      <c r="FX256" s="9">
        <v>-0.2</v>
      </c>
      <c r="FY256" s="9">
        <v>1.5</v>
      </c>
      <c r="FZ256" s="9">
        <v>0.2</v>
      </c>
      <c r="GA256" s="9">
        <v>-3.4</v>
      </c>
      <c r="GB256" s="9">
        <v>0.4</v>
      </c>
      <c r="GC256" s="9">
        <v>0.2</v>
      </c>
      <c r="GD256" s="9">
        <v>1</v>
      </c>
      <c r="GE256" s="9">
        <v>0.8</v>
      </c>
      <c r="GF256" s="9">
        <v>1</v>
      </c>
      <c r="GG256" s="9">
        <v>1</v>
      </c>
      <c r="GH256" s="9">
        <v>1</v>
      </c>
      <c r="GI256" s="9">
        <v>1</v>
      </c>
      <c r="GJ256" s="9">
        <v>0.2</v>
      </c>
      <c r="GK256" s="9">
        <v>0.3</v>
      </c>
      <c r="GL256" s="9">
        <v>0</v>
      </c>
      <c r="GM256" s="9">
        <v>0.8</v>
      </c>
      <c r="GN256" s="9">
        <v>0</v>
      </c>
      <c r="GO256" s="9">
        <v>0.8</v>
      </c>
      <c r="GP256" s="9">
        <v>2</v>
      </c>
      <c r="GQ256" s="9">
        <v>0</v>
      </c>
      <c r="GR256" s="9">
        <v>0.8</v>
      </c>
      <c r="GS256" s="9">
        <v>1.4</v>
      </c>
      <c r="GT256" s="9">
        <v>-1</v>
      </c>
      <c r="GU256" s="9">
        <v>0.6</v>
      </c>
      <c r="GV256" s="9">
        <v>0.6</v>
      </c>
      <c r="GW256" s="9">
        <v>-1.4</v>
      </c>
      <c r="GX256" s="9">
        <v>-2.8</v>
      </c>
      <c r="GY256" s="9">
        <v>-2</v>
      </c>
      <c r="GZ256" s="9">
        <v>-1.3</v>
      </c>
      <c r="HA256" s="9">
        <v>1.3</v>
      </c>
      <c r="HB256" s="9">
        <v>-0.5</v>
      </c>
      <c r="HC256" s="9">
        <v>0.4</v>
      </c>
      <c r="HD256" s="9">
        <v>-0.6</v>
      </c>
      <c r="HE256" s="9">
        <v>-0.6</v>
      </c>
      <c r="HF256" s="9">
        <v>0.7</v>
      </c>
      <c r="HG256" s="9">
        <v>1.2</v>
      </c>
      <c r="HH256" s="9">
        <v>0.9</v>
      </c>
      <c r="HI256" s="9">
        <v>0.2</v>
      </c>
      <c r="HJ256" s="9">
        <v>-0.9</v>
      </c>
      <c r="HK256" s="9">
        <v>-4.5</v>
      </c>
      <c r="HL256" s="9">
        <v>-5.3</v>
      </c>
      <c r="HM256" s="9">
        <v>3.5</v>
      </c>
      <c r="HN256" s="9">
        <v>0.2</v>
      </c>
      <c r="HO256" s="9">
        <v>0</v>
      </c>
      <c r="HP256" s="9">
        <v>0.8</v>
      </c>
      <c r="HQ256" s="9">
        <v>-0.8</v>
      </c>
      <c r="HR256" s="9">
        <v>-0.9</v>
      </c>
      <c r="HS256" s="9">
        <v>-0.3</v>
      </c>
      <c r="HT256" s="9">
        <v>0</v>
      </c>
      <c r="HU256" s="9">
        <v>-2.8</v>
      </c>
      <c r="HV256" s="9">
        <v>0.4</v>
      </c>
      <c r="HW256" s="9">
        <v>0.6</v>
      </c>
      <c r="HX256" s="9">
        <v>0.2</v>
      </c>
      <c r="HY256" s="9">
        <v>0.2</v>
      </c>
      <c r="HZ256" s="9">
        <v>-0.1</v>
      </c>
      <c r="IA256" s="9">
        <v>-0.1</v>
      </c>
      <c r="IB256" s="9">
        <v>0</v>
      </c>
      <c r="IC256" s="9">
        <v>-0.1</v>
      </c>
      <c r="ID256" s="9">
        <v>1.5</v>
      </c>
      <c r="IE256" s="9">
        <v>-3</v>
      </c>
      <c r="IF256" s="9">
        <v>-7.5</v>
      </c>
      <c r="IG256" s="9">
        <v>1.5</v>
      </c>
      <c r="IH256" s="9">
        <v>0.3</v>
      </c>
      <c r="II256" s="9">
        <v>1.2</v>
      </c>
      <c r="IJ256" s="9">
        <v>-0.2</v>
      </c>
      <c r="IK256" s="9">
        <v>4.7</v>
      </c>
      <c r="IL256" s="9">
        <v>6.7</v>
      </c>
      <c r="IM256" s="9">
        <v>2.2999999999999998</v>
      </c>
      <c r="IN256" s="9">
        <v>0.6</v>
      </c>
      <c r="IO256" s="9">
        <v>0</v>
      </c>
      <c r="IP256" s="9">
        <v>-0.5</v>
      </c>
      <c r="IQ256" s="9">
        <v>3</v>
      </c>
    </row>
    <row r="257" spans="1:251" x14ac:dyDescent="0.2">
      <c r="A257" s="10">
        <v>40238</v>
      </c>
      <c r="B257" s="8">
        <v>66.12</v>
      </c>
      <c r="C257" s="8">
        <v>69.66</v>
      </c>
      <c r="D257" s="8">
        <v>77.38</v>
      </c>
      <c r="E257" s="8">
        <v>78.25</v>
      </c>
      <c r="F257" s="8">
        <v>73.72</v>
      </c>
      <c r="G257" s="8">
        <v>81.96</v>
      </c>
      <c r="H257" s="8">
        <v>86.05</v>
      </c>
      <c r="I257" s="8">
        <v>68.42</v>
      </c>
      <c r="J257" s="8">
        <v>58.09</v>
      </c>
      <c r="K257" s="8">
        <v>71.790000000000006</v>
      </c>
      <c r="L257" s="8">
        <v>61.2</v>
      </c>
      <c r="M257" s="8">
        <v>82.48</v>
      </c>
      <c r="N257" s="8">
        <v>63.06</v>
      </c>
      <c r="O257" s="8">
        <v>73.88</v>
      </c>
      <c r="P257" s="8">
        <v>78.650000000000006</v>
      </c>
      <c r="Q257" s="8">
        <v>81.97</v>
      </c>
      <c r="R257" s="8">
        <v>72.37</v>
      </c>
      <c r="S257" s="8">
        <v>79.08</v>
      </c>
      <c r="T257" s="8">
        <v>68.36</v>
      </c>
      <c r="U257" s="8">
        <v>67.28</v>
      </c>
      <c r="V257" s="8">
        <v>69.319999999999993</v>
      </c>
      <c r="W257" s="8">
        <v>74.03</v>
      </c>
      <c r="X257" s="8">
        <v>61.09</v>
      </c>
      <c r="Y257" s="8">
        <v>81.150000000000006</v>
      </c>
      <c r="Z257" s="8">
        <v>80.56</v>
      </c>
      <c r="AA257" s="8">
        <v>59.11</v>
      </c>
      <c r="AB257" s="8">
        <v>71.88</v>
      </c>
      <c r="AC257" s="8">
        <v>84.11</v>
      </c>
      <c r="AD257" s="8">
        <v>70.48</v>
      </c>
      <c r="AE257" s="8">
        <v>74.03</v>
      </c>
      <c r="AF257" s="8">
        <v>69.680000000000007</v>
      </c>
      <c r="AG257" s="8">
        <v>65.34</v>
      </c>
      <c r="AH257" s="8">
        <v>67.56</v>
      </c>
      <c r="AI257" s="8">
        <v>62.83</v>
      </c>
      <c r="AJ257" s="8">
        <v>40.24</v>
      </c>
      <c r="AK257" s="8">
        <v>71.099999999999994</v>
      </c>
      <c r="AL257" s="8">
        <v>65.319999999999993</v>
      </c>
      <c r="AM257" s="8">
        <v>89.46</v>
      </c>
      <c r="AN257" s="8">
        <v>61.79</v>
      </c>
      <c r="AO257" s="8">
        <v>16.190000000000001</v>
      </c>
      <c r="AP257" s="8">
        <v>16.190000000000001</v>
      </c>
      <c r="AQ257" s="8">
        <v>96.92</v>
      </c>
      <c r="AR257" s="8">
        <v>110.34</v>
      </c>
      <c r="AS257" s="8">
        <v>103.96</v>
      </c>
      <c r="AT257" s="8">
        <v>118.75</v>
      </c>
      <c r="AU257" s="8">
        <v>94.56</v>
      </c>
      <c r="AV257" s="8">
        <v>104.8</v>
      </c>
      <c r="AW257" s="8">
        <v>104.69</v>
      </c>
      <c r="AX257" s="8">
        <v>106.85</v>
      </c>
      <c r="AY257" s="8">
        <v>99.49</v>
      </c>
      <c r="AZ257" s="8">
        <v>65.510000000000005</v>
      </c>
      <c r="BA257" s="8">
        <v>65.69</v>
      </c>
      <c r="BB257" s="8">
        <v>60.68</v>
      </c>
      <c r="BC257" s="8">
        <v>58.71</v>
      </c>
      <c r="BD257" s="8">
        <v>67.34</v>
      </c>
      <c r="BE257" s="8">
        <v>67.34</v>
      </c>
      <c r="BF257" s="8">
        <v>56.52</v>
      </c>
      <c r="BG257" s="8">
        <v>56.53</v>
      </c>
      <c r="BH257" s="8">
        <v>57.34</v>
      </c>
      <c r="BI257" s="8">
        <v>64.83</v>
      </c>
      <c r="BJ257" s="8">
        <v>47.99</v>
      </c>
      <c r="BK257" s="8">
        <v>52.24</v>
      </c>
      <c r="BL257" s="8">
        <v>60.44</v>
      </c>
      <c r="BM257" s="8">
        <v>54.41</v>
      </c>
      <c r="BN257" s="8">
        <v>41.64</v>
      </c>
      <c r="BO257" s="8">
        <v>79.290000000000006</v>
      </c>
      <c r="BP257" s="8">
        <v>80.790000000000006</v>
      </c>
      <c r="BQ257" s="8">
        <v>82.39</v>
      </c>
      <c r="BR257" s="8">
        <v>71.56</v>
      </c>
      <c r="BS257" s="8">
        <v>108.89</v>
      </c>
      <c r="BT257" s="8">
        <v>108.89</v>
      </c>
      <c r="BU257" s="8">
        <v>100.14</v>
      </c>
      <c r="BV257" s="8">
        <v>102.72</v>
      </c>
      <c r="BW257" s="8">
        <v>105.57</v>
      </c>
      <c r="BX257" s="8">
        <v>107.34</v>
      </c>
      <c r="BY257" s="8">
        <v>83.31</v>
      </c>
      <c r="BZ257" s="8">
        <v>89.74</v>
      </c>
      <c r="CA257" s="8">
        <v>88.3</v>
      </c>
      <c r="CB257" s="8">
        <v>104.25</v>
      </c>
      <c r="CC257" s="8">
        <v>80.73</v>
      </c>
      <c r="CD257" s="8">
        <v>56.83</v>
      </c>
      <c r="CE257" s="8">
        <v>50.76</v>
      </c>
      <c r="CF257" s="8">
        <v>62.3</v>
      </c>
      <c r="CG257" s="8">
        <v>57.14</v>
      </c>
      <c r="CH257" s="8">
        <v>54</v>
      </c>
      <c r="CI257" s="8">
        <v>91.4</v>
      </c>
      <c r="CJ257" s="8">
        <v>91.31</v>
      </c>
      <c r="CK257" s="8">
        <v>91.58</v>
      </c>
      <c r="CL257" s="8">
        <v>46.94</v>
      </c>
      <c r="CM257" s="8">
        <v>44.31</v>
      </c>
      <c r="CN257" s="8">
        <v>68.959999999999994</v>
      </c>
      <c r="CO257" s="8">
        <v>72.7</v>
      </c>
      <c r="CP257" s="8">
        <v>72.59</v>
      </c>
      <c r="CQ257" s="8">
        <v>93.54</v>
      </c>
      <c r="CR257" s="8">
        <v>70.08</v>
      </c>
      <c r="CS257" s="8">
        <v>67.37</v>
      </c>
      <c r="CT257" s="8">
        <v>66.760000000000005</v>
      </c>
      <c r="CU257" s="8">
        <v>58.25</v>
      </c>
      <c r="CV257" s="8">
        <v>78.150000000000006</v>
      </c>
      <c r="CW257" s="8">
        <v>78.150000000000006</v>
      </c>
      <c r="CX257" s="8">
        <v>123.52</v>
      </c>
      <c r="CY257" s="8">
        <v>123.52</v>
      </c>
      <c r="CZ257" s="8">
        <v>52.22</v>
      </c>
      <c r="DA257" s="8">
        <v>128.41999999999999</v>
      </c>
      <c r="DB257" s="8">
        <v>80.05</v>
      </c>
      <c r="DC257" s="8">
        <v>157.41</v>
      </c>
      <c r="DD257" s="8">
        <v>296.77999999999997</v>
      </c>
      <c r="DE257" s="8">
        <v>75.540000000000006</v>
      </c>
      <c r="DF257" s="8">
        <v>73.48</v>
      </c>
      <c r="DG257" s="8">
        <v>101.41</v>
      </c>
      <c r="DH257" s="8">
        <v>63.24</v>
      </c>
      <c r="DI257" s="8">
        <v>65.83</v>
      </c>
      <c r="DJ257" s="8">
        <v>60.55</v>
      </c>
      <c r="DK257" s="8">
        <v>63.41</v>
      </c>
      <c r="DL257" s="8">
        <v>72.239999999999995</v>
      </c>
      <c r="DM257" s="8">
        <v>94.08</v>
      </c>
      <c r="DN257" s="8">
        <v>123.97</v>
      </c>
      <c r="DO257" s="8">
        <v>69.099999999999994</v>
      </c>
      <c r="DP257" s="8">
        <v>51.87</v>
      </c>
      <c r="DQ257" s="8">
        <v>62.56</v>
      </c>
      <c r="DR257" s="8">
        <v>62.58</v>
      </c>
      <c r="DS257" s="8">
        <v>53.43</v>
      </c>
      <c r="DT257" s="8">
        <v>53.43</v>
      </c>
      <c r="DU257" s="8">
        <v>57.75</v>
      </c>
      <c r="DV257" s="8">
        <v>49.42</v>
      </c>
      <c r="DW257" s="8">
        <v>55.3</v>
      </c>
      <c r="DX257" s="8">
        <v>64.7</v>
      </c>
      <c r="DY257" s="8">
        <v>46.72</v>
      </c>
      <c r="DZ257" s="8">
        <v>46.72</v>
      </c>
      <c r="EC257" s="8">
        <v>70.77</v>
      </c>
      <c r="ED257" s="9">
        <v>0.9</v>
      </c>
      <c r="EE257" s="9">
        <v>1.1000000000000001</v>
      </c>
      <c r="EF257" s="9">
        <v>1</v>
      </c>
      <c r="EG257" s="9">
        <v>0.4</v>
      </c>
      <c r="EH257" s="9">
        <v>2</v>
      </c>
      <c r="EI257" s="9">
        <v>-0.4</v>
      </c>
      <c r="EJ257" s="9">
        <v>1.3</v>
      </c>
      <c r="EK257" s="9">
        <v>1.2</v>
      </c>
      <c r="EL257" s="9">
        <v>0.6</v>
      </c>
      <c r="EM257" s="9">
        <v>4.5999999999999996</v>
      </c>
      <c r="EN257" s="9">
        <v>3.3</v>
      </c>
      <c r="EO257" s="9">
        <v>-1.7</v>
      </c>
      <c r="EP257" s="9">
        <v>1.7</v>
      </c>
      <c r="EQ257" s="9">
        <v>0.1</v>
      </c>
      <c r="ER257" s="9">
        <v>-0.9</v>
      </c>
      <c r="ES257" s="9">
        <v>0.1</v>
      </c>
      <c r="ET257" s="9">
        <v>-0.6</v>
      </c>
      <c r="EU257" s="9">
        <v>-3</v>
      </c>
      <c r="EV257" s="9">
        <v>2.4</v>
      </c>
      <c r="EW257" s="9">
        <v>-5.7</v>
      </c>
      <c r="EX257" s="9">
        <v>10.3</v>
      </c>
      <c r="EY257" s="9">
        <v>0.4</v>
      </c>
      <c r="EZ257" s="9">
        <v>-2.6</v>
      </c>
      <c r="FA257" s="9">
        <v>-0.8</v>
      </c>
      <c r="FB257" s="9">
        <v>1.9</v>
      </c>
      <c r="FC257" s="9">
        <v>0.1</v>
      </c>
      <c r="FD257" s="9">
        <v>1</v>
      </c>
      <c r="FE257" s="9">
        <v>-0.6</v>
      </c>
      <c r="FF257" s="9">
        <v>2.8</v>
      </c>
      <c r="FG257" s="9">
        <v>-0.1</v>
      </c>
      <c r="FH257" s="9">
        <v>3.5</v>
      </c>
      <c r="FI257" s="9">
        <v>0.8</v>
      </c>
      <c r="FJ257" s="9">
        <v>0.9</v>
      </c>
      <c r="FK257" s="9">
        <v>0.8</v>
      </c>
      <c r="FL257" s="9">
        <v>1.3</v>
      </c>
      <c r="FM257" s="9">
        <v>0.8</v>
      </c>
      <c r="FN257" s="9">
        <v>0.7</v>
      </c>
      <c r="FO257" s="9">
        <v>0.3</v>
      </c>
      <c r="FP257" s="9">
        <v>1.1000000000000001</v>
      </c>
      <c r="FQ257" s="9">
        <v>2.1</v>
      </c>
      <c r="FR257" s="9">
        <v>2.1</v>
      </c>
      <c r="FS257" s="9">
        <v>-4.3</v>
      </c>
      <c r="FT257" s="9">
        <v>-5.4</v>
      </c>
      <c r="FU257" s="9">
        <v>-6.1</v>
      </c>
      <c r="FV257" s="9">
        <v>-3.5</v>
      </c>
      <c r="FW257" s="9">
        <v>-9.9</v>
      </c>
      <c r="FX257" s="9">
        <v>-1.9</v>
      </c>
      <c r="FY257" s="9">
        <v>0.2</v>
      </c>
      <c r="FZ257" s="9">
        <v>-3.6</v>
      </c>
      <c r="GA257" s="9">
        <v>-0.3</v>
      </c>
      <c r="GB257" s="9">
        <v>-2.9</v>
      </c>
      <c r="GC257" s="9">
        <v>-4.0999999999999996</v>
      </c>
      <c r="GD257" s="9">
        <v>1.1000000000000001</v>
      </c>
      <c r="GE257" s="9">
        <v>1.5</v>
      </c>
      <c r="GF257" s="9">
        <v>1</v>
      </c>
      <c r="GG257" s="9">
        <v>1</v>
      </c>
      <c r="GH257" s="9">
        <v>1.2</v>
      </c>
      <c r="GI257" s="9">
        <v>1.2</v>
      </c>
      <c r="GJ257" s="9">
        <v>0.2</v>
      </c>
      <c r="GK257" s="9">
        <v>0.3</v>
      </c>
      <c r="GL257" s="9">
        <v>0</v>
      </c>
      <c r="GM257" s="9">
        <v>3.8</v>
      </c>
      <c r="GN257" s="9">
        <v>0</v>
      </c>
      <c r="GO257" s="9">
        <v>5.9</v>
      </c>
      <c r="GP257" s="9">
        <v>3.6</v>
      </c>
      <c r="GQ257" s="9">
        <v>-1.3</v>
      </c>
      <c r="GR257" s="9">
        <v>-3.5</v>
      </c>
      <c r="GS257" s="9">
        <v>-4.5999999999999996</v>
      </c>
      <c r="GT257" s="9">
        <v>-0.1</v>
      </c>
      <c r="GU257" s="9">
        <v>-5.3</v>
      </c>
      <c r="GV257" s="9">
        <v>-5.3</v>
      </c>
      <c r="GW257" s="9">
        <v>-2.1</v>
      </c>
      <c r="GX257" s="9">
        <v>-0.5</v>
      </c>
      <c r="GY257" s="9">
        <v>-1.5</v>
      </c>
      <c r="GZ257" s="9">
        <v>-6.8</v>
      </c>
      <c r="HA257" s="9">
        <v>0.6</v>
      </c>
      <c r="HB257" s="9">
        <v>0.2</v>
      </c>
      <c r="HC257" s="9">
        <v>3.3</v>
      </c>
      <c r="HD257" s="9">
        <v>-0.5</v>
      </c>
      <c r="HE257" s="9">
        <v>0</v>
      </c>
      <c r="HF257" s="9">
        <v>1.3</v>
      </c>
      <c r="HG257" s="9">
        <v>3.1</v>
      </c>
      <c r="HH257" s="9">
        <v>0.8</v>
      </c>
      <c r="HI257" s="9">
        <v>1.2</v>
      </c>
      <c r="HJ257" s="9">
        <v>4.8</v>
      </c>
      <c r="HK257" s="9">
        <v>12</v>
      </c>
      <c r="HL257" s="9">
        <v>13.3</v>
      </c>
      <c r="HM257" s="9">
        <v>0.6</v>
      </c>
      <c r="HN257" s="9">
        <v>2.6</v>
      </c>
      <c r="HO257" s="9">
        <v>2.9</v>
      </c>
      <c r="HP257" s="9">
        <v>1.6</v>
      </c>
      <c r="HQ257" s="9">
        <v>1.3</v>
      </c>
      <c r="HR257" s="9">
        <v>1.2</v>
      </c>
      <c r="HS257" s="9">
        <v>-0.6</v>
      </c>
      <c r="HT257" s="9">
        <v>-0.4</v>
      </c>
      <c r="HU257" s="9">
        <v>4.2</v>
      </c>
      <c r="HV257" s="9">
        <v>0.1</v>
      </c>
      <c r="HW257" s="9">
        <v>0.8</v>
      </c>
      <c r="HX257" s="9">
        <v>3.2</v>
      </c>
      <c r="HY257" s="9">
        <v>3.2</v>
      </c>
      <c r="HZ257" s="9">
        <v>-0.1</v>
      </c>
      <c r="IA257" s="9">
        <v>-0.1</v>
      </c>
      <c r="IB257" s="9">
        <v>0</v>
      </c>
      <c r="IC257" s="9">
        <v>-0.1</v>
      </c>
      <c r="ID257" s="9">
        <v>-1</v>
      </c>
      <c r="IE257" s="9">
        <v>-3.2</v>
      </c>
      <c r="IF257" s="9">
        <v>-5.9</v>
      </c>
      <c r="IG257" s="9">
        <v>-1</v>
      </c>
      <c r="IH257" s="9">
        <v>-0.6</v>
      </c>
      <c r="II257" s="9">
        <v>0</v>
      </c>
      <c r="IJ257" s="9">
        <v>-0.9</v>
      </c>
      <c r="IK257" s="9">
        <v>-1.5</v>
      </c>
      <c r="IL257" s="9">
        <v>-2.4</v>
      </c>
      <c r="IM257" s="9">
        <v>-0.3</v>
      </c>
      <c r="IN257" s="9">
        <v>0.5</v>
      </c>
      <c r="IO257" s="9">
        <v>-1.2</v>
      </c>
      <c r="IP257" s="9">
        <v>-0.1</v>
      </c>
      <c r="IQ257" s="9">
        <v>-0.4</v>
      </c>
    </row>
    <row r="258" spans="1:251" x14ac:dyDescent="0.2">
      <c r="A258" s="10">
        <v>40330</v>
      </c>
      <c r="B258" s="8">
        <v>66.52</v>
      </c>
      <c r="C258" s="8">
        <v>69.42</v>
      </c>
      <c r="D258" s="8">
        <v>76.73</v>
      </c>
      <c r="E258" s="8">
        <v>78.319999999999993</v>
      </c>
      <c r="F258" s="8">
        <v>72.459999999999994</v>
      </c>
      <c r="G258" s="8">
        <v>81.69</v>
      </c>
      <c r="H258" s="8">
        <v>84.74</v>
      </c>
      <c r="I258" s="8">
        <v>68.52</v>
      </c>
      <c r="J258" s="8">
        <v>57.9</v>
      </c>
      <c r="K258" s="8">
        <v>70.77</v>
      </c>
      <c r="L258" s="8">
        <v>62.72</v>
      </c>
      <c r="M258" s="8">
        <v>83.23</v>
      </c>
      <c r="N258" s="8">
        <v>63.52</v>
      </c>
      <c r="O258" s="8">
        <v>73.3</v>
      </c>
      <c r="P258" s="8">
        <v>79.44</v>
      </c>
      <c r="Q258" s="8">
        <v>82.21</v>
      </c>
      <c r="R258" s="8">
        <v>72.569999999999993</v>
      </c>
      <c r="S258" s="8">
        <v>81.5</v>
      </c>
      <c r="T258" s="8">
        <v>65.760000000000005</v>
      </c>
      <c r="U258" s="8">
        <v>64.03</v>
      </c>
      <c r="V258" s="8">
        <v>67.27</v>
      </c>
      <c r="W258" s="8">
        <v>74.069999999999993</v>
      </c>
      <c r="X258" s="8">
        <v>61.27</v>
      </c>
      <c r="Y258" s="8">
        <v>79.64</v>
      </c>
      <c r="Z258" s="8">
        <v>80.599999999999994</v>
      </c>
      <c r="AA258" s="8">
        <v>58.69</v>
      </c>
      <c r="AB258" s="8">
        <v>72.510000000000005</v>
      </c>
      <c r="AC258" s="8">
        <v>83.32</v>
      </c>
      <c r="AD258" s="8">
        <v>71.400000000000006</v>
      </c>
      <c r="AE258" s="8">
        <v>74.239999999999995</v>
      </c>
      <c r="AF258" s="8">
        <v>70.790000000000006</v>
      </c>
      <c r="AG258" s="8">
        <v>65.61</v>
      </c>
      <c r="AH258" s="8">
        <v>67.790000000000006</v>
      </c>
      <c r="AI258" s="8">
        <v>63.12</v>
      </c>
      <c r="AJ258" s="8">
        <v>42.63</v>
      </c>
      <c r="AK258" s="8">
        <v>71.56</v>
      </c>
      <c r="AL258" s="8">
        <v>65.16</v>
      </c>
      <c r="AM258" s="8">
        <v>89.74</v>
      </c>
      <c r="AN258" s="8">
        <v>62.6</v>
      </c>
      <c r="AO258" s="8">
        <v>18.68</v>
      </c>
      <c r="AP258" s="8">
        <v>18.68</v>
      </c>
      <c r="AQ258" s="8">
        <v>96.93</v>
      </c>
      <c r="AR258" s="8">
        <v>110.55</v>
      </c>
      <c r="AS258" s="8">
        <v>103.72</v>
      </c>
      <c r="AT258" s="8">
        <v>118.72</v>
      </c>
      <c r="AU258" s="8">
        <v>95.93</v>
      </c>
      <c r="AV258" s="8">
        <v>102.29</v>
      </c>
      <c r="AW258" s="8">
        <v>103.94</v>
      </c>
      <c r="AX258" s="8">
        <v>102.74</v>
      </c>
      <c r="AY258" s="8">
        <v>98.62</v>
      </c>
      <c r="AZ258" s="8">
        <v>66.48</v>
      </c>
      <c r="BA258" s="8">
        <v>66.84</v>
      </c>
      <c r="BB258" s="8">
        <v>61.06</v>
      </c>
      <c r="BC258" s="8">
        <v>59.05</v>
      </c>
      <c r="BD258" s="8">
        <v>68.13</v>
      </c>
      <c r="BE258" s="8">
        <v>68.13</v>
      </c>
      <c r="BF258" s="8">
        <v>56.85</v>
      </c>
      <c r="BG258" s="8">
        <v>56.87</v>
      </c>
      <c r="BH258" s="8">
        <v>57.48</v>
      </c>
      <c r="BI258" s="8">
        <v>65.12</v>
      </c>
      <c r="BJ258" s="8">
        <v>47.99</v>
      </c>
      <c r="BK258" s="8">
        <v>52.24</v>
      </c>
      <c r="BL258" s="8">
        <v>60.44</v>
      </c>
      <c r="BM258" s="8">
        <v>54.06</v>
      </c>
      <c r="BN258" s="8">
        <v>42.34</v>
      </c>
      <c r="BO258" s="8">
        <v>80.010000000000005</v>
      </c>
      <c r="BP258" s="8">
        <v>81.96</v>
      </c>
      <c r="BQ258" s="8">
        <v>84.01</v>
      </c>
      <c r="BR258" s="8">
        <v>71.69</v>
      </c>
      <c r="BS258" s="8">
        <v>109.64</v>
      </c>
      <c r="BT258" s="8">
        <v>109.64</v>
      </c>
      <c r="BU258" s="8">
        <v>101.88</v>
      </c>
      <c r="BV258" s="8">
        <v>102.1</v>
      </c>
      <c r="BW258" s="8">
        <v>107.44</v>
      </c>
      <c r="BX258" s="8">
        <v>114.11</v>
      </c>
      <c r="BY258" s="8">
        <v>83.61</v>
      </c>
      <c r="BZ258" s="8">
        <v>89.82</v>
      </c>
      <c r="CA258" s="8">
        <v>88.63</v>
      </c>
      <c r="CB258" s="8">
        <v>103.88</v>
      </c>
      <c r="CC258" s="8">
        <v>81.040000000000006</v>
      </c>
      <c r="CD258" s="8">
        <v>57.23</v>
      </c>
      <c r="CE258" s="8">
        <v>50.89</v>
      </c>
      <c r="CF258" s="8">
        <v>62.71</v>
      </c>
      <c r="CG258" s="8">
        <v>57.68</v>
      </c>
      <c r="CH258" s="8">
        <v>55.17</v>
      </c>
      <c r="CI258" s="8">
        <v>90.29</v>
      </c>
      <c r="CJ258" s="8">
        <v>90.12</v>
      </c>
      <c r="CK258" s="8">
        <v>91.59</v>
      </c>
      <c r="CL258" s="8">
        <v>48.46</v>
      </c>
      <c r="CM258" s="8">
        <v>45.99</v>
      </c>
      <c r="CN258" s="8">
        <v>69.510000000000005</v>
      </c>
      <c r="CO258" s="8">
        <v>73.23</v>
      </c>
      <c r="CP258" s="8">
        <v>73.22</v>
      </c>
      <c r="CQ258" s="8">
        <v>93.32</v>
      </c>
      <c r="CR258" s="8">
        <v>70.03</v>
      </c>
      <c r="CS258" s="8">
        <v>68.81</v>
      </c>
      <c r="CT258" s="8">
        <v>67.33</v>
      </c>
      <c r="CU258" s="8">
        <v>59.04</v>
      </c>
      <c r="CV258" s="8">
        <v>76.900000000000006</v>
      </c>
      <c r="CW258" s="8">
        <v>76.900000000000006</v>
      </c>
      <c r="CX258" s="8">
        <v>123.47</v>
      </c>
      <c r="CY258" s="8">
        <v>123.47</v>
      </c>
      <c r="CZ258" s="8">
        <v>52.22</v>
      </c>
      <c r="DA258" s="8">
        <v>128.37</v>
      </c>
      <c r="DB258" s="8">
        <v>78.62</v>
      </c>
      <c r="DC258" s="8">
        <v>152.77000000000001</v>
      </c>
      <c r="DD258" s="8">
        <v>279.06</v>
      </c>
      <c r="DE258" s="8">
        <v>75.05</v>
      </c>
      <c r="DF258" s="8">
        <v>73.260000000000005</v>
      </c>
      <c r="DG258" s="8">
        <v>100.94</v>
      </c>
      <c r="DH258" s="8">
        <v>63.14</v>
      </c>
      <c r="DI258" s="8">
        <v>63.06</v>
      </c>
      <c r="DJ258" s="8">
        <v>56.89</v>
      </c>
      <c r="DK258" s="8">
        <v>62.24</v>
      </c>
      <c r="DL258" s="8">
        <v>72.89</v>
      </c>
      <c r="DM258" s="8">
        <v>92.44</v>
      </c>
      <c r="DN258" s="8">
        <v>123.7</v>
      </c>
      <c r="DO258" s="8">
        <v>72.239999999999995</v>
      </c>
      <c r="DP258" s="8">
        <v>52.37</v>
      </c>
      <c r="DQ258" s="8">
        <v>62.81</v>
      </c>
      <c r="DR258" s="8">
        <v>63.32</v>
      </c>
      <c r="DS258" s="8">
        <v>53.44</v>
      </c>
      <c r="DT258" s="8">
        <v>53.44</v>
      </c>
      <c r="DU258" s="8">
        <v>57.82</v>
      </c>
      <c r="DV258" s="8">
        <v>49.42</v>
      </c>
      <c r="DW258" s="8">
        <v>55.3</v>
      </c>
      <c r="DX258" s="8">
        <v>64.790000000000006</v>
      </c>
      <c r="DY258" s="8">
        <v>46.47</v>
      </c>
      <c r="DZ258" s="8">
        <v>46.47</v>
      </c>
      <c r="EC258" s="8">
        <v>71.31</v>
      </c>
      <c r="ED258" s="9">
        <v>0.6</v>
      </c>
      <c r="EE258" s="9">
        <v>-0.3</v>
      </c>
      <c r="EF258" s="9">
        <v>-0.8</v>
      </c>
      <c r="EG258" s="9">
        <v>0.1</v>
      </c>
      <c r="EH258" s="9">
        <v>-1.7</v>
      </c>
      <c r="EI258" s="9">
        <v>-0.3</v>
      </c>
      <c r="EJ258" s="9">
        <v>-1.5</v>
      </c>
      <c r="EK258" s="9">
        <v>0.1</v>
      </c>
      <c r="EL258" s="9">
        <v>-0.3</v>
      </c>
      <c r="EM258" s="9">
        <v>-1.4</v>
      </c>
      <c r="EN258" s="9">
        <v>2.5</v>
      </c>
      <c r="EO258" s="9">
        <v>0.9</v>
      </c>
      <c r="EP258" s="9">
        <v>0.7</v>
      </c>
      <c r="EQ258" s="9">
        <v>-0.8</v>
      </c>
      <c r="ER258" s="9">
        <v>1</v>
      </c>
      <c r="ES258" s="9">
        <v>0.3</v>
      </c>
      <c r="ET258" s="9">
        <v>0.3</v>
      </c>
      <c r="EU258" s="9">
        <v>3.1</v>
      </c>
      <c r="EV258" s="9">
        <v>-3.8</v>
      </c>
      <c r="EW258" s="9">
        <v>-4.8</v>
      </c>
      <c r="EX258" s="9">
        <v>-3</v>
      </c>
      <c r="EY258" s="9">
        <v>0.1</v>
      </c>
      <c r="EZ258" s="9">
        <v>0.3</v>
      </c>
      <c r="FA258" s="9">
        <v>-1.9</v>
      </c>
      <c r="FB258" s="9">
        <v>0</v>
      </c>
      <c r="FC258" s="9">
        <v>-0.7</v>
      </c>
      <c r="FD258" s="9">
        <v>0.9</v>
      </c>
      <c r="FE258" s="9">
        <v>-0.9</v>
      </c>
      <c r="FF258" s="9">
        <v>1.3</v>
      </c>
      <c r="FG258" s="9">
        <v>0.3</v>
      </c>
      <c r="FH258" s="9">
        <v>1.6</v>
      </c>
      <c r="FI258" s="9">
        <v>0.4</v>
      </c>
      <c r="FJ258" s="9">
        <v>0.3</v>
      </c>
      <c r="FK258" s="9">
        <v>0.5</v>
      </c>
      <c r="FL258" s="9">
        <v>5.9</v>
      </c>
      <c r="FM258" s="9">
        <v>0.6</v>
      </c>
      <c r="FN258" s="9">
        <v>-0.2</v>
      </c>
      <c r="FO258" s="9">
        <v>0.3</v>
      </c>
      <c r="FP258" s="9">
        <v>1.3</v>
      </c>
      <c r="FQ258" s="9">
        <v>15.4</v>
      </c>
      <c r="FR258" s="9">
        <v>15.4</v>
      </c>
      <c r="FS258" s="9">
        <v>0</v>
      </c>
      <c r="FT258" s="9">
        <v>0.2</v>
      </c>
      <c r="FU258" s="9">
        <v>-0.2</v>
      </c>
      <c r="FV258" s="9">
        <v>0</v>
      </c>
      <c r="FW258" s="9">
        <v>1.4</v>
      </c>
      <c r="FX258" s="9">
        <v>-2.4</v>
      </c>
      <c r="FY258" s="9">
        <v>-0.7</v>
      </c>
      <c r="FZ258" s="9">
        <v>-3.8</v>
      </c>
      <c r="GA258" s="9">
        <v>-0.9</v>
      </c>
      <c r="GB258" s="9">
        <v>1.5</v>
      </c>
      <c r="GC258" s="9">
        <v>1.8</v>
      </c>
      <c r="GD258" s="9">
        <v>0.6</v>
      </c>
      <c r="GE258" s="9">
        <v>0.6</v>
      </c>
      <c r="GF258" s="9">
        <v>1.2</v>
      </c>
      <c r="GG258" s="9">
        <v>1.2</v>
      </c>
      <c r="GH258" s="9">
        <v>0.6</v>
      </c>
      <c r="GI258" s="9">
        <v>0.6</v>
      </c>
      <c r="GJ258" s="9">
        <v>0.2</v>
      </c>
      <c r="GK258" s="9">
        <v>0.4</v>
      </c>
      <c r="GL258" s="9">
        <v>0</v>
      </c>
      <c r="GM258" s="9">
        <v>0</v>
      </c>
      <c r="GN258" s="9">
        <v>0</v>
      </c>
      <c r="GO258" s="9">
        <v>-0.6</v>
      </c>
      <c r="GP258" s="9">
        <v>1.7</v>
      </c>
      <c r="GQ258" s="9">
        <v>0.9</v>
      </c>
      <c r="GR258" s="9">
        <v>1.4</v>
      </c>
      <c r="GS258" s="9">
        <v>2</v>
      </c>
      <c r="GT258" s="9">
        <v>0.2</v>
      </c>
      <c r="GU258" s="9">
        <v>0.7</v>
      </c>
      <c r="GV258" s="9">
        <v>0.7</v>
      </c>
      <c r="GW258" s="9">
        <v>1.7</v>
      </c>
      <c r="GX258" s="9">
        <v>-0.6</v>
      </c>
      <c r="GY258" s="9">
        <v>1.8</v>
      </c>
      <c r="GZ258" s="9">
        <v>6.3</v>
      </c>
      <c r="HA258" s="9">
        <v>0.4</v>
      </c>
      <c r="HB258" s="9">
        <v>0.1</v>
      </c>
      <c r="HC258" s="9">
        <v>0.4</v>
      </c>
      <c r="HD258" s="9">
        <v>-0.4</v>
      </c>
      <c r="HE258" s="9">
        <v>0.4</v>
      </c>
      <c r="HF258" s="9">
        <v>0.7</v>
      </c>
      <c r="HG258" s="9">
        <v>0.3</v>
      </c>
      <c r="HH258" s="9">
        <v>0.7</v>
      </c>
      <c r="HI258" s="9">
        <v>0.9</v>
      </c>
      <c r="HJ258" s="9">
        <v>2.2000000000000002</v>
      </c>
      <c r="HK258" s="9">
        <v>-1.2</v>
      </c>
      <c r="HL258" s="9">
        <v>-1.3</v>
      </c>
      <c r="HM258" s="9">
        <v>0</v>
      </c>
      <c r="HN258" s="9">
        <v>3.2</v>
      </c>
      <c r="HO258" s="9">
        <v>3.8</v>
      </c>
      <c r="HP258" s="9">
        <v>0.8</v>
      </c>
      <c r="HQ258" s="9">
        <v>0.7</v>
      </c>
      <c r="HR258" s="9">
        <v>0.9</v>
      </c>
      <c r="HS258" s="9">
        <v>-0.2</v>
      </c>
      <c r="HT258" s="9">
        <v>-0.1</v>
      </c>
      <c r="HU258" s="9">
        <v>2.1</v>
      </c>
      <c r="HV258" s="9">
        <v>0.9</v>
      </c>
      <c r="HW258" s="9">
        <v>1.4</v>
      </c>
      <c r="HX258" s="9">
        <v>-1.6</v>
      </c>
      <c r="HY258" s="9">
        <v>-1.6</v>
      </c>
      <c r="HZ258" s="9">
        <v>0</v>
      </c>
      <c r="IA258" s="9">
        <v>0</v>
      </c>
      <c r="IB258" s="9">
        <v>0</v>
      </c>
      <c r="IC258" s="9">
        <v>0</v>
      </c>
      <c r="ID258" s="9">
        <v>-1.8</v>
      </c>
      <c r="IE258" s="9">
        <v>-2.9</v>
      </c>
      <c r="IF258" s="9">
        <v>-6</v>
      </c>
      <c r="IG258" s="9">
        <v>-0.6</v>
      </c>
      <c r="IH258" s="9">
        <v>-0.3</v>
      </c>
      <c r="II258" s="9">
        <v>-0.5</v>
      </c>
      <c r="IJ258" s="9">
        <v>-0.2</v>
      </c>
      <c r="IK258" s="9">
        <v>-4.2</v>
      </c>
      <c r="IL258" s="9">
        <v>-6</v>
      </c>
      <c r="IM258" s="9">
        <v>-1.8</v>
      </c>
      <c r="IN258" s="9">
        <v>0.9</v>
      </c>
      <c r="IO258" s="9">
        <v>-1.7</v>
      </c>
      <c r="IP258" s="9">
        <v>-0.2</v>
      </c>
      <c r="IQ258" s="9">
        <v>4.5</v>
      </c>
    </row>
    <row r="259" spans="1:251" x14ac:dyDescent="0.2">
      <c r="A259" s="10">
        <v>40422</v>
      </c>
      <c r="B259" s="8">
        <v>67</v>
      </c>
      <c r="C259" s="8">
        <v>69.099999999999994</v>
      </c>
      <c r="D259" s="8">
        <v>76.84</v>
      </c>
      <c r="E259" s="8">
        <v>77.7</v>
      </c>
      <c r="F259" s="8">
        <v>72.930000000000007</v>
      </c>
      <c r="G259" s="8">
        <v>82.74</v>
      </c>
      <c r="H259" s="8">
        <v>85.32</v>
      </c>
      <c r="I259" s="8">
        <v>68.930000000000007</v>
      </c>
      <c r="J259" s="8">
        <v>58.45</v>
      </c>
      <c r="K259" s="8">
        <v>70.86</v>
      </c>
      <c r="L259" s="8">
        <v>63.51</v>
      </c>
      <c r="M259" s="8">
        <v>83.06</v>
      </c>
      <c r="N259" s="8">
        <v>64.319999999999993</v>
      </c>
      <c r="O259" s="8">
        <v>73.63</v>
      </c>
      <c r="P259" s="8">
        <v>78.81</v>
      </c>
      <c r="Q259" s="8">
        <v>82.21</v>
      </c>
      <c r="R259" s="8">
        <v>71.58</v>
      </c>
      <c r="S259" s="8">
        <v>80.28</v>
      </c>
      <c r="T259" s="8">
        <v>63.59</v>
      </c>
      <c r="U259" s="8">
        <v>63.58</v>
      </c>
      <c r="V259" s="8">
        <v>63.62</v>
      </c>
      <c r="W259" s="8">
        <v>73.819999999999993</v>
      </c>
      <c r="X259" s="8">
        <v>61.46</v>
      </c>
      <c r="Y259" s="8">
        <v>78.319999999999993</v>
      </c>
      <c r="Z259" s="8">
        <v>80.959999999999994</v>
      </c>
      <c r="AA259" s="8">
        <v>58.7</v>
      </c>
      <c r="AB259" s="8">
        <v>72.5</v>
      </c>
      <c r="AC259" s="8">
        <v>82.31</v>
      </c>
      <c r="AD259" s="8">
        <v>70.239999999999995</v>
      </c>
      <c r="AE259" s="8">
        <v>73.38</v>
      </c>
      <c r="AF259" s="8">
        <v>69.58</v>
      </c>
      <c r="AG259" s="8">
        <v>65.88</v>
      </c>
      <c r="AH259" s="8">
        <v>68.010000000000005</v>
      </c>
      <c r="AI259" s="8">
        <v>63.43</v>
      </c>
      <c r="AJ259" s="8">
        <v>43.94</v>
      </c>
      <c r="AK259" s="8">
        <v>71.98</v>
      </c>
      <c r="AL259" s="8">
        <v>65.64</v>
      </c>
      <c r="AM259" s="8">
        <v>90.33</v>
      </c>
      <c r="AN259" s="8">
        <v>62.89</v>
      </c>
      <c r="AO259" s="8">
        <v>19.98</v>
      </c>
      <c r="AP259" s="8">
        <v>19.98</v>
      </c>
      <c r="AQ259" s="8">
        <v>98.2</v>
      </c>
      <c r="AR259" s="8">
        <v>111.5</v>
      </c>
      <c r="AS259" s="8">
        <v>106.79</v>
      </c>
      <c r="AT259" s="8">
        <v>118.05</v>
      </c>
      <c r="AU259" s="8">
        <v>97.51</v>
      </c>
      <c r="AV259" s="8">
        <v>104.8</v>
      </c>
      <c r="AW259" s="8">
        <v>104.8</v>
      </c>
      <c r="AX259" s="8">
        <v>106.41</v>
      </c>
      <c r="AY259" s="8">
        <v>100.45</v>
      </c>
      <c r="AZ259" s="8">
        <v>67.78</v>
      </c>
      <c r="BA259" s="8">
        <v>68.44</v>
      </c>
      <c r="BB259" s="8">
        <v>61.4</v>
      </c>
      <c r="BC259" s="8">
        <v>60.35</v>
      </c>
      <c r="BD259" s="8">
        <v>68.87</v>
      </c>
      <c r="BE259" s="8">
        <v>68.87</v>
      </c>
      <c r="BF259" s="8">
        <v>57.12</v>
      </c>
      <c r="BG259" s="8">
        <v>57.12</v>
      </c>
      <c r="BH259" s="8">
        <v>59.01</v>
      </c>
      <c r="BI259" s="8">
        <v>65.52</v>
      </c>
      <c r="BJ259" s="8">
        <v>50.94</v>
      </c>
      <c r="BK259" s="8">
        <v>55.88</v>
      </c>
      <c r="BL259" s="8">
        <v>68.19</v>
      </c>
      <c r="BM259" s="8">
        <v>57.33</v>
      </c>
      <c r="BN259" s="8">
        <v>43.27</v>
      </c>
      <c r="BO259" s="8">
        <v>80.66</v>
      </c>
      <c r="BP259" s="8">
        <v>82.96</v>
      </c>
      <c r="BQ259" s="8">
        <v>85.2</v>
      </c>
      <c r="BR259" s="8">
        <v>72.13</v>
      </c>
      <c r="BS259" s="8">
        <v>111.54</v>
      </c>
      <c r="BT259" s="8">
        <v>111.54</v>
      </c>
      <c r="BU259" s="8">
        <v>101.41</v>
      </c>
      <c r="BV259" s="8">
        <v>101.45</v>
      </c>
      <c r="BW259" s="8">
        <v>107.42</v>
      </c>
      <c r="BX259" s="8">
        <v>114.1</v>
      </c>
      <c r="BY259" s="8">
        <v>82.78</v>
      </c>
      <c r="BZ259" s="8">
        <v>90.49</v>
      </c>
      <c r="CA259" s="8">
        <v>87.79</v>
      </c>
      <c r="CB259" s="8">
        <v>104.51</v>
      </c>
      <c r="CC259" s="8">
        <v>82.03</v>
      </c>
      <c r="CD259" s="8">
        <v>57.97</v>
      </c>
      <c r="CE259" s="8">
        <v>52.12</v>
      </c>
      <c r="CF259" s="8">
        <v>63.18</v>
      </c>
      <c r="CG259" s="8">
        <v>58.49</v>
      </c>
      <c r="CH259" s="8">
        <v>54.77</v>
      </c>
      <c r="CI259" s="8">
        <v>87.08</v>
      </c>
      <c r="CJ259" s="8">
        <v>86.62</v>
      </c>
      <c r="CK259" s="8">
        <v>91.34</v>
      </c>
      <c r="CL259" s="8">
        <v>48.52</v>
      </c>
      <c r="CM259" s="8">
        <v>46</v>
      </c>
      <c r="CN259" s="8">
        <v>69.88</v>
      </c>
      <c r="CO259" s="8">
        <v>72.78</v>
      </c>
      <c r="CP259" s="8">
        <v>72.709999999999994</v>
      </c>
      <c r="CQ259" s="8">
        <v>93.62</v>
      </c>
      <c r="CR259" s="8">
        <v>70.010000000000005</v>
      </c>
      <c r="CS259" s="8">
        <v>66.27</v>
      </c>
      <c r="CT259" s="8">
        <v>67.84</v>
      </c>
      <c r="CU259" s="8">
        <v>60.8</v>
      </c>
      <c r="CV259" s="8">
        <v>77.510000000000005</v>
      </c>
      <c r="CW259" s="8">
        <v>77.510000000000005</v>
      </c>
      <c r="CX259" s="8">
        <v>123.16</v>
      </c>
      <c r="CY259" s="8">
        <v>123.16</v>
      </c>
      <c r="CZ259" s="8">
        <v>55.57</v>
      </c>
      <c r="DA259" s="8">
        <v>127.7</v>
      </c>
      <c r="DB259" s="8">
        <v>79.14</v>
      </c>
      <c r="DC259" s="8">
        <v>151.53</v>
      </c>
      <c r="DD259" s="8">
        <v>271.89999999999998</v>
      </c>
      <c r="DE259" s="8">
        <v>75.709999999999994</v>
      </c>
      <c r="DF259" s="8">
        <v>73.930000000000007</v>
      </c>
      <c r="DG259" s="8">
        <v>101.57</v>
      </c>
      <c r="DH259" s="8">
        <v>63.84</v>
      </c>
      <c r="DI259" s="8">
        <v>64.19</v>
      </c>
      <c r="DJ259" s="8">
        <v>57.99</v>
      </c>
      <c r="DK259" s="8">
        <v>63.24</v>
      </c>
      <c r="DL259" s="8">
        <v>72.89</v>
      </c>
      <c r="DM259" s="8">
        <v>91.89</v>
      </c>
      <c r="DN259" s="8">
        <v>123</v>
      </c>
      <c r="DO259" s="8">
        <v>70.53</v>
      </c>
      <c r="DP259" s="8">
        <v>52.94</v>
      </c>
      <c r="DQ259" s="8">
        <v>64.14</v>
      </c>
      <c r="DR259" s="8">
        <v>63.1</v>
      </c>
      <c r="DS259" s="8">
        <v>53.52</v>
      </c>
      <c r="DT259" s="8">
        <v>53.52</v>
      </c>
      <c r="DU259" s="8">
        <v>58.24</v>
      </c>
      <c r="DV259" s="8">
        <v>49.42</v>
      </c>
      <c r="DW259" s="8">
        <v>55.3</v>
      </c>
      <c r="DX259" s="8">
        <v>65.09</v>
      </c>
      <c r="DY259" s="8">
        <v>47.33</v>
      </c>
      <c r="DZ259" s="8">
        <v>47.33</v>
      </c>
      <c r="EC259" s="8">
        <v>71.459999999999994</v>
      </c>
      <c r="ED259" s="9">
        <v>0.7</v>
      </c>
      <c r="EE259" s="9">
        <v>-0.5</v>
      </c>
      <c r="EF259" s="9">
        <v>0.1</v>
      </c>
      <c r="EG259" s="9">
        <v>-0.8</v>
      </c>
      <c r="EH259" s="9">
        <v>0.6</v>
      </c>
      <c r="EI259" s="9">
        <v>1.3</v>
      </c>
      <c r="EJ259" s="9">
        <v>0.7</v>
      </c>
      <c r="EK259" s="9">
        <v>0.6</v>
      </c>
      <c r="EL259" s="9">
        <v>0.9</v>
      </c>
      <c r="EM259" s="9">
        <v>0.1</v>
      </c>
      <c r="EN259" s="9">
        <v>1.3</v>
      </c>
      <c r="EO259" s="9">
        <v>-0.2</v>
      </c>
      <c r="EP259" s="9">
        <v>1.3</v>
      </c>
      <c r="EQ259" s="9">
        <v>0.5</v>
      </c>
      <c r="ER259" s="9">
        <v>-0.8</v>
      </c>
      <c r="ES259" s="9">
        <v>0</v>
      </c>
      <c r="ET259" s="9">
        <v>-1.4</v>
      </c>
      <c r="EU259" s="9">
        <v>-1.5</v>
      </c>
      <c r="EV259" s="9">
        <v>-3.3</v>
      </c>
      <c r="EW259" s="9">
        <v>-0.7</v>
      </c>
      <c r="EX259" s="9">
        <v>-5.4</v>
      </c>
      <c r="EY259" s="9">
        <v>-0.3</v>
      </c>
      <c r="EZ259" s="9">
        <v>0.3</v>
      </c>
      <c r="FA259" s="9">
        <v>-1.7</v>
      </c>
      <c r="FB259" s="9">
        <v>0.4</v>
      </c>
      <c r="FC259" s="9">
        <v>0</v>
      </c>
      <c r="FD259" s="9">
        <v>0</v>
      </c>
      <c r="FE259" s="9">
        <v>-1.2</v>
      </c>
      <c r="FF259" s="9">
        <v>-1.6</v>
      </c>
      <c r="FG259" s="9">
        <v>-1.2</v>
      </c>
      <c r="FH259" s="9">
        <v>-1.7</v>
      </c>
      <c r="FI259" s="9">
        <v>0.4</v>
      </c>
      <c r="FJ259" s="9">
        <v>0.3</v>
      </c>
      <c r="FK259" s="9">
        <v>0.5</v>
      </c>
      <c r="FL259" s="9">
        <v>3.1</v>
      </c>
      <c r="FM259" s="9">
        <v>0.6</v>
      </c>
      <c r="FN259" s="9">
        <v>0.7</v>
      </c>
      <c r="FO259" s="9">
        <v>0.7</v>
      </c>
      <c r="FP259" s="9">
        <v>0.5</v>
      </c>
      <c r="FQ259" s="9">
        <v>7</v>
      </c>
      <c r="FR259" s="9">
        <v>7</v>
      </c>
      <c r="FS259" s="9">
        <v>1.3</v>
      </c>
      <c r="FT259" s="9">
        <v>0.9</v>
      </c>
      <c r="FU259" s="9">
        <v>3</v>
      </c>
      <c r="FV259" s="9">
        <v>-0.6</v>
      </c>
      <c r="FW259" s="9">
        <v>1.6</v>
      </c>
      <c r="FX259" s="9">
        <v>2.5</v>
      </c>
      <c r="FY259" s="9">
        <v>0.8</v>
      </c>
      <c r="FZ259" s="9">
        <v>3.6</v>
      </c>
      <c r="GA259" s="9">
        <v>1.9</v>
      </c>
      <c r="GB259" s="9">
        <v>2</v>
      </c>
      <c r="GC259" s="9">
        <v>2.4</v>
      </c>
      <c r="GD259" s="9">
        <v>0.6</v>
      </c>
      <c r="GE259" s="9">
        <v>2.2000000000000002</v>
      </c>
      <c r="GF259" s="9">
        <v>1.1000000000000001</v>
      </c>
      <c r="GG259" s="9">
        <v>1.1000000000000001</v>
      </c>
      <c r="GH259" s="9">
        <v>0.5</v>
      </c>
      <c r="GI259" s="9">
        <v>0.4</v>
      </c>
      <c r="GJ259" s="9">
        <v>2.7</v>
      </c>
      <c r="GK259" s="9">
        <v>0.6</v>
      </c>
      <c r="GL259" s="9">
        <v>6.1</v>
      </c>
      <c r="GM259" s="9">
        <v>7</v>
      </c>
      <c r="GN259" s="9">
        <v>12.8</v>
      </c>
      <c r="GO259" s="9">
        <v>6</v>
      </c>
      <c r="GP259" s="9">
        <v>2.2000000000000002</v>
      </c>
      <c r="GQ259" s="9">
        <v>0.8</v>
      </c>
      <c r="GR259" s="9">
        <v>1.2</v>
      </c>
      <c r="GS259" s="9">
        <v>1.4</v>
      </c>
      <c r="GT259" s="9">
        <v>0.6</v>
      </c>
      <c r="GU259" s="9">
        <v>1.7</v>
      </c>
      <c r="GV259" s="9">
        <v>1.7</v>
      </c>
      <c r="GW259" s="9">
        <v>-0.5</v>
      </c>
      <c r="GX259" s="9">
        <v>-0.6</v>
      </c>
      <c r="GY259" s="9">
        <v>0</v>
      </c>
      <c r="GZ259" s="9">
        <v>0</v>
      </c>
      <c r="HA259" s="9">
        <v>-1</v>
      </c>
      <c r="HB259" s="9">
        <v>0.7</v>
      </c>
      <c r="HC259" s="9">
        <v>-0.9</v>
      </c>
      <c r="HD259" s="9">
        <v>0.6</v>
      </c>
      <c r="HE259" s="9">
        <v>1.2</v>
      </c>
      <c r="HF259" s="9">
        <v>1.3</v>
      </c>
      <c r="HG259" s="9">
        <v>2.4</v>
      </c>
      <c r="HH259" s="9">
        <v>0.7</v>
      </c>
      <c r="HI259" s="9">
        <v>1.4</v>
      </c>
      <c r="HJ259" s="9">
        <v>-0.7</v>
      </c>
      <c r="HK259" s="9">
        <v>-3.6</v>
      </c>
      <c r="HL259" s="9">
        <v>-3.9</v>
      </c>
      <c r="HM259" s="9">
        <v>-0.3</v>
      </c>
      <c r="HN259" s="9">
        <v>0.1</v>
      </c>
      <c r="HO259" s="9">
        <v>0</v>
      </c>
      <c r="HP259" s="9">
        <v>0.5</v>
      </c>
      <c r="HQ259" s="9">
        <v>-0.6</v>
      </c>
      <c r="HR259" s="9">
        <v>-0.7</v>
      </c>
      <c r="HS259" s="9">
        <v>0.3</v>
      </c>
      <c r="HT259" s="9">
        <v>0</v>
      </c>
      <c r="HU259" s="9">
        <v>-3.7</v>
      </c>
      <c r="HV259" s="9">
        <v>0.8</v>
      </c>
      <c r="HW259" s="9">
        <v>3</v>
      </c>
      <c r="HX259" s="9">
        <v>0.8</v>
      </c>
      <c r="HY259" s="9">
        <v>0.8</v>
      </c>
      <c r="HZ259" s="9">
        <v>-0.3</v>
      </c>
      <c r="IA259" s="9">
        <v>-0.3</v>
      </c>
      <c r="IB259" s="9">
        <v>6.4</v>
      </c>
      <c r="IC259" s="9">
        <v>-0.5</v>
      </c>
      <c r="ID259" s="9">
        <v>0.7</v>
      </c>
      <c r="IE259" s="9">
        <v>-0.8</v>
      </c>
      <c r="IF259" s="9">
        <v>-2.6</v>
      </c>
      <c r="IG259" s="9">
        <v>0.9</v>
      </c>
      <c r="IH259" s="9">
        <v>0.9</v>
      </c>
      <c r="II259" s="9">
        <v>0.6</v>
      </c>
      <c r="IJ259" s="9">
        <v>1.1000000000000001</v>
      </c>
      <c r="IK259" s="9">
        <v>1.8</v>
      </c>
      <c r="IL259" s="9">
        <v>1.9</v>
      </c>
      <c r="IM259" s="9">
        <v>1.6</v>
      </c>
      <c r="IN259" s="9">
        <v>0</v>
      </c>
      <c r="IO259" s="9">
        <v>-0.6</v>
      </c>
      <c r="IP259" s="9">
        <v>-0.6</v>
      </c>
      <c r="IQ259" s="9">
        <v>-2.4</v>
      </c>
    </row>
    <row r="260" spans="1:251" x14ac:dyDescent="0.2">
      <c r="A260" s="10">
        <v>40513</v>
      </c>
      <c r="B260" s="8">
        <v>67.260000000000005</v>
      </c>
      <c r="C260" s="8">
        <v>70.63</v>
      </c>
      <c r="D260" s="8">
        <v>77</v>
      </c>
      <c r="E260" s="8">
        <v>78.2</v>
      </c>
      <c r="F260" s="8">
        <v>73.23</v>
      </c>
      <c r="G260" s="8">
        <v>82.81</v>
      </c>
      <c r="H260" s="8">
        <v>83.57</v>
      </c>
      <c r="I260" s="8">
        <v>69.05</v>
      </c>
      <c r="J260" s="8">
        <v>56.32</v>
      </c>
      <c r="K260" s="8">
        <v>72.81</v>
      </c>
      <c r="L260" s="8">
        <v>64.08</v>
      </c>
      <c r="M260" s="8">
        <v>84.43</v>
      </c>
      <c r="N260" s="8">
        <v>64.36</v>
      </c>
      <c r="O260" s="8">
        <v>73.73</v>
      </c>
      <c r="P260" s="8">
        <v>79.37</v>
      </c>
      <c r="Q260" s="8">
        <v>81.900000000000006</v>
      </c>
      <c r="R260" s="8">
        <v>73.58</v>
      </c>
      <c r="S260" s="8">
        <v>80.5</v>
      </c>
      <c r="T260" s="8">
        <v>72.03</v>
      </c>
      <c r="U260" s="8">
        <v>73.430000000000007</v>
      </c>
      <c r="V260" s="8">
        <v>70.88</v>
      </c>
      <c r="W260" s="8">
        <v>73.86</v>
      </c>
      <c r="X260" s="8">
        <v>61.21</v>
      </c>
      <c r="Y260" s="8">
        <v>78.81</v>
      </c>
      <c r="Z260" s="8">
        <v>80.19</v>
      </c>
      <c r="AA260" s="8">
        <v>58.92</v>
      </c>
      <c r="AB260" s="8">
        <v>72.73</v>
      </c>
      <c r="AC260" s="8">
        <v>82.26</v>
      </c>
      <c r="AD260" s="8">
        <v>70.56</v>
      </c>
      <c r="AE260" s="8">
        <v>73.39</v>
      </c>
      <c r="AF260" s="8">
        <v>69.95</v>
      </c>
      <c r="AG260" s="8">
        <v>66.430000000000007</v>
      </c>
      <c r="AH260" s="8">
        <v>68.319999999999993</v>
      </c>
      <c r="AI260" s="8">
        <v>64.14</v>
      </c>
      <c r="AJ260" s="8">
        <v>44.28</v>
      </c>
      <c r="AK260" s="8">
        <v>72.319999999999993</v>
      </c>
      <c r="AL260" s="8">
        <v>66.28</v>
      </c>
      <c r="AM260" s="8">
        <v>90.29</v>
      </c>
      <c r="AN260" s="8">
        <v>63.25</v>
      </c>
      <c r="AO260" s="8">
        <v>20.22</v>
      </c>
      <c r="AP260" s="8">
        <v>20.22</v>
      </c>
      <c r="AQ260" s="8">
        <v>96.38</v>
      </c>
      <c r="AR260" s="8">
        <v>109.19</v>
      </c>
      <c r="AS260" s="8">
        <v>104.62</v>
      </c>
      <c r="AT260" s="8">
        <v>115.31</v>
      </c>
      <c r="AU260" s="8">
        <v>96.5</v>
      </c>
      <c r="AV260" s="8">
        <v>104.49</v>
      </c>
      <c r="AW260" s="8">
        <v>103.27</v>
      </c>
      <c r="AX260" s="8">
        <v>107.02</v>
      </c>
      <c r="AY260" s="8">
        <v>99.47</v>
      </c>
      <c r="AZ260" s="8">
        <v>66.099999999999994</v>
      </c>
      <c r="BA260" s="8">
        <v>66.040000000000006</v>
      </c>
      <c r="BB260" s="8">
        <v>61.94</v>
      </c>
      <c r="BC260" s="8">
        <v>60.74</v>
      </c>
      <c r="BD260" s="8">
        <v>69.47</v>
      </c>
      <c r="BE260" s="8">
        <v>69.47</v>
      </c>
      <c r="BF260" s="8">
        <v>57.51</v>
      </c>
      <c r="BG260" s="8">
        <v>57.51</v>
      </c>
      <c r="BH260" s="8">
        <v>59.32</v>
      </c>
      <c r="BI260" s="8">
        <v>66.040000000000006</v>
      </c>
      <c r="BJ260" s="8">
        <v>50.94</v>
      </c>
      <c r="BK260" s="8">
        <v>56.09</v>
      </c>
      <c r="BL260" s="8">
        <v>68.19</v>
      </c>
      <c r="BM260" s="8">
        <v>57.84</v>
      </c>
      <c r="BN260" s="8">
        <v>43.06</v>
      </c>
      <c r="BO260" s="8">
        <v>80.17</v>
      </c>
      <c r="BP260" s="8">
        <v>82.96</v>
      </c>
      <c r="BQ260" s="8">
        <v>85.34</v>
      </c>
      <c r="BR260" s="8">
        <v>71.64</v>
      </c>
      <c r="BS260" s="8">
        <v>110.59</v>
      </c>
      <c r="BT260" s="8">
        <v>110.59</v>
      </c>
      <c r="BU260" s="8">
        <v>99.6</v>
      </c>
      <c r="BV260" s="8">
        <v>99.25</v>
      </c>
      <c r="BW260" s="8">
        <v>106.63</v>
      </c>
      <c r="BX260" s="8">
        <v>110.7</v>
      </c>
      <c r="BY260" s="8">
        <v>82.45</v>
      </c>
      <c r="BZ260" s="8">
        <v>89.34</v>
      </c>
      <c r="CA260" s="8">
        <v>85.57</v>
      </c>
      <c r="CB260" s="8">
        <v>103.47</v>
      </c>
      <c r="CC260" s="8">
        <v>81.05</v>
      </c>
      <c r="CD260" s="8">
        <v>58.38</v>
      </c>
      <c r="CE260" s="8">
        <v>52.72</v>
      </c>
      <c r="CF260" s="8">
        <v>63.47</v>
      </c>
      <c r="CG260" s="8">
        <v>58.96</v>
      </c>
      <c r="CH260" s="8">
        <v>54.12</v>
      </c>
      <c r="CI260" s="8">
        <v>82.13</v>
      </c>
      <c r="CJ260" s="8">
        <v>81.22</v>
      </c>
      <c r="CK260" s="8">
        <v>91.07</v>
      </c>
      <c r="CL260" s="8">
        <v>48.58</v>
      </c>
      <c r="CM260" s="8">
        <v>46.01</v>
      </c>
      <c r="CN260" s="8">
        <v>70.290000000000006</v>
      </c>
      <c r="CO260" s="8">
        <v>72.98</v>
      </c>
      <c r="CP260" s="8">
        <v>72.92</v>
      </c>
      <c r="CQ260" s="8">
        <v>92.65</v>
      </c>
      <c r="CR260" s="8">
        <v>70.38</v>
      </c>
      <c r="CS260" s="8">
        <v>67.69</v>
      </c>
      <c r="CT260" s="8">
        <v>66.510000000000005</v>
      </c>
      <c r="CU260" s="8">
        <v>62.48</v>
      </c>
      <c r="CV260" s="8">
        <v>77.510000000000005</v>
      </c>
      <c r="CW260" s="8">
        <v>77.510000000000005</v>
      </c>
      <c r="CX260" s="8">
        <v>123.17</v>
      </c>
      <c r="CY260" s="8">
        <v>123.17</v>
      </c>
      <c r="CZ260" s="8">
        <v>55.57</v>
      </c>
      <c r="DA260" s="8">
        <v>127.72</v>
      </c>
      <c r="DB260" s="8">
        <v>79.290000000000006</v>
      </c>
      <c r="DC260" s="8">
        <v>148.13</v>
      </c>
      <c r="DD260" s="8">
        <v>257.8</v>
      </c>
      <c r="DE260" s="8">
        <v>75.62</v>
      </c>
      <c r="DF260" s="8">
        <v>73.959999999999994</v>
      </c>
      <c r="DG260" s="8">
        <v>101.6</v>
      </c>
      <c r="DH260" s="8">
        <v>63.89</v>
      </c>
      <c r="DI260" s="8">
        <v>65.33</v>
      </c>
      <c r="DJ260" s="8">
        <v>60.17</v>
      </c>
      <c r="DK260" s="8">
        <v>62.83</v>
      </c>
      <c r="DL260" s="8">
        <v>72.61</v>
      </c>
      <c r="DM260" s="8">
        <v>89.17</v>
      </c>
      <c r="DN260" s="8">
        <v>122.72</v>
      </c>
      <c r="DO260" s="8">
        <v>68.73</v>
      </c>
      <c r="DP260" s="8">
        <v>53.38</v>
      </c>
      <c r="DQ260" s="8">
        <v>64.39</v>
      </c>
      <c r="DR260" s="8">
        <v>63.39</v>
      </c>
      <c r="DS260" s="8">
        <v>53.51</v>
      </c>
      <c r="DT260" s="8">
        <v>53.51</v>
      </c>
      <c r="DU260" s="8">
        <v>58.2</v>
      </c>
      <c r="DV260" s="8">
        <v>49.42</v>
      </c>
      <c r="DW260" s="8">
        <v>55.3</v>
      </c>
      <c r="DX260" s="8">
        <v>64.81</v>
      </c>
      <c r="DY260" s="8">
        <v>47.59</v>
      </c>
      <c r="DZ260" s="8">
        <v>47.59</v>
      </c>
      <c r="EC260" s="8">
        <v>71.540000000000006</v>
      </c>
      <c r="ED260" s="9">
        <v>0.4</v>
      </c>
      <c r="EE260" s="9">
        <v>2.2000000000000002</v>
      </c>
      <c r="EF260" s="9">
        <v>0.2</v>
      </c>
      <c r="EG260" s="9">
        <v>0.6</v>
      </c>
      <c r="EH260" s="9">
        <v>0.4</v>
      </c>
      <c r="EI260" s="9">
        <v>0.1</v>
      </c>
      <c r="EJ260" s="9">
        <v>-2.1</v>
      </c>
      <c r="EK260" s="9">
        <v>0.2</v>
      </c>
      <c r="EL260" s="9">
        <v>-3.6</v>
      </c>
      <c r="EM260" s="9">
        <v>2.8</v>
      </c>
      <c r="EN260" s="9">
        <v>0.9</v>
      </c>
      <c r="EO260" s="9">
        <v>1.6</v>
      </c>
      <c r="EP260" s="9">
        <v>0.1</v>
      </c>
      <c r="EQ260" s="9">
        <v>0.1</v>
      </c>
      <c r="ER260" s="9">
        <v>0.7</v>
      </c>
      <c r="ES260" s="9">
        <v>-0.4</v>
      </c>
      <c r="ET260" s="9">
        <v>2.8</v>
      </c>
      <c r="EU260" s="9">
        <v>0.3</v>
      </c>
      <c r="EV260" s="9">
        <v>13.3</v>
      </c>
      <c r="EW260" s="9">
        <v>15.5</v>
      </c>
      <c r="EX260" s="9">
        <v>11.4</v>
      </c>
      <c r="EY260" s="9">
        <v>0.1</v>
      </c>
      <c r="EZ260" s="9">
        <v>-0.4</v>
      </c>
      <c r="FA260" s="9">
        <v>0.6</v>
      </c>
      <c r="FB260" s="9">
        <v>-1</v>
      </c>
      <c r="FC260" s="9">
        <v>0.4</v>
      </c>
      <c r="FD260" s="9">
        <v>0.3</v>
      </c>
      <c r="FE260" s="9">
        <v>-0.1</v>
      </c>
      <c r="FF260" s="9">
        <v>0.5</v>
      </c>
      <c r="FG260" s="9">
        <v>0</v>
      </c>
      <c r="FH260" s="9">
        <v>0.5</v>
      </c>
      <c r="FI260" s="9">
        <v>0.8</v>
      </c>
      <c r="FJ260" s="9">
        <v>0.5</v>
      </c>
      <c r="FK260" s="9">
        <v>1.1000000000000001</v>
      </c>
      <c r="FL260" s="9">
        <v>0.8</v>
      </c>
      <c r="FM260" s="9">
        <v>0.5</v>
      </c>
      <c r="FN260" s="9">
        <v>1</v>
      </c>
      <c r="FO260" s="9">
        <v>0</v>
      </c>
      <c r="FP260" s="9">
        <v>0.6</v>
      </c>
      <c r="FQ260" s="9">
        <v>1.2</v>
      </c>
      <c r="FR260" s="9">
        <v>1.2</v>
      </c>
      <c r="FS260" s="9">
        <v>-1.9</v>
      </c>
      <c r="FT260" s="9">
        <v>-2.1</v>
      </c>
      <c r="FU260" s="9">
        <v>-2</v>
      </c>
      <c r="FV260" s="9">
        <v>-2.2999999999999998</v>
      </c>
      <c r="FW260" s="9">
        <v>-1</v>
      </c>
      <c r="FX260" s="9">
        <v>-0.3</v>
      </c>
      <c r="FY260" s="9">
        <v>-1.5</v>
      </c>
      <c r="FZ260" s="9">
        <v>0.6</v>
      </c>
      <c r="GA260" s="9">
        <v>-1</v>
      </c>
      <c r="GB260" s="9">
        <v>-2.5</v>
      </c>
      <c r="GC260" s="9">
        <v>-3.5</v>
      </c>
      <c r="GD260" s="9">
        <v>0.9</v>
      </c>
      <c r="GE260" s="9">
        <v>0.6</v>
      </c>
      <c r="GF260" s="9">
        <v>0.9</v>
      </c>
      <c r="GG260" s="9">
        <v>0.9</v>
      </c>
      <c r="GH260" s="9">
        <v>0.7</v>
      </c>
      <c r="GI260" s="9">
        <v>0.7</v>
      </c>
      <c r="GJ260" s="9">
        <v>0.5</v>
      </c>
      <c r="GK260" s="9">
        <v>0.8</v>
      </c>
      <c r="GL260" s="9">
        <v>0</v>
      </c>
      <c r="GM260" s="9">
        <v>0.4</v>
      </c>
      <c r="GN260" s="9">
        <v>0</v>
      </c>
      <c r="GO260" s="9">
        <v>0.9</v>
      </c>
      <c r="GP260" s="9">
        <v>-0.5</v>
      </c>
      <c r="GQ260" s="9">
        <v>-0.6</v>
      </c>
      <c r="GR260" s="9">
        <v>0</v>
      </c>
      <c r="GS260" s="9">
        <v>0.2</v>
      </c>
      <c r="GT260" s="9">
        <v>-0.7</v>
      </c>
      <c r="GU260" s="9">
        <v>-0.9</v>
      </c>
      <c r="GV260" s="9">
        <v>-0.9</v>
      </c>
      <c r="GW260" s="9">
        <v>-1.8</v>
      </c>
      <c r="GX260" s="9">
        <v>-2.2000000000000002</v>
      </c>
      <c r="GY260" s="9">
        <v>-0.7</v>
      </c>
      <c r="GZ260" s="9">
        <v>-3</v>
      </c>
      <c r="HA260" s="9">
        <v>-0.4</v>
      </c>
      <c r="HB260" s="9">
        <v>-1.3</v>
      </c>
      <c r="HC260" s="9">
        <v>-2.5</v>
      </c>
      <c r="HD260" s="9">
        <v>-1</v>
      </c>
      <c r="HE260" s="9">
        <v>-1.2</v>
      </c>
      <c r="HF260" s="9">
        <v>0.7</v>
      </c>
      <c r="HG260" s="9">
        <v>1.2</v>
      </c>
      <c r="HH260" s="9">
        <v>0.5</v>
      </c>
      <c r="HI260" s="9">
        <v>0.8</v>
      </c>
      <c r="HJ260" s="9">
        <v>-1.2</v>
      </c>
      <c r="HK260" s="9">
        <v>-5.7</v>
      </c>
      <c r="HL260" s="9">
        <v>-6.2</v>
      </c>
      <c r="HM260" s="9">
        <v>-0.3</v>
      </c>
      <c r="HN260" s="9">
        <v>0.1</v>
      </c>
      <c r="HO260" s="9">
        <v>0</v>
      </c>
      <c r="HP260" s="9">
        <v>0.6</v>
      </c>
      <c r="HQ260" s="9">
        <v>0.3</v>
      </c>
      <c r="HR260" s="9">
        <v>0.3</v>
      </c>
      <c r="HS260" s="9">
        <v>-1</v>
      </c>
      <c r="HT260" s="9">
        <v>0.5</v>
      </c>
      <c r="HU260" s="9">
        <v>2.1</v>
      </c>
      <c r="HV260" s="9">
        <v>-2</v>
      </c>
      <c r="HW260" s="9">
        <v>2.8</v>
      </c>
      <c r="HX260" s="9">
        <v>0</v>
      </c>
      <c r="HY260" s="9">
        <v>0</v>
      </c>
      <c r="HZ260" s="9">
        <v>0</v>
      </c>
      <c r="IA260" s="9">
        <v>0</v>
      </c>
      <c r="IB260" s="9">
        <v>0</v>
      </c>
      <c r="IC260" s="9">
        <v>0</v>
      </c>
      <c r="ID260" s="9">
        <v>0.2</v>
      </c>
      <c r="IE260" s="9">
        <v>-2.2000000000000002</v>
      </c>
      <c r="IF260" s="9">
        <v>-5.2</v>
      </c>
      <c r="IG260" s="9">
        <v>-0.1</v>
      </c>
      <c r="IH260" s="9">
        <v>0</v>
      </c>
      <c r="II260" s="9">
        <v>0</v>
      </c>
      <c r="IJ260" s="9">
        <v>0.1</v>
      </c>
      <c r="IK260" s="9">
        <v>1.8</v>
      </c>
      <c r="IL260" s="9">
        <v>3.8</v>
      </c>
      <c r="IM260" s="9">
        <v>-0.6</v>
      </c>
      <c r="IN260" s="9">
        <v>-0.4</v>
      </c>
      <c r="IO260" s="9">
        <v>-3</v>
      </c>
      <c r="IP260" s="9">
        <v>-0.2</v>
      </c>
      <c r="IQ260" s="9">
        <v>-2.6</v>
      </c>
    </row>
    <row r="261" spans="1:251" x14ac:dyDescent="0.2">
      <c r="A261" s="10">
        <v>40603</v>
      </c>
      <c r="B261" s="8">
        <v>68.3</v>
      </c>
      <c r="C261" s="8">
        <v>72.67</v>
      </c>
      <c r="D261" s="8">
        <v>77.33</v>
      </c>
      <c r="E261" s="8">
        <v>77.61</v>
      </c>
      <c r="F261" s="8">
        <v>74.900000000000006</v>
      </c>
      <c r="G261" s="8">
        <v>80.75</v>
      </c>
      <c r="H261" s="8">
        <v>84.01</v>
      </c>
      <c r="I261" s="8">
        <v>69.75</v>
      </c>
      <c r="J261" s="8">
        <v>55.98</v>
      </c>
      <c r="K261" s="8">
        <v>73.400000000000006</v>
      </c>
      <c r="L261" s="8">
        <v>68.36</v>
      </c>
      <c r="M261" s="8">
        <v>84.67</v>
      </c>
      <c r="N261" s="8">
        <v>65.16</v>
      </c>
      <c r="O261" s="8">
        <v>73.47</v>
      </c>
      <c r="P261" s="8">
        <v>77.22</v>
      </c>
      <c r="Q261" s="8">
        <v>76.84</v>
      </c>
      <c r="R261" s="8">
        <v>73.209999999999994</v>
      </c>
      <c r="S261" s="8">
        <v>81.069999999999993</v>
      </c>
      <c r="T261" s="8">
        <v>83.05</v>
      </c>
      <c r="U261" s="8">
        <v>84.04</v>
      </c>
      <c r="V261" s="8">
        <v>82.24</v>
      </c>
      <c r="W261" s="8">
        <v>74.69</v>
      </c>
      <c r="X261" s="8">
        <v>61.29</v>
      </c>
      <c r="Y261" s="8">
        <v>78.8</v>
      </c>
      <c r="Z261" s="8">
        <v>81.56</v>
      </c>
      <c r="AA261" s="8">
        <v>59.12</v>
      </c>
      <c r="AB261" s="8">
        <v>73.510000000000005</v>
      </c>
      <c r="AC261" s="8">
        <v>83.6</v>
      </c>
      <c r="AD261" s="8">
        <v>72.8</v>
      </c>
      <c r="AE261" s="8">
        <v>74.17</v>
      </c>
      <c r="AF261" s="8">
        <v>72.55</v>
      </c>
      <c r="AG261" s="8">
        <v>66.87</v>
      </c>
      <c r="AH261" s="8">
        <v>68.62</v>
      </c>
      <c r="AI261" s="8">
        <v>64.66</v>
      </c>
      <c r="AJ261" s="8">
        <v>44.75</v>
      </c>
      <c r="AK261" s="8">
        <v>72.58</v>
      </c>
      <c r="AL261" s="8">
        <v>67.02</v>
      </c>
      <c r="AM261" s="8">
        <v>90.94</v>
      </c>
      <c r="AN261" s="8">
        <v>63.1</v>
      </c>
      <c r="AO261" s="8">
        <v>20.64</v>
      </c>
      <c r="AP261" s="8">
        <v>20.64</v>
      </c>
      <c r="AQ261" s="8">
        <v>95.66</v>
      </c>
      <c r="AR261" s="8">
        <v>108.25</v>
      </c>
      <c r="AS261" s="8">
        <v>103.04</v>
      </c>
      <c r="AT261" s="8">
        <v>115.8</v>
      </c>
      <c r="AU261" s="8">
        <v>92.75</v>
      </c>
      <c r="AV261" s="8">
        <v>100.32</v>
      </c>
      <c r="AW261" s="8">
        <v>99.76</v>
      </c>
      <c r="AX261" s="8">
        <v>103.79</v>
      </c>
      <c r="AY261" s="8">
        <v>92.16</v>
      </c>
      <c r="AZ261" s="8">
        <v>67.400000000000006</v>
      </c>
      <c r="BA261" s="8">
        <v>67.680000000000007</v>
      </c>
      <c r="BB261" s="8">
        <v>62.18</v>
      </c>
      <c r="BC261" s="8">
        <v>61.52</v>
      </c>
      <c r="BD261" s="8">
        <v>70.39</v>
      </c>
      <c r="BE261" s="8">
        <v>70.39</v>
      </c>
      <c r="BF261" s="8">
        <v>57.97</v>
      </c>
      <c r="BG261" s="8">
        <v>57.98</v>
      </c>
      <c r="BH261" s="8">
        <v>59.46</v>
      </c>
      <c r="BI261" s="8">
        <v>66.290000000000006</v>
      </c>
      <c r="BJ261" s="8">
        <v>50.94</v>
      </c>
      <c r="BK261" s="8">
        <v>57.78</v>
      </c>
      <c r="BL261" s="8">
        <v>68.19</v>
      </c>
      <c r="BM261" s="8">
        <v>60.78</v>
      </c>
      <c r="BN261" s="8">
        <v>43.74</v>
      </c>
      <c r="BO261" s="8">
        <v>78.930000000000007</v>
      </c>
      <c r="BP261" s="8">
        <v>78.91</v>
      </c>
      <c r="BQ261" s="8">
        <v>80.11</v>
      </c>
      <c r="BR261" s="8">
        <v>71.02</v>
      </c>
      <c r="BS261" s="8">
        <v>106.35</v>
      </c>
      <c r="BT261" s="8">
        <v>106.35</v>
      </c>
      <c r="BU261" s="8">
        <v>97.89</v>
      </c>
      <c r="BV261" s="8">
        <v>97.6</v>
      </c>
      <c r="BW261" s="8">
        <v>106.01</v>
      </c>
      <c r="BX261" s="8">
        <v>107.35</v>
      </c>
      <c r="BY261" s="8">
        <v>81.61</v>
      </c>
      <c r="BZ261" s="8">
        <v>89.41</v>
      </c>
      <c r="CA261" s="8">
        <v>85.54</v>
      </c>
      <c r="CB261" s="8">
        <v>103.85</v>
      </c>
      <c r="CC261" s="8">
        <v>80.95</v>
      </c>
      <c r="CD261" s="8">
        <v>59.07</v>
      </c>
      <c r="CE261" s="8">
        <v>54.23</v>
      </c>
      <c r="CF261" s="8">
        <v>63.95</v>
      </c>
      <c r="CG261" s="8">
        <v>59.48</v>
      </c>
      <c r="CH261" s="8">
        <v>56.22</v>
      </c>
      <c r="CI261" s="8">
        <v>91.4</v>
      </c>
      <c r="CJ261" s="8">
        <v>91.34</v>
      </c>
      <c r="CK261" s="8">
        <v>91.64</v>
      </c>
      <c r="CL261" s="8">
        <v>49.48</v>
      </c>
      <c r="CM261" s="8">
        <v>46.97</v>
      </c>
      <c r="CN261" s="8">
        <v>70.930000000000007</v>
      </c>
      <c r="CO261" s="8">
        <v>74.900000000000006</v>
      </c>
      <c r="CP261" s="8">
        <v>74.92</v>
      </c>
      <c r="CQ261" s="8">
        <v>92.12</v>
      </c>
      <c r="CR261" s="8">
        <v>70.16</v>
      </c>
      <c r="CS261" s="8">
        <v>73.599999999999994</v>
      </c>
      <c r="CT261" s="8">
        <v>66.77</v>
      </c>
      <c r="CU261" s="8">
        <v>62.68</v>
      </c>
      <c r="CV261" s="8">
        <v>78.31</v>
      </c>
      <c r="CW261" s="8">
        <v>78.31</v>
      </c>
      <c r="CX261" s="8">
        <v>123.37</v>
      </c>
      <c r="CY261" s="8">
        <v>123.37</v>
      </c>
      <c r="CZ261" s="8">
        <v>55.57</v>
      </c>
      <c r="DA261" s="8">
        <v>127.93</v>
      </c>
      <c r="DB261" s="8">
        <v>78.819999999999993</v>
      </c>
      <c r="DC261" s="8">
        <v>142.87</v>
      </c>
      <c r="DD261" s="8">
        <v>239.88</v>
      </c>
      <c r="DE261" s="8">
        <v>74.73</v>
      </c>
      <c r="DF261" s="8">
        <v>74.150000000000006</v>
      </c>
      <c r="DG261" s="8">
        <v>102.04</v>
      </c>
      <c r="DH261" s="8">
        <v>63.98</v>
      </c>
      <c r="DI261" s="8">
        <v>64.62</v>
      </c>
      <c r="DJ261" s="8">
        <v>59.75</v>
      </c>
      <c r="DK261" s="8">
        <v>61.81</v>
      </c>
      <c r="DL261" s="8">
        <v>73.22</v>
      </c>
      <c r="DM261" s="8">
        <v>87.74</v>
      </c>
      <c r="DN261" s="8">
        <v>122.37</v>
      </c>
      <c r="DO261" s="8">
        <v>68.69</v>
      </c>
      <c r="DP261" s="8">
        <v>53.82</v>
      </c>
      <c r="DQ261" s="8">
        <v>65.06</v>
      </c>
      <c r="DR261" s="8">
        <v>64.92</v>
      </c>
      <c r="DS261" s="8">
        <v>56.58</v>
      </c>
      <c r="DT261" s="8">
        <v>56.58</v>
      </c>
      <c r="DU261" s="8">
        <v>61.37</v>
      </c>
      <c r="DV261" s="8">
        <v>52.8</v>
      </c>
      <c r="DW261" s="8">
        <v>58.02</v>
      </c>
      <c r="DX261" s="8">
        <v>66.5</v>
      </c>
      <c r="DY261" s="8">
        <v>48.14</v>
      </c>
      <c r="DZ261" s="8">
        <v>48.14</v>
      </c>
      <c r="EC261" s="8">
        <v>72.2</v>
      </c>
      <c r="ED261" s="9">
        <v>1.5</v>
      </c>
      <c r="EE261" s="9">
        <v>2.9</v>
      </c>
      <c r="EF261" s="9">
        <v>0.4</v>
      </c>
      <c r="EG261" s="9">
        <v>-0.8</v>
      </c>
      <c r="EH261" s="9">
        <v>2.2999999999999998</v>
      </c>
      <c r="EI261" s="9">
        <v>-2.5</v>
      </c>
      <c r="EJ261" s="9">
        <v>0.5</v>
      </c>
      <c r="EK261" s="9">
        <v>1</v>
      </c>
      <c r="EL261" s="9">
        <v>-0.6</v>
      </c>
      <c r="EM261" s="9">
        <v>0.8</v>
      </c>
      <c r="EN261" s="9">
        <v>6.7</v>
      </c>
      <c r="EO261" s="9">
        <v>0.3</v>
      </c>
      <c r="EP261" s="9">
        <v>1.2</v>
      </c>
      <c r="EQ261" s="9">
        <v>-0.4</v>
      </c>
      <c r="ER261" s="9">
        <v>-2.7</v>
      </c>
      <c r="ES261" s="9">
        <v>-6.2</v>
      </c>
      <c r="ET261" s="9">
        <v>-0.5</v>
      </c>
      <c r="EU261" s="9">
        <v>0.7</v>
      </c>
      <c r="EV261" s="9">
        <v>15.3</v>
      </c>
      <c r="EW261" s="9">
        <v>14.4</v>
      </c>
      <c r="EX261" s="9">
        <v>16</v>
      </c>
      <c r="EY261" s="9">
        <v>1.1000000000000001</v>
      </c>
      <c r="EZ261" s="9">
        <v>0.1</v>
      </c>
      <c r="FA261" s="9">
        <v>0</v>
      </c>
      <c r="FB261" s="9">
        <v>1.7</v>
      </c>
      <c r="FC261" s="9">
        <v>0.3</v>
      </c>
      <c r="FD261" s="9">
        <v>1.1000000000000001</v>
      </c>
      <c r="FE261" s="9">
        <v>1.6</v>
      </c>
      <c r="FF261" s="9">
        <v>3.2</v>
      </c>
      <c r="FG261" s="9">
        <v>1.1000000000000001</v>
      </c>
      <c r="FH261" s="9">
        <v>3.7</v>
      </c>
      <c r="FI261" s="9">
        <v>0.7</v>
      </c>
      <c r="FJ261" s="9">
        <v>0.4</v>
      </c>
      <c r="FK261" s="9">
        <v>0.8</v>
      </c>
      <c r="FL261" s="9">
        <v>1.1000000000000001</v>
      </c>
      <c r="FM261" s="9">
        <v>0.4</v>
      </c>
      <c r="FN261" s="9">
        <v>1.1000000000000001</v>
      </c>
      <c r="FO261" s="9">
        <v>0.7</v>
      </c>
      <c r="FP261" s="9">
        <v>-0.2</v>
      </c>
      <c r="FQ261" s="9">
        <v>2.1</v>
      </c>
      <c r="FR261" s="9">
        <v>2.1</v>
      </c>
      <c r="FS261" s="9">
        <v>-0.7</v>
      </c>
      <c r="FT261" s="9">
        <v>-0.9</v>
      </c>
      <c r="FU261" s="9">
        <v>-1.5</v>
      </c>
      <c r="FV261" s="9">
        <v>0.4</v>
      </c>
      <c r="FW261" s="9">
        <v>-3.9</v>
      </c>
      <c r="FX261" s="9">
        <v>-4</v>
      </c>
      <c r="FY261" s="9">
        <v>-3.4</v>
      </c>
      <c r="FZ261" s="9">
        <v>-3</v>
      </c>
      <c r="GA261" s="9">
        <v>-7.3</v>
      </c>
      <c r="GB261" s="9">
        <v>2</v>
      </c>
      <c r="GC261" s="9">
        <v>2.5</v>
      </c>
      <c r="GD261" s="9">
        <v>0.4</v>
      </c>
      <c r="GE261" s="9">
        <v>1.3</v>
      </c>
      <c r="GF261" s="9">
        <v>1.3</v>
      </c>
      <c r="GG261" s="9">
        <v>1.3</v>
      </c>
      <c r="GH261" s="9">
        <v>0.8</v>
      </c>
      <c r="GI261" s="9">
        <v>0.8</v>
      </c>
      <c r="GJ261" s="9">
        <v>0.2</v>
      </c>
      <c r="GK261" s="9">
        <v>0.4</v>
      </c>
      <c r="GL261" s="9">
        <v>0</v>
      </c>
      <c r="GM261" s="9">
        <v>3</v>
      </c>
      <c r="GN261" s="9">
        <v>0</v>
      </c>
      <c r="GO261" s="9">
        <v>5.0999999999999996</v>
      </c>
      <c r="GP261" s="9">
        <v>1.6</v>
      </c>
      <c r="GQ261" s="9">
        <v>-1.5</v>
      </c>
      <c r="GR261" s="9">
        <v>-4.9000000000000004</v>
      </c>
      <c r="GS261" s="9">
        <v>-6.1</v>
      </c>
      <c r="GT261" s="9">
        <v>-0.9</v>
      </c>
      <c r="GU261" s="9">
        <v>-3.8</v>
      </c>
      <c r="GV261" s="9">
        <v>-3.8</v>
      </c>
      <c r="GW261" s="9">
        <v>-1.7</v>
      </c>
      <c r="GX261" s="9">
        <v>-1.7</v>
      </c>
      <c r="GY261" s="9">
        <v>-0.6</v>
      </c>
      <c r="GZ261" s="9">
        <v>-3</v>
      </c>
      <c r="HA261" s="9">
        <v>-1</v>
      </c>
      <c r="HB261" s="9">
        <v>0.1</v>
      </c>
      <c r="HC261" s="9">
        <v>0</v>
      </c>
      <c r="HD261" s="9">
        <v>0.4</v>
      </c>
      <c r="HE261" s="9">
        <v>-0.1</v>
      </c>
      <c r="HF261" s="9">
        <v>1.2</v>
      </c>
      <c r="HG261" s="9">
        <v>2.9</v>
      </c>
      <c r="HH261" s="9">
        <v>0.8</v>
      </c>
      <c r="HI261" s="9">
        <v>0.9</v>
      </c>
      <c r="HJ261" s="9">
        <v>3.9</v>
      </c>
      <c r="HK261" s="9">
        <v>11.3</v>
      </c>
      <c r="HL261" s="9">
        <v>12.5</v>
      </c>
      <c r="HM261" s="9">
        <v>0.6</v>
      </c>
      <c r="HN261" s="9">
        <v>1.9</v>
      </c>
      <c r="HO261" s="9">
        <v>2.1</v>
      </c>
      <c r="HP261" s="9">
        <v>0.9</v>
      </c>
      <c r="HQ261" s="9">
        <v>2.6</v>
      </c>
      <c r="HR261" s="9">
        <v>2.7</v>
      </c>
      <c r="HS261" s="9">
        <v>-0.6</v>
      </c>
      <c r="HT261" s="9">
        <v>-0.3</v>
      </c>
      <c r="HU261" s="9">
        <v>8.6999999999999993</v>
      </c>
      <c r="HV261" s="9">
        <v>0.4</v>
      </c>
      <c r="HW261" s="9">
        <v>0.3</v>
      </c>
      <c r="HX261" s="9">
        <v>1</v>
      </c>
      <c r="HY261" s="9">
        <v>1</v>
      </c>
      <c r="HZ261" s="9">
        <v>0.2</v>
      </c>
      <c r="IA261" s="9">
        <v>0.2</v>
      </c>
      <c r="IB261" s="9">
        <v>0</v>
      </c>
      <c r="IC261" s="9">
        <v>0.2</v>
      </c>
      <c r="ID261" s="9">
        <v>-0.6</v>
      </c>
      <c r="IE261" s="9">
        <v>-3.6</v>
      </c>
      <c r="IF261" s="9">
        <v>-7</v>
      </c>
      <c r="IG261" s="9">
        <v>-1.2</v>
      </c>
      <c r="IH261" s="9">
        <v>0.3</v>
      </c>
      <c r="II261" s="9">
        <v>0.4</v>
      </c>
      <c r="IJ261" s="9">
        <v>0.1</v>
      </c>
      <c r="IK261" s="9">
        <v>-1.1000000000000001</v>
      </c>
      <c r="IL261" s="9">
        <v>-0.7</v>
      </c>
      <c r="IM261" s="9">
        <v>-1.6</v>
      </c>
      <c r="IN261" s="9">
        <v>0.8</v>
      </c>
      <c r="IO261" s="9">
        <v>-1.6</v>
      </c>
      <c r="IP261" s="9">
        <v>-0.3</v>
      </c>
      <c r="IQ261" s="9">
        <v>-0.1</v>
      </c>
    </row>
    <row r="262" spans="1:251" x14ac:dyDescent="0.2">
      <c r="A262" s="10">
        <v>40695</v>
      </c>
      <c r="B262" s="8">
        <v>68.930000000000007</v>
      </c>
      <c r="C262" s="8">
        <v>73.7</v>
      </c>
      <c r="D262" s="8">
        <v>77.48</v>
      </c>
      <c r="E262" s="8">
        <v>77.14</v>
      </c>
      <c r="F262" s="8">
        <v>75.33</v>
      </c>
      <c r="G262" s="8">
        <v>81.680000000000007</v>
      </c>
      <c r="H262" s="8">
        <v>84.65</v>
      </c>
      <c r="I262" s="8">
        <v>70.23</v>
      </c>
      <c r="J262" s="8">
        <v>56.09</v>
      </c>
      <c r="K262" s="8">
        <v>73.02</v>
      </c>
      <c r="L262" s="8">
        <v>69.97</v>
      </c>
      <c r="M262" s="8">
        <v>85.26</v>
      </c>
      <c r="N262" s="8">
        <v>66.599999999999994</v>
      </c>
      <c r="O262" s="8">
        <v>73.27</v>
      </c>
      <c r="P262" s="8">
        <v>75.78</v>
      </c>
      <c r="Q262" s="8">
        <v>73.319999999999993</v>
      </c>
      <c r="R262" s="8">
        <v>74.25</v>
      </c>
      <c r="S262" s="8">
        <v>80.069999999999993</v>
      </c>
      <c r="T262" s="8">
        <v>88.9</v>
      </c>
      <c r="U262" s="8">
        <v>106.7</v>
      </c>
      <c r="V262" s="8">
        <v>73.77</v>
      </c>
      <c r="W262" s="8">
        <v>74.72</v>
      </c>
      <c r="X262" s="8">
        <v>61.16</v>
      </c>
      <c r="Y262" s="8">
        <v>80.239999999999995</v>
      </c>
      <c r="Z262" s="8">
        <v>82.4</v>
      </c>
      <c r="AA262" s="8">
        <v>57.32</v>
      </c>
      <c r="AB262" s="8">
        <v>74.510000000000005</v>
      </c>
      <c r="AC262" s="8">
        <v>81.66</v>
      </c>
      <c r="AD262" s="8">
        <v>72.16</v>
      </c>
      <c r="AE262" s="8">
        <v>70.510000000000005</v>
      </c>
      <c r="AF262" s="8">
        <v>72.63</v>
      </c>
      <c r="AG262" s="8">
        <v>67.540000000000006</v>
      </c>
      <c r="AH262" s="8">
        <v>69.53</v>
      </c>
      <c r="AI262" s="8">
        <v>65.16</v>
      </c>
      <c r="AJ262" s="8">
        <v>45.03</v>
      </c>
      <c r="AK262" s="8">
        <v>72.64</v>
      </c>
      <c r="AL262" s="8">
        <v>67.25</v>
      </c>
      <c r="AM262" s="8">
        <v>90.44</v>
      </c>
      <c r="AN262" s="8">
        <v>63.35</v>
      </c>
      <c r="AO262" s="8">
        <v>20.93</v>
      </c>
      <c r="AP262" s="8">
        <v>20.93</v>
      </c>
      <c r="AQ262" s="8">
        <v>97.97</v>
      </c>
      <c r="AR262" s="8">
        <v>109.51</v>
      </c>
      <c r="AS262" s="8">
        <v>104.33</v>
      </c>
      <c r="AT262" s="8">
        <v>116.76</v>
      </c>
      <c r="AU262" s="8">
        <v>94.54</v>
      </c>
      <c r="AV262" s="8">
        <v>101.64</v>
      </c>
      <c r="AW262" s="8">
        <v>103.03</v>
      </c>
      <c r="AX262" s="8">
        <v>101.38</v>
      </c>
      <c r="AY262" s="8">
        <v>100.07</v>
      </c>
      <c r="AZ262" s="8">
        <v>72.099999999999994</v>
      </c>
      <c r="BA262" s="8">
        <v>73.7</v>
      </c>
      <c r="BB262" s="8">
        <v>62.69</v>
      </c>
      <c r="BC262" s="8">
        <v>61.78</v>
      </c>
      <c r="BD262" s="8">
        <v>71.180000000000007</v>
      </c>
      <c r="BE262" s="8">
        <v>71.180000000000007</v>
      </c>
      <c r="BF262" s="8">
        <v>58.23</v>
      </c>
      <c r="BG262" s="8">
        <v>58.24</v>
      </c>
      <c r="BH262" s="8">
        <v>59.71</v>
      </c>
      <c r="BI262" s="8">
        <v>66.739999999999995</v>
      </c>
      <c r="BJ262" s="8">
        <v>50.94</v>
      </c>
      <c r="BK262" s="8">
        <v>57.42</v>
      </c>
      <c r="BL262" s="8">
        <v>68.19</v>
      </c>
      <c r="BM262" s="8">
        <v>59.86</v>
      </c>
      <c r="BN262" s="8">
        <v>44.17</v>
      </c>
      <c r="BO262" s="8">
        <v>80.069999999999993</v>
      </c>
      <c r="BP262" s="8">
        <v>82.55</v>
      </c>
      <c r="BQ262" s="8">
        <v>84.89</v>
      </c>
      <c r="BR262" s="8">
        <v>71.47</v>
      </c>
      <c r="BS262" s="8">
        <v>111.54</v>
      </c>
      <c r="BT262" s="8">
        <v>111.54</v>
      </c>
      <c r="BU262" s="8">
        <v>99.57</v>
      </c>
      <c r="BV262" s="8">
        <v>98.56</v>
      </c>
      <c r="BW262" s="8">
        <v>105.83</v>
      </c>
      <c r="BX262" s="8">
        <v>112.6</v>
      </c>
      <c r="BY262" s="8">
        <v>82.01</v>
      </c>
      <c r="BZ262" s="8">
        <v>87.93</v>
      </c>
      <c r="CA262" s="8">
        <v>86.24</v>
      </c>
      <c r="CB262" s="8">
        <v>101.36</v>
      </c>
      <c r="CC262" s="8">
        <v>79.63</v>
      </c>
      <c r="CD262" s="8">
        <v>59.7</v>
      </c>
      <c r="CE262" s="8">
        <v>54.71</v>
      </c>
      <c r="CF262" s="8">
        <v>64.599999999999994</v>
      </c>
      <c r="CG262" s="8">
        <v>60.19</v>
      </c>
      <c r="CH262" s="8">
        <v>57.38</v>
      </c>
      <c r="CI262" s="8">
        <v>90.82</v>
      </c>
      <c r="CJ262" s="8">
        <v>90.63</v>
      </c>
      <c r="CK262" s="8">
        <v>92.03</v>
      </c>
      <c r="CL262" s="8">
        <v>50.91</v>
      </c>
      <c r="CM262" s="8">
        <v>48.56</v>
      </c>
      <c r="CN262" s="8">
        <v>71.38</v>
      </c>
      <c r="CO262" s="8">
        <v>75.8</v>
      </c>
      <c r="CP262" s="8">
        <v>75.83</v>
      </c>
      <c r="CQ262" s="8">
        <v>91.98</v>
      </c>
      <c r="CR262" s="8">
        <v>70.040000000000006</v>
      </c>
      <c r="CS262" s="8">
        <v>76.56</v>
      </c>
      <c r="CT262" s="8">
        <v>66.19</v>
      </c>
      <c r="CU262" s="8">
        <v>62.78</v>
      </c>
      <c r="CV262" s="8">
        <v>79.12</v>
      </c>
      <c r="CW262" s="8">
        <v>79.12</v>
      </c>
      <c r="CX262" s="8">
        <v>123.9</v>
      </c>
      <c r="CY262" s="8">
        <v>123.9</v>
      </c>
      <c r="CZ262" s="8">
        <v>56.74</v>
      </c>
      <c r="DA262" s="8">
        <v>128.38999999999999</v>
      </c>
      <c r="DB262" s="8">
        <v>78.38</v>
      </c>
      <c r="DC262" s="8">
        <v>139.47</v>
      </c>
      <c r="DD262" s="8">
        <v>224.32</v>
      </c>
      <c r="DE262" s="8">
        <v>75.05</v>
      </c>
      <c r="DF262" s="8">
        <v>73.959999999999994</v>
      </c>
      <c r="DG262" s="8">
        <v>101.69</v>
      </c>
      <c r="DH262" s="8">
        <v>63.84</v>
      </c>
      <c r="DI262" s="8">
        <v>63.73</v>
      </c>
      <c r="DJ262" s="8">
        <v>58.87</v>
      </c>
      <c r="DK262" s="8">
        <v>61.05</v>
      </c>
      <c r="DL262" s="8">
        <v>73.88</v>
      </c>
      <c r="DM262" s="8">
        <v>86.22</v>
      </c>
      <c r="DN262" s="8">
        <v>121.63</v>
      </c>
      <c r="DO262" s="8">
        <v>71.47</v>
      </c>
      <c r="DP262" s="8">
        <v>54.62</v>
      </c>
      <c r="DQ262" s="8">
        <v>65.19</v>
      </c>
      <c r="DR262" s="8">
        <v>65.819999999999993</v>
      </c>
      <c r="DS262" s="8">
        <v>56.59</v>
      </c>
      <c r="DT262" s="8">
        <v>56.59</v>
      </c>
      <c r="DU262" s="8">
        <v>61.42</v>
      </c>
      <c r="DV262" s="8">
        <v>52.8</v>
      </c>
      <c r="DW262" s="8">
        <v>58.02</v>
      </c>
      <c r="DX262" s="8">
        <v>67.540000000000006</v>
      </c>
      <c r="DY262" s="8">
        <v>48.93</v>
      </c>
      <c r="DZ262" s="8">
        <v>48.93</v>
      </c>
      <c r="EA262" s="8">
        <v>75.42</v>
      </c>
      <c r="EB262" s="8">
        <v>93.93</v>
      </c>
      <c r="EC262" s="8">
        <v>72.86</v>
      </c>
      <c r="ED262" s="9">
        <v>0.9</v>
      </c>
      <c r="EE262" s="9">
        <v>1.4</v>
      </c>
      <c r="EF262" s="9">
        <v>0.2</v>
      </c>
      <c r="EG262" s="9">
        <v>-0.6</v>
      </c>
      <c r="EH262" s="9">
        <v>0.6</v>
      </c>
      <c r="EI262" s="9">
        <v>1.2</v>
      </c>
      <c r="EJ262" s="9">
        <v>0.8</v>
      </c>
      <c r="EK262" s="9">
        <v>0.7</v>
      </c>
      <c r="EL262" s="9">
        <v>0.2</v>
      </c>
      <c r="EM262" s="9">
        <v>-0.5</v>
      </c>
      <c r="EN262" s="9">
        <v>2.4</v>
      </c>
      <c r="EO262" s="9">
        <v>0.7</v>
      </c>
      <c r="EP262" s="9">
        <v>2.2000000000000002</v>
      </c>
      <c r="EQ262" s="9">
        <v>-0.3</v>
      </c>
      <c r="ER262" s="9">
        <v>-1.9</v>
      </c>
      <c r="ES262" s="9">
        <v>-4.5999999999999996</v>
      </c>
      <c r="ET262" s="9">
        <v>1.4</v>
      </c>
      <c r="EU262" s="9">
        <v>-1.2</v>
      </c>
      <c r="EV262" s="9">
        <v>7</v>
      </c>
      <c r="EW262" s="9">
        <v>27</v>
      </c>
      <c r="EX262" s="9">
        <v>-10.3</v>
      </c>
      <c r="EY262" s="9">
        <v>0</v>
      </c>
      <c r="EZ262" s="9">
        <v>-0.2</v>
      </c>
      <c r="FA262" s="9">
        <v>1.8</v>
      </c>
      <c r="FB262" s="9">
        <v>1</v>
      </c>
      <c r="FC262" s="9">
        <v>-3</v>
      </c>
      <c r="FD262" s="9">
        <v>1.4</v>
      </c>
      <c r="FE262" s="9">
        <v>-2.2999999999999998</v>
      </c>
      <c r="FF262" s="9">
        <v>-0.9</v>
      </c>
      <c r="FG262" s="9">
        <v>-4.9000000000000004</v>
      </c>
      <c r="FH262" s="9">
        <v>0.1</v>
      </c>
      <c r="FI262" s="9">
        <v>1</v>
      </c>
      <c r="FJ262" s="9">
        <v>1.3</v>
      </c>
      <c r="FK262" s="9">
        <v>0.8</v>
      </c>
      <c r="FL262" s="9">
        <v>0.6</v>
      </c>
      <c r="FM262" s="9">
        <v>0.1</v>
      </c>
      <c r="FN262" s="9">
        <v>0.3</v>
      </c>
      <c r="FO262" s="9">
        <v>-0.5</v>
      </c>
      <c r="FP262" s="9">
        <v>0.4</v>
      </c>
      <c r="FQ262" s="9">
        <v>1.4</v>
      </c>
      <c r="FR262" s="9">
        <v>1.4</v>
      </c>
      <c r="FS262" s="9">
        <v>2.4</v>
      </c>
      <c r="FT262" s="9">
        <v>1.2</v>
      </c>
      <c r="FU262" s="9">
        <v>1.3</v>
      </c>
      <c r="FV262" s="9">
        <v>0.8</v>
      </c>
      <c r="FW262" s="9">
        <v>1.9</v>
      </c>
      <c r="FX262" s="9">
        <v>1.3</v>
      </c>
      <c r="FY262" s="9">
        <v>3.3</v>
      </c>
      <c r="FZ262" s="9">
        <v>-2.2999999999999998</v>
      </c>
      <c r="GA262" s="9">
        <v>8.6</v>
      </c>
      <c r="GB262" s="9">
        <v>7</v>
      </c>
      <c r="GC262" s="9">
        <v>8.9</v>
      </c>
      <c r="GD262" s="9">
        <v>0.8</v>
      </c>
      <c r="GE262" s="9">
        <v>0.4</v>
      </c>
      <c r="GF262" s="9">
        <v>1.1000000000000001</v>
      </c>
      <c r="GG262" s="9">
        <v>1.1000000000000001</v>
      </c>
      <c r="GH262" s="9">
        <v>0.4</v>
      </c>
      <c r="GI262" s="9">
        <v>0.4</v>
      </c>
      <c r="GJ262" s="9">
        <v>0.4</v>
      </c>
      <c r="GK262" s="9">
        <v>0.7</v>
      </c>
      <c r="GL262" s="9">
        <v>0</v>
      </c>
      <c r="GM262" s="9">
        <v>-0.6</v>
      </c>
      <c r="GN262" s="9">
        <v>0</v>
      </c>
      <c r="GO262" s="9">
        <v>-1.5</v>
      </c>
      <c r="GP262" s="9">
        <v>1</v>
      </c>
      <c r="GQ262" s="9">
        <v>1.4</v>
      </c>
      <c r="GR262" s="9">
        <v>4.5999999999999996</v>
      </c>
      <c r="GS262" s="9">
        <v>6</v>
      </c>
      <c r="GT262" s="9">
        <v>0.6</v>
      </c>
      <c r="GU262" s="9">
        <v>4.9000000000000004</v>
      </c>
      <c r="GV262" s="9">
        <v>4.9000000000000004</v>
      </c>
      <c r="GW262" s="9">
        <v>1.7</v>
      </c>
      <c r="GX262" s="9">
        <v>1</v>
      </c>
      <c r="GY262" s="9">
        <v>-0.2</v>
      </c>
      <c r="GZ262" s="9">
        <v>4.9000000000000004</v>
      </c>
      <c r="HA262" s="9">
        <v>0.5</v>
      </c>
      <c r="HB262" s="9">
        <v>-1.7</v>
      </c>
      <c r="HC262" s="9">
        <v>0.8</v>
      </c>
      <c r="HD262" s="9">
        <v>-2.4</v>
      </c>
      <c r="HE262" s="9">
        <v>-1.6</v>
      </c>
      <c r="HF262" s="9">
        <v>1.1000000000000001</v>
      </c>
      <c r="HG262" s="9">
        <v>0.9</v>
      </c>
      <c r="HH262" s="9">
        <v>1</v>
      </c>
      <c r="HI262" s="9">
        <v>1.2</v>
      </c>
      <c r="HJ262" s="9">
        <v>2.1</v>
      </c>
      <c r="HK262" s="9">
        <v>-0.6</v>
      </c>
      <c r="HL262" s="9">
        <v>-0.8</v>
      </c>
      <c r="HM262" s="9">
        <v>0.4</v>
      </c>
      <c r="HN262" s="9">
        <v>2.9</v>
      </c>
      <c r="HO262" s="9">
        <v>3.4</v>
      </c>
      <c r="HP262" s="9">
        <v>0.6</v>
      </c>
      <c r="HQ262" s="9">
        <v>1.2</v>
      </c>
      <c r="HR262" s="9">
        <v>1.2</v>
      </c>
      <c r="HS262" s="9">
        <v>-0.2</v>
      </c>
      <c r="HT262" s="9">
        <v>-0.2</v>
      </c>
      <c r="HU262" s="9">
        <v>4</v>
      </c>
      <c r="HV262" s="9">
        <v>-0.9</v>
      </c>
      <c r="HW262" s="9">
        <v>0.2</v>
      </c>
      <c r="HX262" s="9">
        <v>1</v>
      </c>
      <c r="HY262" s="9">
        <v>1</v>
      </c>
      <c r="HZ262" s="9">
        <v>0.4</v>
      </c>
      <c r="IA262" s="9">
        <v>0.4</v>
      </c>
      <c r="IB262" s="9">
        <v>2.1</v>
      </c>
      <c r="IC262" s="9">
        <v>0.4</v>
      </c>
      <c r="ID262" s="9">
        <v>-0.6</v>
      </c>
      <c r="IE262" s="9">
        <v>-2.4</v>
      </c>
      <c r="IF262" s="9">
        <v>-6.5</v>
      </c>
      <c r="IG262" s="9">
        <v>0.4</v>
      </c>
      <c r="IH262" s="9">
        <v>-0.3</v>
      </c>
      <c r="II262" s="9">
        <v>-0.3</v>
      </c>
      <c r="IJ262" s="9">
        <v>-0.2</v>
      </c>
      <c r="IK262" s="9">
        <v>-1.4</v>
      </c>
      <c r="IL262" s="9">
        <v>-1.5</v>
      </c>
      <c r="IM262" s="9">
        <v>-1.2</v>
      </c>
      <c r="IN262" s="9">
        <v>0.9</v>
      </c>
      <c r="IO262" s="9">
        <v>-1.7</v>
      </c>
      <c r="IP262" s="9">
        <v>-0.6</v>
      </c>
      <c r="IQ262" s="9">
        <v>4</v>
      </c>
    </row>
    <row r="263" spans="1:251" x14ac:dyDescent="0.2">
      <c r="A263" s="10">
        <v>40787</v>
      </c>
      <c r="B263" s="8">
        <v>69.34</v>
      </c>
      <c r="C263" s="8">
        <v>73.510000000000005</v>
      </c>
      <c r="D263" s="8">
        <v>77.17</v>
      </c>
      <c r="E263" s="8">
        <v>76.180000000000007</v>
      </c>
      <c r="F263" s="8">
        <v>74.62</v>
      </c>
      <c r="G263" s="8">
        <v>84.59</v>
      </c>
      <c r="H263" s="8">
        <v>85.02</v>
      </c>
      <c r="I263" s="8">
        <v>69.61</v>
      </c>
      <c r="J263" s="8">
        <v>55.44</v>
      </c>
      <c r="K263" s="8">
        <v>72.64</v>
      </c>
      <c r="L263" s="8">
        <v>68.010000000000005</v>
      </c>
      <c r="M263" s="8">
        <v>84.02</v>
      </c>
      <c r="N263" s="8">
        <v>66.81</v>
      </c>
      <c r="O263" s="8">
        <v>73.12</v>
      </c>
      <c r="P263" s="8">
        <v>75.8</v>
      </c>
      <c r="Q263" s="8">
        <v>73.540000000000006</v>
      </c>
      <c r="R263" s="8">
        <v>74.87</v>
      </c>
      <c r="S263" s="8">
        <v>79.260000000000005</v>
      </c>
      <c r="T263" s="8">
        <v>87.3</v>
      </c>
      <c r="U263" s="8">
        <v>105.42</v>
      </c>
      <c r="V263" s="8">
        <v>71.91</v>
      </c>
      <c r="W263" s="8">
        <v>74.77</v>
      </c>
      <c r="X263" s="8">
        <v>60.85</v>
      </c>
      <c r="Y263" s="8">
        <v>80.13</v>
      </c>
      <c r="Z263" s="8">
        <v>83.09</v>
      </c>
      <c r="AA263" s="8">
        <v>57.49</v>
      </c>
      <c r="AB263" s="8">
        <v>74.3</v>
      </c>
      <c r="AC263" s="8">
        <v>81.96</v>
      </c>
      <c r="AD263" s="8">
        <v>72.099999999999994</v>
      </c>
      <c r="AE263" s="8">
        <v>70.55</v>
      </c>
      <c r="AF263" s="8">
        <v>72.55</v>
      </c>
      <c r="AG263" s="8">
        <v>68</v>
      </c>
      <c r="AH263" s="8">
        <v>69.81</v>
      </c>
      <c r="AI263" s="8">
        <v>65.790000000000006</v>
      </c>
      <c r="AJ263" s="8">
        <v>45.28</v>
      </c>
      <c r="AK263" s="8">
        <v>72.59</v>
      </c>
      <c r="AL263" s="8">
        <v>67.02</v>
      </c>
      <c r="AM263" s="8">
        <v>90.31</v>
      </c>
      <c r="AN263" s="8">
        <v>63.4</v>
      </c>
      <c r="AO263" s="8">
        <v>21.31</v>
      </c>
      <c r="AP263" s="8">
        <v>21.31</v>
      </c>
      <c r="AQ263" s="8">
        <v>99.43</v>
      </c>
      <c r="AR263" s="8">
        <v>110.21</v>
      </c>
      <c r="AS263" s="8">
        <v>105.83</v>
      </c>
      <c r="AT263" s="8">
        <v>117.06</v>
      </c>
      <c r="AU263" s="8">
        <v>95.19</v>
      </c>
      <c r="AV263" s="8">
        <v>104.56</v>
      </c>
      <c r="AW263" s="8">
        <v>101.81</v>
      </c>
      <c r="AX263" s="8">
        <v>106.63</v>
      </c>
      <c r="AY263" s="8">
        <v>101.22</v>
      </c>
      <c r="AZ263" s="8">
        <v>74.25</v>
      </c>
      <c r="BA263" s="8">
        <v>76.17</v>
      </c>
      <c r="BB263" s="8">
        <v>63.07</v>
      </c>
      <c r="BC263" s="8">
        <v>62.9</v>
      </c>
      <c r="BD263" s="8">
        <v>72.05</v>
      </c>
      <c r="BE263" s="8">
        <v>72.05</v>
      </c>
      <c r="BF263" s="8">
        <v>58.18</v>
      </c>
      <c r="BG263" s="8">
        <v>58.18</v>
      </c>
      <c r="BH263" s="8">
        <v>61.05</v>
      </c>
      <c r="BI263" s="8">
        <v>67.010000000000005</v>
      </c>
      <c r="BJ263" s="8">
        <v>53.62</v>
      </c>
      <c r="BK263" s="8">
        <v>61.54</v>
      </c>
      <c r="BL263" s="8">
        <v>74.03</v>
      </c>
      <c r="BM263" s="8">
        <v>64.510000000000005</v>
      </c>
      <c r="BN263" s="8">
        <v>45.88</v>
      </c>
      <c r="BO263" s="8">
        <v>80.3</v>
      </c>
      <c r="BP263" s="8">
        <v>82.03</v>
      </c>
      <c r="BQ263" s="8">
        <v>84.17</v>
      </c>
      <c r="BR263" s="8">
        <v>71.81</v>
      </c>
      <c r="BS263" s="8">
        <v>112.13</v>
      </c>
      <c r="BT263" s="8">
        <v>112.13</v>
      </c>
      <c r="BU263" s="8">
        <v>100.16</v>
      </c>
      <c r="BV263" s="8">
        <v>97.91</v>
      </c>
      <c r="BW263" s="8">
        <v>106.89</v>
      </c>
      <c r="BX263" s="8">
        <v>116.29</v>
      </c>
      <c r="BY263" s="8">
        <v>80.569999999999993</v>
      </c>
      <c r="BZ263" s="8">
        <v>88.11</v>
      </c>
      <c r="CA263" s="8">
        <v>87.43</v>
      </c>
      <c r="CB263" s="8">
        <v>101.34</v>
      </c>
      <c r="CC263" s="8">
        <v>79.73</v>
      </c>
      <c r="CD263" s="8">
        <v>60.26</v>
      </c>
      <c r="CE263" s="8">
        <v>55.74</v>
      </c>
      <c r="CF263" s="8">
        <v>64.64</v>
      </c>
      <c r="CG263" s="8">
        <v>60.88</v>
      </c>
      <c r="CH263" s="8">
        <v>56.8</v>
      </c>
      <c r="CI263" s="8">
        <v>87.15</v>
      </c>
      <c r="CJ263" s="8">
        <v>86.09</v>
      </c>
      <c r="CK263" s="8">
        <v>95.75</v>
      </c>
      <c r="CL263" s="8">
        <v>50.9</v>
      </c>
      <c r="CM263" s="8">
        <v>48.46</v>
      </c>
      <c r="CN263" s="8">
        <v>72.180000000000007</v>
      </c>
      <c r="CO263" s="8">
        <v>75.900000000000006</v>
      </c>
      <c r="CP263" s="8">
        <v>75.900000000000006</v>
      </c>
      <c r="CQ263" s="8">
        <v>90.99</v>
      </c>
      <c r="CR263" s="8">
        <v>70.36</v>
      </c>
      <c r="CS263" s="8">
        <v>75.5</v>
      </c>
      <c r="CT263" s="8">
        <v>68.64</v>
      </c>
      <c r="CU263" s="8">
        <v>64.099999999999994</v>
      </c>
      <c r="CV263" s="8">
        <v>79.510000000000005</v>
      </c>
      <c r="CW263" s="8">
        <v>79.510000000000005</v>
      </c>
      <c r="CX263" s="8">
        <v>123.87</v>
      </c>
      <c r="CY263" s="8">
        <v>123.87</v>
      </c>
      <c r="CZ263" s="8">
        <v>58.11</v>
      </c>
      <c r="DA263" s="8">
        <v>128.22999999999999</v>
      </c>
      <c r="DB263" s="8">
        <v>79.08</v>
      </c>
      <c r="DC263" s="8">
        <v>135.58000000000001</v>
      </c>
      <c r="DD263" s="8">
        <v>216.79</v>
      </c>
      <c r="DE263" s="8">
        <v>73.77</v>
      </c>
      <c r="DF263" s="8">
        <v>73.92</v>
      </c>
      <c r="DG263" s="8">
        <v>101.19</v>
      </c>
      <c r="DH263" s="8">
        <v>63.96</v>
      </c>
      <c r="DI263" s="8">
        <v>65.84</v>
      </c>
      <c r="DJ263" s="8">
        <v>59.87</v>
      </c>
      <c r="DK263" s="8">
        <v>64.13</v>
      </c>
      <c r="DL263" s="8">
        <v>74.28</v>
      </c>
      <c r="DM263" s="8">
        <v>84.86</v>
      </c>
      <c r="DN263" s="8">
        <v>120.41</v>
      </c>
      <c r="DO263" s="8">
        <v>73.010000000000005</v>
      </c>
      <c r="DP263" s="8">
        <v>55.51</v>
      </c>
      <c r="DQ263" s="8">
        <v>66.55</v>
      </c>
      <c r="DR263" s="8">
        <v>66.19</v>
      </c>
      <c r="DS263" s="8">
        <v>56.61</v>
      </c>
      <c r="DT263" s="8">
        <v>56.61</v>
      </c>
      <c r="DU263" s="8">
        <v>61.54</v>
      </c>
      <c r="DV263" s="8">
        <v>52.8</v>
      </c>
      <c r="DW263" s="8">
        <v>58.02</v>
      </c>
      <c r="DX263" s="8">
        <v>67.989999999999995</v>
      </c>
      <c r="DY263" s="8">
        <v>50.32</v>
      </c>
      <c r="DZ263" s="8">
        <v>50.32</v>
      </c>
      <c r="EA263" s="8">
        <v>75.290000000000006</v>
      </c>
      <c r="EB263" s="8">
        <v>93.5</v>
      </c>
      <c r="EC263" s="8">
        <v>72.8</v>
      </c>
      <c r="ED263" s="9">
        <v>0.6</v>
      </c>
      <c r="EE263" s="9">
        <v>-0.3</v>
      </c>
      <c r="EF263" s="9">
        <v>-0.4</v>
      </c>
      <c r="EG263" s="9">
        <v>-1.2</v>
      </c>
      <c r="EH263" s="9">
        <v>-0.9</v>
      </c>
      <c r="EI263" s="9">
        <v>3.6</v>
      </c>
      <c r="EJ263" s="9">
        <v>0.4</v>
      </c>
      <c r="EK263" s="9">
        <v>-0.9</v>
      </c>
      <c r="EL263" s="9">
        <v>-1.2</v>
      </c>
      <c r="EM263" s="9">
        <v>-0.5</v>
      </c>
      <c r="EN263" s="9">
        <v>-2.8</v>
      </c>
      <c r="EO263" s="9">
        <v>-1.5</v>
      </c>
      <c r="EP263" s="9">
        <v>0.3</v>
      </c>
      <c r="EQ263" s="9">
        <v>-0.2</v>
      </c>
      <c r="ER263" s="9">
        <v>0</v>
      </c>
      <c r="ES263" s="9">
        <v>0.3</v>
      </c>
      <c r="ET263" s="9">
        <v>0.8</v>
      </c>
      <c r="EU263" s="9">
        <v>-1</v>
      </c>
      <c r="EV263" s="9">
        <v>-1.8</v>
      </c>
      <c r="EW263" s="9">
        <v>-1.2</v>
      </c>
      <c r="EX263" s="9">
        <v>-2.5</v>
      </c>
      <c r="EY263" s="9">
        <v>0.1</v>
      </c>
      <c r="EZ263" s="9">
        <v>-0.5</v>
      </c>
      <c r="FA263" s="9">
        <v>-0.1</v>
      </c>
      <c r="FB263" s="9">
        <v>0.8</v>
      </c>
      <c r="FC263" s="9">
        <v>0.3</v>
      </c>
      <c r="FD263" s="9">
        <v>-0.3</v>
      </c>
      <c r="FE263" s="9">
        <v>0.4</v>
      </c>
      <c r="FF263" s="9">
        <v>-0.1</v>
      </c>
      <c r="FG263" s="9">
        <v>0.1</v>
      </c>
      <c r="FH263" s="9">
        <v>-0.1</v>
      </c>
      <c r="FI263" s="9">
        <v>0.7</v>
      </c>
      <c r="FJ263" s="9">
        <v>0.4</v>
      </c>
      <c r="FK263" s="9">
        <v>1</v>
      </c>
      <c r="FL263" s="9">
        <v>0.6</v>
      </c>
      <c r="FM263" s="9">
        <v>-0.1</v>
      </c>
      <c r="FN263" s="9">
        <v>-0.3</v>
      </c>
      <c r="FO263" s="9">
        <v>-0.1</v>
      </c>
      <c r="FP263" s="9">
        <v>0.1</v>
      </c>
      <c r="FQ263" s="9">
        <v>1.8</v>
      </c>
      <c r="FR263" s="9">
        <v>1.8</v>
      </c>
      <c r="FS263" s="9">
        <v>1.5</v>
      </c>
      <c r="FT263" s="9">
        <v>0.6</v>
      </c>
      <c r="FU263" s="9">
        <v>1.4</v>
      </c>
      <c r="FV263" s="9">
        <v>0.3</v>
      </c>
      <c r="FW263" s="9">
        <v>0.7</v>
      </c>
      <c r="FX263" s="9">
        <v>2.9</v>
      </c>
      <c r="FY263" s="9">
        <v>-1.2</v>
      </c>
      <c r="FZ263" s="9">
        <v>5.2</v>
      </c>
      <c r="GA263" s="9">
        <v>1.1000000000000001</v>
      </c>
      <c r="GB263" s="9">
        <v>3</v>
      </c>
      <c r="GC263" s="9">
        <v>3.4</v>
      </c>
      <c r="GD263" s="9">
        <v>0.6</v>
      </c>
      <c r="GE263" s="9">
        <v>1.8</v>
      </c>
      <c r="GF263" s="9">
        <v>1.2</v>
      </c>
      <c r="GG263" s="9">
        <v>1.2</v>
      </c>
      <c r="GH263" s="9">
        <v>-0.1</v>
      </c>
      <c r="GI263" s="9">
        <v>-0.1</v>
      </c>
      <c r="GJ263" s="9">
        <v>2.2000000000000002</v>
      </c>
      <c r="GK263" s="9">
        <v>0.4</v>
      </c>
      <c r="GL263" s="9">
        <v>5.3</v>
      </c>
      <c r="GM263" s="9">
        <v>7.2</v>
      </c>
      <c r="GN263" s="9">
        <v>8.6</v>
      </c>
      <c r="GO263" s="9">
        <v>7.8</v>
      </c>
      <c r="GP263" s="9">
        <v>3.9</v>
      </c>
      <c r="GQ263" s="9">
        <v>0.3</v>
      </c>
      <c r="GR263" s="9">
        <v>-0.6</v>
      </c>
      <c r="GS263" s="9">
        <v>-0.8</v>
      </c>
      <c r="GT263" s="9">
        <v>0.5</v>
      </c>
      <c r="GU263" s="9">
        <v>0.5</v>
      </c>
      <c r="GV263" s="9">
        <v>0.5</v>
      </c>
      <c r="GW263" s="9">
        <v>0.6</v>
      </c>
      <c r="GX263" s="9">
        <v>-0.7</v>
      </c>
      <c r="GY263" s="9">
        <v>1</v>
      </c>
      <c r="GZ263" s="9">
        <v>3.3</v>
      </c>
      <c r="HA263" s="9">
        <v>-1.8</v>
      </c>
      <c r="HB263" s="9">
        <v>0.2</v>
      </c>
      <c r="HC263" s="9">
        <v>1.4</v>
      </c>
      <c r="HD263" s="9">
        <v>0</v>
      </c>
      <c r="HE263" s="9">
        <v>0.1</v>
      </c>
      <c r="HF263" s="9">
        <v>0.9</v>
      </c>
      <c r="HG263" s="9">
        <v>1.9</v>
      </c>
      <c r="HH263" s="9">
        <v>0.1</v>
      </c>
      <c r="HI263" s="9">
        <v>1.1000000000000001</v>
      </c>
      <c r="HJ263" s="9">
        <v>-1</v>
      </c>
      <c r="HK263" s="9">
        <v>-4</v>
      </c>
      <c r="HL263" s="9">
        <v>-5</v>
      </c>
      <c r="HM263" s="9">
        <v>4</v>
      </c>
      <c r="HN263" s="9">
        <v>0</v>
      </c>
      <c r="HO263" s="9">
        <v>-0.2</v>
      </c>
      <c r="HP263" s="9">
        <v>1.1000000000000001</v>
      </c>
      <c r="HQ263" s="9">
        <v>0.1</v>
      </c>
      <c r="HR263" s="9">
        <v>0.1</v>
      </c>
      <c r="HS263" s="9">
        <v>-1.1000000000000001</v>
      </c>
      <c r="HT263" s="9">
        <v>0.5</v>
      </c>
      <c r="HU263" s="9">
        <v>-1.4</v>
      </c>
      <c r="HV263" s="9">
        <v>3.7</v>
      </c>
      <c r="HW263" s="9">
        <v>2.1</v>
      </c>
      <c r="HX263" s="9">
        <v>0.5</v>
      </c>
      <c r="HY263" s="9">
        <v>0.5</v>
      </c>
      <c r="HZ263" s="9">
        <v>0</v>
      </c>
      <c r="IA263" s="9">
        <v>0</v>
      </c>
      <c r="IB263" s="9">
        <v>2.4</v>
      </c>
      <c r="IC263" s="9">
        <v>-0.1</v>
      </c>
      <c r="ID263" s="9">
        <v>0.9</v>
      </c>
      <c r="IE263" s="9">
        <v>-2.8</v>
      </c>
      <c r="IF263" s="9">
        <v>-3.4</v>
      </c>
      <c r="IG263" s="9">
        <v>-1.7</v>
      </c>
      <c r="IH263" s="9">
        <v>-0.1</v>
      </c>
      <c r="II263" s="9">
        <v>-0.5</v>
      </c>
      <c r="IJ263" s="9">
        <v>0.2</v>
      </c>
      <c r="IK263" s="9">
        <v>3.3</v>
      </c>
      <c r="IL263" s="9">
        <v>1.7</v>
      </c>
      <c r="IM263" s="9">
        <v>5</v>
      </c>
      <c r="IN263" s="9">
        <v>0.5</v>
      </c>
      <c r="IO263" s="9">
        <v>-1.6</v>
      </c>
      <c r="IP263" s="9">
        <v>-1</v>
      </c>
      <c r="IQ263" s="9">
        <v>2.2000000000000002</v>
      </c>
    </row>
    <row r="264" spans="1:251" x14ac:dyDescent="0.2">
      <c r="A264" s="10">
        <v>40878</v>
      </c>
      <c r="B264" s="8">
        <v>69.34</v>
      </c>
      <c r="C264" s="8">
        <v>72.42</v>
      </c>
      <c r="D264" s="8">
        <v>77.78</v>
      </c>
      <c r="E264" s="8">
        <v>76.42</v>
      </c>
      <c r="F264" s="8">
        <v>75.61</v>
      </c>
      <c r="G264" s="8">
        <v>86.49</v>
      </c>
      <c r="H264" s="8">
        <v>84.2</v>
      </c>
      <c r="I264" s="8">
        <v>68.989999999999995</v>
      </c>
      <c r="J264" s="8">
        <v>55.26</v>
      </c>
      <c r="K264" s="8">
        <v>70.97</v>
      </c>
      <c r="L264" s="8">
        <v>66.69</v>
      </c>
      <c r="M264" s="8">
        <v>81.459999999999994</v>
      </c>
      <c r="N264" s="8">
        <v>68.09</v>
      </c>
      <c r="O264" s="8">
        <v>73.48</v>
      </c>
      <c r="P264" s="8">
        <v>75.66</v>
      </c>
      <c r="Q264" s="8">
        <v>73.59</v>
      </c>
      <c r="R264" s="8">
        <v>73.39</v>
      </c>
      <c r="S264" s="8">
        <v>80.17</v>
      </c>
      <c r="T264" s="8">
        <v>78.95</v>
      </c>
      <c r="U264" s="8">
        <v>91.29</v>
      </c>
      <c r="V264" s="8">
        <v>68.36</v>
      </c>
      <c r="W264" s="8">
        <v>74.59</v>
      </c>
      <c r="X264" s="8">
        <v>60.71</v>
      </c>
      <c r="Y264" s="8">
        <v>80.38</v>
      </c>
      <c r="Z264" s="8">
        <v>82.69</v>
      </c>
      <c r="AA264" s="8">
        <v>58.31</v>
      </c>
      <c r="AB264" s="8">
        <v>72.989999999999995</v>
      </c>
      <c r="AC264" s="8">
        <v>83.84</v>
      </c>
      <c r="AD264" s="8">
        <v>72.599999999999994</v>
      </c>
      <c r="AE264" s="8">
        <v>74.58</v>
      </c>
      <c r="AF264" s="8">
        <v>71.89</v>
      </c>
      <c r="AG264" s="8">
        <v>68.44</v>
      </c>
      <c r="AH264" s="8">
        <v>70.38</v>
      </c>
      <c r="AI264" s="8">
        <v>66.099999999999994</v>
      </c>
      <c r="AJ264" s="8">
        <v>45.66</v>
      </c>
      <c r="AK264" s="8">
        <v>73.2</v>
      </c>
      <c r="AL264" s="8">
        <v>67.8</v>
      </c>
      <c r="AM264" s="8">
        <v>90.39</v>
      </c>
      <c r="AN264" s="8">
        <v>64.2</v>
      </c>
      <c r="AO264" s="8">
        <v>21.5</v>
      </c>
      <c r="AP264" s="8">
        <v>21.5</v>
      </c>
      <c r="AQ264" s="8">
        <v>98.83</v>
      </c>
      <c r="AR264" s="8">
        <v>110.45</v>
      </c>
      <c r="AS264" s="8">
        <v>105.46</v>
      </c>
      <c r="AT264" s="8">
        <v>117.81</v>
      </c>
      <c r="AU264" s="8">
        <v>94.81</v>
      </c>
      <c r="AV264" s="8">
        <v>104.14</v>
      </c>
      <c r="AW264" s="8">
        <v>103.45</v>
      </c>
      <c r="AX264" s="8">
        <v>105.46</v>
      </c>
      <c r="AY264" s="8">
        <v>100.54</v>
      </c>
      <c r="AZ264" s="8">
        <v>71.94</v>
      </c>
      <c r="BA264" s="8">
        <v>73.37</v>
      </c>
      <c r="BB264" s="8">
        <v>63.39</v>
      </c>
      <c r="BC264" s="8">
        <v>63.2</v>
      </c>
      <c r="BD264" s="8">
        <v>72.78</v>
      </c>
      <c r="BE264" s="8">
        <v>72.78</v>
      </c>
      <c r="BF264" s="8">
        <v>58.34</v>
      </c>
      <c r="BG264" s="8">
        <v>58.34</v>
      </c>
      <c r="BH264" s="8">
        <v>61.06</v>
      </c>
      <c r="BI264" s="8">
        <v>67.05</v>
      </c>
      <c r="BJ264" s="8">
        <v>53.62</v>
      </c>
      <c r="BK264" s="8">
        <v>61.76</v>
      </c>
      <c r="BL264" s="8">
        <v>74.03</v>
      </c>
      <c r="BM264" s="8">
        <v>64.87</v>
      </c>
      <c r="BN264" s="8">
        <v>45.97</v>
      </c>
      <c r="BO264" s="8">
        <v>80.33</v>
      </c>
      <c r="BP264" s="8">
        <v>82.85</v>
      </c>
      <c r="BQ264" s="8">
        <v>85.09</v>
      </c>
      <c r="BR264" s="8">
        <v>72.12</v>
      </c>
      <c r="BS264" s="8">
        <v>113.28</v>
      </c>
      <c r="BT264" s="8">
        <v>113.28</v>
      </c>
      <c r="BU264" s="8">
        <v>97.68</v>
      </c>
      <c r="BV264" s="8">
        <v>94.64</v>
      </c>
      <c r="BW264" s="8">
        <v>103.28</v>
      </c>
      <c r="BX264" s="8">
        <v>113.07</v>
      </c>
      <c r="BY264" s="8">
        <v>80.95</v>
      </c>
      <c r="BZ264" s="8">
        <v>87.38</v>
      </c>
      <c r="CA264" s="8">
        <v>87.65</v>
      </c>
      <c r="CB264" s="8">
        <v>100.52</v>
      </c>
      <c r="CC264" s="8">
        <v>78.900000000000006</v>
      </c>
      <c r="CD264" s="8">
        <v>61.21</v>
      </c>
      <c r="CE264" s="8">
        <v>57.17</v>
      </c>
      <c r="CF264" s="8">
        <v>65.19</v>
      </c>
      <c r="CG264" s="8">
        <v>61.81</v>
      </c>
      <c r="CH264" s="8">
        <v>56.08</v>
      </c>
      <c r="CI264" s="8">
        <v>82.89</v>
      </c>
      <c r="CJ264" s="8">
        <v>81.319999999999993</v>
      </c>
      <c r="CK264" s="8">
        <v>95.64</v>
      </c>
      <c r="CL264" s="8">
        <v>50.84</v>
      </c>
      <c r="CM264" s="8">
        <v>48.34</v>
      </c>
      <c r="CN264" s="8">
        <v>72.7</v>
      </c>
      <c r="CO264" s="8">
        <v>75.91</v>
      </c>
      <c r="CP264" s="8">
        <v>75.91</v>
      </c>
      <c r="CQ264" s="8">
        <v>89.93</v>
      </c>
      <c r="CR264" s="8">
        <v>70.53</v>
      </c>
      <c r="CS264" s="8">
        <v>76.06</v>
      </c>
      <c r="CT264" s="8">
        <v>68.83</v>
      </c>
      <c r="CU264" s="8">
        <v>64.37</v>
      </c>
      <c r="CV264" s="8">
        <v>79.540000000000006</v>
      </c>
      <c r="CW264" s="8">
        <v>79.540000000000006</v>
      </c>
      <c r="CX264" s="8">
        <v>125.17</v>
      </c>
      <c r="CY264" s="8">
        <v>125.17</v>
      </c>
      <c r="CZ264" s="8">
        <v>58.11</v>
      </c>
      <c r="DA264" s="8">
        <v>129.63</v>
      </c>
      <c r="DB264" s="8">
        <v>79.680000000000007</v>
      </c>
      <c r="DC264" s="8">
        <v>133.62</v>
      </c>
      <c r="DD264" s="8">
        <v>208.46</v>
      </c>
      <c r="DE264" s="8">
        <v>75.459999999999994</v>
      </c>
      <c r="DF264" s="8">
        <v>74.06</v>
      </c>
      <c r="DG264" s="8">
        <v>101.12</v>
      </c>
      <c r="DH264" s="8">
        <v>64.17</v>
      </c>
      <c r="DI264" s="8">
        <v>67.67</v>
      </c>
      <c r="DJ264" s="8">
        <v>64.23</v>
      </c>
      <c r="DK264" s="8">
        <v>62.91</v>
      </c>
      <c r="DL264" s="8">
        <v>74.16</v>
      </c>
      <c r="DM264" s="8">
        <v>84.91</v>
      </c>
      <c r="DN264" s="8">
        <v>117.15</v>
      </c>
      <c r="DO264" s="8">
        <v>74.03</v>
      </c>
      <c r="DP264" s="8">
        <v>56.05</v>
      </c>
      <c r="DQ264" s="8">
        <v>66.7</v>
      </c>
      <c r="DR264" s="8">
        <v>66.319999999999993</v>
      </c>
      <c r="DS264" s="8">
        <v>56.62</v>
      </c>
      <c r="DT264" s="8">
        <v>56.62</v>
      </c>
      <c r="DU264" s="8">
        <v>61.64</v>
      </c>
      <c r="DV264" s="8">
        <v>52.8</v>
      </c>
      <c r="DW264" s="8">
        <v>58.02</v>
      </c>
      <c r="DX264" s="8">
        <v>68.44</v>
      </c>
      <c r="DY264" s="8">
        <v>50.99</v>
      </c>
      <c r="DZ264" s="8">
        <v>50.99</v>
      </c>
      <c r="EA264" s="8">
        <v>75.59</v>
      </c>
      <c r="EB264" s="8">
        <v>93.54</v>
      </c>
      <c r="EC264" s="8">
        <v>73.16</v>
      </c>
      <c r="ED264" s="9">
        <v>0</v>
      </c>
      <c r="EE264" s="9">
        <v>-1.5</v>
      </c>
      <c r="EF264" s="9">
        <v>0.8</v>
      </c>
      <c r="EG264" s="9">
        <v>0.3</v>
      </c>
      <c r="EH264" s="9">
        <v>1.3</v>
      </c>
      <c r="EI264" s="9">
        <v>2.2000000000000002</v>
      </c>
      <c r="EJ264" s="9">
        <v>-1</v>
      </c>
      <c r="EK264" s="9">
        <v>-0.9</v>
      </c>
      <c r="EL264" s="9">
        <v>-0.3</v>
      </c>
      <c r="EM264" s="9">
        <v>-2.2999999999999998</v>
      </c>
      <c r="EN264" s="9">
        <v>-1.9</v>
      </c>
      <c r="EO264" s="9">
        <v>-3</v>
      </c>
      <c r="EP264" s="9">
        <v>1.9</v>
      </c>
      <c r="EQ264" s="9">
        <v>0.5</v>
      </c>
      <c r="ER264" s="9">
        <v>-0.2</v>
      </c>
      <c r="ES264" s="9">
        <v>0.1</v>
      </c>
      <c r="ET264" s="9">
        <v>-2</v>
      </c>
      <c r="EU264" s="9">
        <v>1.1000000000000001</v>
      </c>
      <c r="EV264" s="9">
        <v>-9.6</v>
      </c>
      <c r="EW264" s="9">
        <v>-13.4</v>
      </c>
      <c r="EX264" s="9">
        <v>-4.9000000000000004</v>
      </c>
      <c r="EY264" s="9">
        <v>-0.2</v>
      </c>
      <c r="EZ264" s="9">
        <v>-0.2</v>
      </c>
      <c r="FA264" s="9">
        <v>0.3</v>
      </c>
      <c r="FB264" s="9">
        <v>-0.5</v>
      </c>
      <c r="FC264" s="9">
        <v>1.4</v>
      </c>
      <c r="FD264" s="9">
        <v>-1.8</v>
      </c>
      <c r="FE264" s="9">
        <v>2.2999999999999998</v>
      </c>
      <c r="FF264" s="9">
        <v>0.7</v>
      </c>
      <c r="FG264" s="9">
        <v>5.7</v>
      </c>
      <c r="FH264" s="9">
        <v>-0.9</v>
      </c>
      <c r="FI264" s="9">
        <v>0.6</v>
      </c>
      <c r="FJ264" s="9">
        <v>0.8</v>
      </c>
      <c r="FK264" s="9">
        <v>0.5</v>
      </c>
      <c r="FL264" s="9">
        <v>0.8</v>
      </c>
      <c r="FM264" s="9">
        <v>0.8</v>
      </c>
      <c r="FN264" s="9">
        <v>1.2</v>
      </c>
      <c r="FO264" s="9">
        <v>0.1</v>
      </c>
      <c r="FP264" s="9">
        <v>1.3</v>
      </c>
      <c r="FQ264" s="9">
        <v>0.9</v>
      </c>
      <c r="FR264" s="9">
        <v>0.9</v>
      </c>
      <c r="FS264" s="9">
        <v>-0.6</v>
      </c>
      <c r="FT264" s="9">
        <v>0.2</v>
      </c>
      <c r="FU264" s="9">
        <v>-0.3</v>
      </c>
      <c r="FV264" s="9">
        <v>0.6</v>
      </c>
      <c r="FW264" s="9">
        <v>-0.4</v>
      </c>
      <c r="FX264" s="9">
        <v>-0.4</v>
      </c>
      <c r="FY264" s="9">
        <v>1.6</v>
      </c>
      <c r="FZ264" s="9">
        <v>-1.1000000000000001</v>
      </c>
      <c r="GA264" s="9">
        <v>-0.7</v>
      </c>
      <c r="GB264" s="9">
        <v>-3.1</v>
      </c>
      <c r="GC264" s="9">
        <v>-3.7</v>
      </c>
      <c r="GD264" s="9">
        <v>0.5</v>
      </c>
      <c r="GE264" s="9">
        <v>0.5</v>
      </c>
      <c r="GF264" s="9">
        <v>1</v>
      </c>
      <c r="GG264" s="9">
        <v>1</v>
      </c>
      <c r="GH264" s="9">
        <v>0.3</v>
      </c>
      <c r="GI264" s="9">
        <v>0.3</v>
      </c>
      <c r="GJ264" s="9">
        <v>0</v>
      </c>
      <c r="GK264" s="9">
        <v>0.1</v>
      </c>
      <c r="GL264" s="9">
        <v>0</v>
      </c>
      <c r="GM264" s="9">
        <v>0.4</v>
      </c>
      <c r="GN264" s="9">
        <v>0</v>
      </c>
      <c r="GO264" s="9">
        <v>0.6</v>
      </c>
      <c r="GP264" s="9">
        <v>0.2</v>
      </c>
      <c r="GQ264" s="9">
        <v>0</v>
      </c>
      <c r="GR264" s="9">
        <v>1</v>
      </c>
      <c r="GS264" s="9">
        <v>1.1000000000000001</v>
      </c>
      <c r="GT264" s="9">
        <v>0.4</v>
      </c>
      <c r="GU264" s="9">
        <v>1</v>
      </c>
      <c r="GV264" s="9">
        <v>1</v>
      </c>
      <c r="GW264" s="9">
        <v>-2.5</v>
      </c>
      <c r="GX264" s="9">
        <v>-3.3</v>
      </c>
      <c r="GY264" s="9">
        <v>-3.4</v>
      </c>
      <c r="GZ264" s="9">
        <v>-2.8</v>
      </c>
      <c r="HA264" s="9">
        <v>0.5</v>
      </c>
      <c r="HB264" s="9">
        <v>-0.8</v>
      </c>
      <c r="HC264" s="9">
        <v>0.3</v>
      </c>
      <c r="HD264" s="9">
        <v>-0.8</v>
      </c>
      <c r="HE264" s="9">
        <v>-1</v>
      </c>
      <c r="HF264" s="9">
        <v>1.6</v>
      </c>
      <c r="HG264" s="9">
        <v>2.6</v>
      </c>
      <c r="HH264" s="9">
        <v>0.9</v>
      </c>
      <c r="HI264" s="9">
        <v>1.5</v>
      </c>
      <c r="HJ264" s="9">
        <v>-1.3</v>
      </c>
      <c r="HK264" s="9">
        <v>-4.9000000000000004</v>
      </c>
      <c r="HL264" s="9">
        <v>-5.5</v>
      </c>
      <c r="HM264" s="9">
        <v>-0.1</v>
      </c>
      <c r="HN264" s="9">
        <v>-0.1</v>
      </c>
      <c r="HO264" s="9">
        <v>-0.2</v>
      </c>
      <c r="HP264" s="9">
        <v>0.7</v>
      </c>
      <c r="HQ264" s="9">
        <v>0</v>
      </c>
      <c r="HR264" s="9">
        <v>0</v>
      </c>
      <c r="HS264" s="9">
        <v>-1.2</v>
      </c>
      <c r="HT264" s="9">
        <v>0.2</v>
      </c>
      <c r="HU264" s="9">
        <v>0.7</v>
      </c>
      <c r="HV264" s="9">
        <v>0.3</v>
      </c>
      <c r="HW264" s="9">
        <v>0.4</v>
      </c>
      <c r="HX264" s="9">
        <v>0</v>
      </c>
      <c r="HY264" s="9">
        <v>0</v>
      </c>
      <c r="HZ264" s="9">
        <v>1</v>
      </c>
      <c r="IA264" s="9">
        <v>1</v>
      </c>
      <c r="IB264" s="9">
        <v>0</v>
      </c>
      <c r="IC264" s="9">
        <v>1.1000000000000001</v>
      </c>
      <c r="ID264" s="9">
        <v>0.8</v>
      </c>
      <c r="IE264" s="9">
        <v>-1.4</v>
      </c>
      <c r="IF264" s="9">
        <v>-3.8</v>
      </c>
      <c r="IG264" s="9">
        <v>2.2999999999999998</v>
      </c>
      <c r="IH264" s="9">
        <v>0.2</v>
      </c>
      <c r="II264" s="9">
        <v>-0.1</v>
      </c>
      <c r="IJ264" s="9">
        <v>0.3</v>
      </c>
      <c r="IK264" s="9">
        <v>2.8</v>
      </c>
      <c r="IL264" s="9">
        <v>7.3</v>
      </c>
      <c r="IM264" s="9">
        <v>-1.9</v>
      </c>
      <c r="IN264" s="9">
        <v>-0.2</v>
      </c>
      <c r="IO264" s="9">
        <v>0.1</v>
      </c>
      <c r="IP264" s="9">
        <v>-2.7</v>
      </c>
      <c r="IQ264" s="9">
        <v>1.4</v>
      </c>
    </row>
    <row r="265" spans="1:251" x14ac:dyDescent="0.2">
      <c r="A265" s="10">
        <v>40969</v>
      </c>
      <c r="B265" s="8">
        <v>69.38</v>
      </c>
      <c r="C265" s="8">
        <v>70.87</v>
      </c>
      <c r="D265" s="8">
        <v>78.02</v>
      </c>
      <c r="E265" s="8">
        <v>77.650000000000006</v>
      </c>
      <c r="F265" s="8">
        <v>75.260000000000005</v>
      </c>
      <c r="G265" s="8">
        <v>86.19</v>
      </c>
      <c r="H265" s="8">
        <v>84.21</v>
      </c>
      <c r="I265" s="8">
        <v>68.790000000000006</v>
      </c>
      <c r="J265" s="8">
        <v>55.93</v>
      </c>
      <c r="K265" s="8">
        <v>71.930000000000007</v>
      </c>
      <c r="L265" s="8">
        <v>67.180000000000007</v>
      </c>
      <c r="M265" s="8">
        <v>78.91</v>
      </c>
      <c r="N265" s="8">
        <v>67.81</v>
      </c>
      <c r="O265" s="8">
        <v>73.2</v>
      </c>
      <c r="P265" s="8">
        <v>75.489999999999995</v>
      </c>
      <c r="Q265" s="8">
        <v>73.790000000000006</v>
      </c>
      <c r="R265" s="8">
        <v>73.11</v>
      </c>
      <c r="S265" s="8">
        <v>79.66</v>
      </c>
      <c r="T265" s="8">
        <v>66.41</v>
      </c>
      <c r="U265" s="8">
        <v>63.92</v>
      </c>
      <c r="V265" s="8">
        <v>68.13</v>
      </c>
      <c r="W265" s="8">
        <v>74.88</v>
      </c>
      <c r="X265" s="8">
        <v>61.65</v>
      </c>
      <c r="Y265" s="8">
        <v>80.81</v>
      </c>
      <c r="Z265" s="8">
        <v>84.98</v>
      </c>
      <c r="AA265" s="8">
        <v>58.66</v>
      </c>
      <c r="AB265" s="8">
        <v>72.56</v>
      </c>
      <c r="AC265" s="8">
        <v>84.17</v>
      </c>
      <c r="AD265" s="8">
        <v>74.260000000000005</v>
      </c>
      <c r="AE265" s="8">
        <v>75.94</v>
      </c>
      <c r="AF265" s="8">
        <v>73.66</v>
      </c>
      <c r="AG265" s="8">
        <v>68.8</v>
      </c>
      <c r="AH265" s="8">
        <v>70.72</v>
      </c>
      <c r="AI265" s="8">
        <v>66.47</v>
      </c>
      <c r="AJ265" s="8">
        <v>46.31</v>
      </c>
      <c r="AK265" s="8">
        <v>73.989999999999995</v>
      </c>
      <c r="AL265" s="8">
        <v>68.48</v>
      </c>
      <c r="AM265" s="8">
        <v>90.8</v>
      </c>
      <c r="AN265" s="8">
        <v>65.22</v>
      </c>
      <c r="AO265" s="8">
        <v>21.95</v>
      </c>
      <c r="AP265" s="8">
        <v>21.95</v>
      </c>
      <c r="AQ265" s="8">
        <v>97.07</v>
      </c>
      <c r="AR265" s="8">
        <v>106.69</v>
      </c>
      <c r="AS265" s="8">
        <v>100.01</v>
      </c>
      <c r="AT265" s="8">
        <v>114.88</v>
      </c>
      <c r="AU265" s="8">
        <v>91.47</v>
      </c>
      <c r="AV265" s="8">
        <v>104.79</v>
      </c>
      <c r="AW265" s="8">
        <v>101.48</v>
      </c>
      <c r="AX265" s="8">
        <v>108.38</v>
      </c>
      <c r="AY265" s="8">
        <v>97.97</v>
      </c>
      <c r="AZ265" s="8">
        <v>72.87</v>
      </c>
      <c r="BA265" s="8">
        <v>74.45</v>
      </c>
      <c r="BB265" s="8">
        <v>63.52</v>
      </c>
      <c r="BC265" s="8">
        <v>63.58</v>
      </c>
      <c r="BD265" s="8">
        <v>73.489999999999995</v>
      </c>
      <c r="BE265" s="8">
        <v>73.489999999999995</v>
      </c>
      <c r="BF265" s="8">
        <v>58.31</v>
      </c>
      <c r="BG265" s="8">
        <v>58.31</v>
      </c>
      <c r="BH265" s="8">
        <v>60.91</v>
      </c>
      <c r="BI265" s="8">
        <v>66.77</v>
      </c>
      <c r="BJ265" s="8">
        <v>53.62</v>
      </c>
      <c r="BK265" s="8">
        <v>63.06</v>
      </c>
      <c r="BL265" s="8">
        <v>74.52</v>
      </c>
      <c r="BM265" s="8">
        <v>66.790000000000006</v>
      </c>
      <c r="BN265" s="8">
        <v>46.65</v>
      </c>
      <c r="BO265" s="8">
        <v>79.48</v>
      </c>
      <c r="BP265" s="8">
        <v>78.61</v>
      </c>
      <c r="BQ265" s="8">
        <v>79.98</v>
      </c>
      <c r="BR265" s="8">
        <v>72.16</v>
      </c>
      <c r="BS265" s="8">
        <v>106.95</v>
      </c>
      <c r="BT265" s="8">
        <v>106.95</v>
      </c>
      <c r="BU265" s="8">
        <v>97.44</v>
      </c>
      <c r="BV265" s="8">
        <v>94.92</v>
      </c>
      <c r="BW265" s="8">
        <v>103.99</v>
      </c>
      <c r="BX265" s="8">
        <v>111.2</v>
      </c>
      <c r="BY265" s="8">
        <v>81.180000000000007</v>
      </c>
      <c r="BZ265" s="8">
        <v>87.31</v>
      </c>
      <c r="CA265" s="8">
        <v>84.7</v>
      </c>
      <c r="CB265" s="8">
        <v>100.48</v>
      </c>
      <c r="CC265" s="8">
        <v>79.34</v>
      </c>
      <c r="CD265" s="8">
        <v>62.32</v>
      </c>
      <c r="CE265" s="8">
        <v>59.47</v>
      </c>
      <c r="CF265" s="8">
        <v>65.47</v>
      </c>
      <c r="CG265" s="8">
        <v>62.63</v>
      </c>
      <c r="CH265" s="8">
        <v>58.57</v>
      </c>
      <c r="CI265" s="8">
        <v>93.1</v>
      </c>
      <c r="CJ265" s="8">
        <v>92.76</v>
      </c>
      <c r="CK265" s="8">
        <v>95.7</v>
      </c>
      <c r="CL265" s="8">
        <v>51.89</v>
      </c>
      <c r="CM265" s="8">
        <v>49.37</v>
      </c>
      <c r="CN265" s="8">
        <v>73.86</v>
      </c>
      <c r="CO265" s="8">
        <v>76.73</v>
      </c>
      <c r="CP265" s="8">
        <v>76.55</v>
      </c>
      <c r="CQ265" s="8">
        <v>89.52</v>
      </c>
      <c r="CR265" s="8">
        <v>70.180000000000007</v>
      </c>
      <c r="CS265" s="8">
        <v>77.95</v>
      </c>
      <c r="CT265" s="8">
        <v>69.28</v>
      </c>
      <c r="CU265" s="8">
        <v>64.88</v>
      </c>
      <c r="CV265" s="8">
        <v>83.18</v>
      </c>
      <c r="CW265" s="8">
        <v>83.18</v>
      </c>
      <c r="CX265" s="8">
        <v>125.28</v>
      </c>
      <c r="CY265" s="8">
        <v>125.28</v>
      </c>
      <c r="CZ265" s="8">
        <v>58.11</v>
      </c>
      <c r="DA265" s="8">
        <v>129.75</v>
      </c>
      <c r="DB265" s="8">
        <v>78.16</v>
      </c>
      <c r="DC265" s="8">
        <v>128.84</v>
      </c>
      <c r="DD265" s="8">
        <v>197.03</v>
      </c>
      <c r="DE265" s="8">
        <v>74.87</v>
      </c>
      <c r="DF265" s="8">
        <v>73.83</v>
      </c>
      <c r="DG265" s="8">
        <v>101.16</v>
      </c>
      <c r="DH265" s="8">
        <v>63.84</v>
      </c>
      <c r="DI265" s="8">
        <v>65.44</v>
      </c>
      <c r="DJ265" s="8">
        <v>62.95</v>
      </c>
      <c r="DK265" s="8">
        <v>59.89</v>
      </c>
      <c r="DL265" s="8">
        <v>74.41</v>
      </c>
      <c r="DM265" s="8">
        <v>84.39</v>
      </c>
      <c r="DN265" s="8">
        <v>115.98</v>
      </c>
      <c r="DO265" s="8">
        <v>72.900000000000006</v>
      </c>
      <c r="DP265" s="8">
        <v>56.65</v>
      </c>
      <c r="DQ265" s="8">
        <v>67.06</v>
      </c>
      <c r="DR265" s="8">
        <v>67.63</v>
      </c>
      <c r="DS265" s="8">
        <v>59.99</v>
      </c>
      <c r="DT265" s="8">
        <v>59.99</v>
      </c>
      <c r="DU265" s="8">
        <v>64.81</v>
      </c>
      <c r="DV265" s="8">
        <v>56.86</v>
      </c>
      <c r="DW265" s="8">
        <v>60.75</v>
      </c>
      <c r="DX265" s="8">
        <v>69.099999999999994</v>
      </c>
      <c r="DY265" s="8">
        <v>51.67</v>
      </c>
      <c r="DZ265" s="8">
        <v>51.67</v>
      </c>
      <c r="EA265" s="8">
        <v>76.2</v>
      </c>
      <c r="EB265" s="8">
        <v>93.84</v>
      </c>
      <c r="EC265" s="8">
        <v>73.84</v>
      </c>
      <c r="ED265" s="9">
        <v>0.1</v>
      </c>
      <c r="EE265" s="9">
        <v>-2.1</v>
      </c>
      <c r="EF265" s="9">
        <v>0.3</v>
      </c>
      <c r="EG265" s="9">
        <v>1.6</v>
      </c>
      <c r="EH265" s="9">
        <v>-0.5</v>
      </c>
      <c r="EI265" s="9">
        <v>-0.3</v>
      </c>
      <c r="EJ265" s="9">
        <v>0</v>
      </c>
      <c r="EK265" s="9">
        <v>-0.3</v>
      </c>
      <c r="EL265" s="9">
        <v>1.2</v>
      </c>
      <c r="EM265" s="9">
        <v>1.4</v>
      </c>
      <c r="EN265" s="9">
        <v>0.7</v>
      </c>
      <c r="EO265" s="9">
        <v>-3.1</v>
      </c>
      <c r="EP265" s="9">
        <v>-0.4</v>
      </c>
      <c r="EQ265" s="9">
        <v>-0.4</v>
      </c>
      <c r="ER265" s="9">
        <v>-0.2</v>
      </c>
      <c r="ES265" s="9">
        <v>0.3</v>
      </c>
      <c r="ET265" s="9">
        <v>-0.4</v>
      </c>
      <c r="EU265" s="9">
        <v>-0.6</v>
      </c>
      <c r="EV265" s="9">
        <v>-15.9</v>
      </c>
      <c r="EW265" s="9">
        <v>-30</v>
      </c>
      <c r="EX265" s="9">
        <v>-0.3</v>
      </c>
      <c r="EY265" s="9">
        <v>0.4</v>
      </c>
      <c r="EZ265" s="9">
        <v>1.5</v>
      </c>
      <c r="FA265" s="9">
        <v>0.5</v>
      </c>
      <c r="FB265" s="9">
        <v>2.8</v>
      </c>
      <c r="FC265" s="9">
        <v>0.6</v>
      </c>
      <c r="FD265" s="9">
        <v>-0.6</v>
      </c>
      <c r="FE265" s="9">
        <v>0.4</v>
      </c>
      <c r="FF265" s="9">
        <v>2.2999999999999998</v>
      </c>
      <c r="FG265" s="9">
        <v>1.8</v>
      </c>
      <c r="FH265" s="9">
        <v>2.5</v>
      </c>
      <c r="FI265" s="9">
        <v>0.5</v>
      </c>
      <c r="FJ265" s="9">
        <v>0.5</v>
      </c>
      <c r="FK265" s="9">
        <v>0.6</v>
      </c>
      <c r="FL265" s="9">
        <v>1.4</v>
      </c>
      <c r="FM265" s="9">
        <v>1.1000000000000001</v>
      </c>
      <c r="FN265" s="9">
        <v>1</v>
      </c>
      <c r="FO265" s="9">
        <v>0.5</v>
      </c>
      <c r="FP265" s="9">
        <v>1.6</v>
      </c>
      <c r="FQ265" s="9">
        <v>2.1</v>
      </c>
      <c r="FR265" s="9">
        <v>2.1</v>
      </c>
      <c r="FS265" s="9">
        <v>-1.8</v>
      </c>
      <c r="FT265" s="9">
        <v>-3.4</v>
      </c>
      <c r="FU265" s="9">
        <v>-5.2</v>
      </c>
      <c r="FV265" s="9">
        <v>-2.5</v>
      </c>
      <c r="FW265" s="9">
        <v>-3.5</v>
      </c>
      <c r="FX265" s="9">
        <v>0.6</v>
      </c>
      <c r="FY265" s="9">
        <v>-1.9</v>
      </c>
      <c r="FZ265" s="9">
        <v>2.8</v>
      </c>
      <c r="GA265" s="9">
        <v>-2.6</v>
      </c>
      <c r="GB265" s="9">
        <v>1.3</v>
      </c>
      <c r="GC265" s="9">
        <v>1.5</v>
      </c>
      <c r="GD265" s="9">
        <v>0.2</v>
      </c>
      <c r="GE265" s="9">
        <v>0.6</v>
      </c>
      <c r="GF265" s="9">
        <v>1</v>
      </c>
      <c r="GG265" s="9">
        <v>1</v>
      </c>
      <c r="GH265" s="9">
        <v>-0.1</v>
      </c>
      <c r="GI265" s="9">
        <v>-0.1</v>
      </c>
      <c r="GJ265" s="9">
        <v>-0.2</v>
      </c>
      <c r="GK265" s="9">
        <v>-0.4</v>
      </c>
      <c r="GL265" s="9">
        <v>0</v>
      </c>
      <c r="GM265" s="9">
        <v>2.1</v>
      </c>
      <c r="GN265" s="9">
        <v>0.7</v>
      </c>
      <c r="GO265" s="9">
        <v>3</v>
      </c>
      <c r="GP265" s="9">
        <v>1.5</v>
      </c>
      <c r="GQ265" s="9">
        <v>-1.1000000000000001</v>
      </c>
      <c r="GR265" s="9">
        <v>-5.0999999999999996</v>
      </c>
      <c r="GS265" s="9">
        <v>-6</v>
      </c>
      <c r="GT265" s="9">
        <v>0.1</v>
      </c>
      <c r="GU265" s="9">
        <v>-5.6</v>
      </c>
      <c r="GV265" s="9">
        <v>-5.6</v>
      </c>
      <c r="GW265" s="9">
        <v>-0.2</v>
      </c>
      <c r="GX265" s="9">
        <v>0.3</v>
      </c>
      <c r="GY265" s="9">
        <v>0.7</v>
      </c>
      <c r="GZ265" s="9">
        <v>-1.7</v>
      </c>
      <c r="HA265" s="9">
        <v>0.3</v>
      </c>
      <c r="HB265" s="9">
        <v>-0.1</v>
      </c>
      <c r="HC265" s="9">
        <v>-3.4</v>
      </c>
      <c r="HD265" s="9">
        <v>0</v>
      </c>
      <c r="HE265" s="9">
        <v>0.6</v>
      </c>
      <c r="HF265" s="9">
        <v>1.8</v>
      </c>
      <c r="HG265" s="9">
        <v>4</v>
      </c>
      <c r="HH265" s="9">
        <v>0.4</v>
      </c>
      <c r="HI265" s="9">
        <v>1.3</v>
      </c>
      <c r="HJ265" s="9">
        <v>4.4000000000000004</v>
      </c>
      <c r="HK265" s="9">
        <v>12.3</v>
      </c>
      <c r="HL265" s="9">
        <v>14.1</v>
      </c>
      <c r="HM265" s="9">
        <v>0.1</v>
      </c>
      <c r="HN265" s="9">
        <v>2.1</v>
      </c>
      <c r="HO265" s="9">
        <v>2.1</v>
      </c>
      <c r="HP265" s="9">
        <v>1.6</v>
      </c>
      <c r="HQ265" s="9">
        <v>1.1000000000000001</v>
      </c>
      <c r="HR265" s="9">
        <v>0.8</v>
      </c>
      <c r="HS265" s="9">
        <v>-0.5</v>
      </c>
      <c r="HT265" s="9">
        <v>-0.5</v>
      </c>
      <c r="HU265" s="9">
        <v>2.5</v>
      </c>
      <c r="HV265" s="9">
        <v>0.7</v>
      </c>
      <c r="HW265" s="9">
        <v>0.8</v>
      </c>
      <c r="HX265" s="9">
        <v>4.5999999999999996</v>
      </c>
      <c r="HY265" s="9">
        <v>4.5999999999999996</v>
      </c>
      <c r="HZ265" s="9">
        <v>0.1</v>
      </c>
      <c r="IA265" s="9">
        <v>0.1</v>
      </c>
      <c r="IB265" s="9">
        <v>0</v>
      </c>
      <c r="IC265" s="9">
        <v>0.1</v>
      </c>
      <c r="ID265" s="9">
        <v>-1.9</v>
      </c>
      <c r="IE265" s="9">
        <v>-3.6</v>
      </c>
      <c r="IF265" s="9">
        <v>-5.5</v>
      </c>
      <c r="IG265" s="9">
        <v>-0.8</v>
      </c>
      <c r="IH265" s="9">
        <v>-0.3</v>
      </c>
      <c r="II265" s="9">
        <v>0</v>
      </c>
      <c r="IJ265" s="9">
        <v>-0.5</v>
      </c>
      <c r="IK265" s="9">
        <v>-3.3</v>
      </c>
      <c r="IL265" s="9">
        <v>-2</v>
      </c>
      <c r="IM265" s="9">
        <v>-4.8</v>
      </c>
      <c r="IN265" s="9">
        <v>0.3</v>
      </c>
      <c r="IO265" s="9">
        <v>-0.6</v>
      </c>
      <c r="IP265" s="9">
        <v>-1</v>
      </c>
      <c r="IQ265" s="9">
        <v>-1.5</v>
      </c>
    </row>
    <row r="266" spans="1:251" x14ac:dyDescent="0.2">
      <c r="A266" s="10">
        <v>41061</v>
      </c>
      <c r="B266" s="8">
        <v>69.739999999999995</v>
      </c>
      <c r="C266" s="8">
        <v>71.33</v>
      </c>
      <c r="D266" s="8">
        <v>76.150000000000006</v>
      </c>
      <c r="E266" s="8">
        <v>75.25</v>
      </c>
      <c r="F266" s="8">
        <v>73.17</v>
      </c>
      <c r="G266" s="8">
        <v>84.31</v>
      </c>
      <c r="H266" s="8">
        <v>84.84</v>
      </c>
      <c r="I266" s="8">
        <v>68.81</v>
      </c>
      <c r="J266" s="8">
        <v>56.16</v>
      </c>
      <c r="K266" s="8">
        <v>70.760000000000005</v>
      </c>
      <c r="L266" s="8">
        <v>66.62</v>
      </c>
      <c r="M266" s="8">
        <v>79.209999999999994</v>
      </c>
      <c r="N266" s="8">
        <v>68.91</v>
      </c>
      <c r="O266" s="8">
        <v>73.02</v>
      </c>
      <c r="P266" s="8">
        <v>75.22</v>
      </c>
      <c r="Q266" s="8">
        <v>73.66</v>
      </c>
      <c r="R266" s="8">
        <v>72.84</v>
      </c>
      <c r="S266" s="8">
        <v>79.22</v>
      </c>
      <c r="T266" s="8">
        <v>69.459999999999994</v>
      </c>
      <c r="U266" s="8">
        <v>66.33</v>
      </c>
      <c r="V266" s="8">
        <v>71.680000000000007</v>
      </c>
      <c r="W266" s="8">
        <v>75.260000000000005</v>
      </c>
      <c r="X266" s="8">
        <v>61.79</v>
      </c>
      <c r="Y266" s="8">
        <v>79.930000000000007</v>
      </c>
      <c r="Z266" s="8">
        <v>84.49</v>
      </c>
      <c r="AA266" s="8">
        <v>57.5</v>
      </c>
      <c r="AB266" s="8">
        <v>74.87</v>
      </c>
      <c r="AC266" s="8">
        <v>82.02</v>
      </c>
      <c r="AD266" s="8">
        <v>74.37</v>
      </c>
      <c r="AE266" s="8">
        <v>76.64</v>
      </c>
      <c r="AF266" s="8">
        <v>73.56</v>
      </c>
      <c r="AG266" s="8">
        <v>69.260000000000005</v>
      </c>
      <c r="AH266" s="8">
        <v>70.97</v>
      </c>
      <c r="AI266" s="8">
        <v>67.150000000000006</v>
      </c>
      <c r="AJ266" s="8">
        <v>46.78</v>
      </c>
      <c r="AK266" s="8">
        <v>74.489999999999995</v>
      </c>
      <c r="AL266" s="8">
        <v>68.89</v>
      </c>
      <c r="AM266" s="8">
        <v>91.34</v>
      </c>
      <c r="AN266" s="8">
        <v>65.709999999999994</v>
      </c>
      <c r="AO266" s="8">
        <v>22.31</v>
      </c>
      <c r="AP266" s="8">
        <v>22.31</v>
      </c>
      <c r="AQ266" s="8">
        <v>98.51</v>
      </c>
      <c r="AR266" s="8">
        <v>108.8</v>
      </c>
      <c r="AS266" s="8">
        <v>102.46</v>
      </c>
      <c r="AT266" s="8">
        <v>117.03</v>
      </c>
      <c r="AU266" s="8">
        <v>92.8</v>
      </c>
      <c r="AV266" s="8">
        <v>104.82</v>
      </c>
      <c r="AW266" s="8">
        <v>101.35</v>
      </c>
      <c r="AX266" s="8">
        <v>107.92</v>
      </c>
      <c r="AY266" s="8">
        <v>99.49</v>
      </c>
      <c r="AZ266" s="8">
        <v>73.67</v>
      </c>
      <c r="BA266" s="8">
        <v>75.33</v>
      </c>
      <c r="BB266" s="8">
        <v>63.91</v>
      </c>
      <c r="BC266" s="8">
        <v>63.85</v>
      </c>
      <c r="BD266" s="8">
        <v>74.31</v>
      </c>
      <c r="BE266" s="8">
        <v>74.31</v>
      </c>
      <c r="BF266" s="8">
        <v>58.36</v>
      </c>
      <c r="BG266" s="8">
        <v>58.36</v>
      </c>
      <c r="BH266" s="8">
        <v>61.2</v>
      </c>
      <c r="BI266" s="8">
        <v>67.3</v>
      </c>
      <c r="BJ266" s="8">
        <v>53.62</v>
      </c>
      <c r="BK266" s="8">
        <v>63.03</v>
      </c>
      <c r="BL266" s="8">
        <v>74.52</v>
      </c>
      <c r="BM266" s="8">
        <v>66.23</v>
      </c>
      <c r="BN266" s="8">
        <v>47.71</v>
      </c>
      <c r="BO266" s="8">
        <v>80.66</v>
      </c>
      <c r="BP266" s="8">
        <v>81.55</v>
      </c>
      <c r="BQ266" s="8">
        <v>83.59</v>
      </c>
      <c r="BR266" s="8">
        <v>71.83</v>
      </c>
      <c r="BS266" s="8">
        <v>110.03</v>
      </c>
      <c r="BT266" s="8">
        <v>110.03</v>
      </c>
      <c r="BU266" s="8">
        <v>96.83</v>
      </c>
      <c r="BV266" s="8">
        <v>93.91</v>
      </c>
      <c r="BW266" s="8">
        <v>103.24</v>
      </c>
      <c r="BX266" s="8">
        <v>110.89</v>
      </c>
      <c r="BY266" s="8">
        <v>80.94</v>
      </c>
      <c r="BZ266" s="8">
        <v>88.3</v>
      </c>
      <c r="CA266" s="8">
        <v>88.72</v>
      </c>
      <c r="CB266" s="8">
        <v>102.67</v>
      </c>
      <c r="CC266" s="8">
        <v>79.06</v>
      </c>
      <c r="CD266" s="8">
        <v>62.99</v>
      </c>
      <c r="CE266" s="8">
        <v>60.09</v>
      </c>
      <c r="CF266" s="8">
        <v>65.95</v>
      </c>
      <c r="CG266" s="8">
        <v>63.63</v>
      </c>
      <c r="CH266" s="8">
        <v>59.45</v>
      </c>
      <c r="CI266" s="8">
        <v>91.64</v>
      </c>
      <c r="CJ266" s="8">
        <v>91.19</v>
      </c>
      <c r="CK266" s="8">
        <v>95.19</v>
      </c>
      <c r="CL266" s="8">
        <v>53.2</v>
      </c>
      <c r="CM266" s="8">
        <v>50.78</v>
      </c>
      <c r="CN266" s="8">
        <v>74.31</v>
      </c>
      <c r="CO266" s="8">
        <v>77.459999999999994</v>
      </c>
      <c r="CP266" s="8">
        <v>77.33</v>
      </c>
      <c r="CQ266" s="8">
        <v>90.56</v>
      </c>
      <c r="CR266" s="8">
        <v>70.39</v>
      </c>
      <c r="CS266" s="8">
        <v>78.47</v>
      </c>
      <c r="CT266" s="8">
        <v>69.52</v>
      </c>
      <c r="CU266" s="8">
        <v>66.81</v>
      </c>
      <c r="CV266" s="8">
        <v>83.22</v>
      </c>
      <c r="CW266" s="8">
        <v>83.22</v>
      </c>
      <c r="CX266" s="8">
        <v>124.94</v>
      </c>
      <c r="CY266" s="8">
        <v>124.94</v>
      </c>
      <c r="CZ266" s="8">
        <v>59.18</v>
      </c>
      <c r="DA266" s="8">
        <v>129.28</v>
      </c>
      <c r="DB266" s="8">
        <v>77.150000000000006</v>
      </c>
      <c r="DC266" s="8">
        <v>125.78</v>
      </c>
      <c r="DD266" s="8">
        <v>189.69</v>
      </c>
      <c r="DE266" s="8">
        <v>74.510000000000005</v>
      </c>
      <c r="DF266" s="8">
        <v>74.34</v>
      </c>
      <c r="DG266" s="8">
        <v>101.61</v>
      </c>
      <c r="DH266" s="8">
        <v>64.38</v>
      </c>
      <c r="DI266" s="8">
        <v>63.92</v>
      </c>
      <c r="DJ266" s="8">
        <v>60.43</v>
      </c>
      <c r="DK266" s="8">
        <v>59.68</v>
      </c>
      <c r="DL266" s="8">
        <v>74.41</v>
      </c>
      <c r="DM266" s="8">
        <v>84.35</v>
      </c>
      <c r="DN266" s="8">
        <v>114.32</v>
      </c>
      <c r="DO266" s="8">
        <v>73.36</v>
      </c>
      <c r="DP266" s="8">
        <v>56.78</v>
      </c>
      <c r="DQ266" s="8">
        <v>67.34</v>
      </c>
      <c r="DR266" s="8">
        <v>67.84</v>
      </c>
      <c r="DS266" s="8">
        <v>60.01</v>
      </c>
      <c r="DT266" s="8">
        <v>60.01</v>
      </c>
      <c r="DU266" s="8">
        <v>64.91</v>
      </c>
      <c r="DV266" s="8">
        <v>56.86</v>
      </c>
      <c r="DW266" s="8">
        <v>60.75</v>
      </c>
      <c r="DX266" s="8">
        <v>69.459999999999994</v>
      </c>
      <c r="DY266" s="8">
        <v>52.34</v>
      </c>
      <c r="DZ266" s="8">
        <v>52.34</v>
      </c>
      <c r="EA266" s="8">
        <v>76.36</v>
      </c>
      <c r="EB266" s="8">
        <v>94.06</v>
      </c>
      <c r="EC266" s="8">
        <v>73.989999999999995</v>
      </c>
      <c r="ED266" s="9">
        <v>0.5</v>
      </c>
      <c r="EE266" s="9">
        <v>0.6</v>
      </c>
      <c r="EF266" s="9">
        <v>-2.4</v>
      </c>
      <c r="EG266" s="9">
        <v>-3.1</v>
      </c>
      <c r="EH266" s="9">
        <v>-2.8</v>
      </c>
      <c r="EI266" s="9">
        <v>-2.2000000000000002</v>
      </c>
      <c r="EJ266" s="9">
        <v>0.7</v>
      </c>
      <c r="EK266" s="9">
        <v>0</v>
      </c>
      <c r="EL266" s="9">
        <v>0.4</v>
      </c>
      <c r="EM266" s="9">
        <v>-1.6</v>
      </c>
      <c r="EN266" s="9">
        <v>-0.8</v>
      </c>
      <c r="EO266" s="9">
        <v>0.4</v>
      </c>
      <c r="EP266" s="9">
        <v>1.6</v>
      </c>
      <c r="EQ266" s="9">
        <v>-0.2</v>
      </c>
      <c r="ER266" s="9">
        <v>-0.4</v>
      </c>
      <c r="ES266" s="9">
        <v>-0.2</v>
      </c>
      <c r="ET266" s="9">
        <v>-0.4</v>
      </c>
      <c r="EU266" s="9">
        <v>-0.6</v>
      </c>
      <c r="EV266" s="9">
        <v>4.5999999999999996</v>
      </c>
      <c r="EW266" s="9">
        <v>3.8</v>
      </c>
      <c r="EX266" s="9">
        <v>5.2</v>
      </c>
      <c r="EY266" s="9">
        <v>0.5</v>
      </c>
      <c r="EZ266" s="9">
        <v>0.2</v>
      </c>
      <c r="FA266" s="9">
        <v>-1.1000000000000001</v>
      </c>
      <c r="FB266" s="9">
        <v>-0.6</v>
      </c>
      <c r="FC266" s="9">
        <v>-2</v>
      </c>
      <c r="FD266" s="9">
        <v>3.2</v>
      </c>
      <c r="FE266" s="9">
        <v>-2.6</v>
      </c>
      <c r="FF266" s="9">
        <v>0.1</v>
      </c>
      <c r="FG266" s="9">
        <v>0.9</v>
      </c>
      <c r="FH266" s="9">
        <v>-0.1</v>
      </c>
      <c r="FI266" s="9">
        <v>0.7</v>
      </c>
      <c r="FJ266" s="9">
        <v>0.4</v>
      </c>
      <c r="FK266" s="9">
        <v>1</v>
      </c>
      <c r="FL266" s="9">
        <v>1</v>
      </c>
      <c r="FM266" s="9">
        <v>0.7</v>
      </c>
      <c r="FN266" s="9">
        <v>0.6</v>
      </c>
      <c r="FO266" s="9">
        <v>0.6</v>
      </c>
      <c r="FP266" s="9">
        <v>0.8</v>
      </c>
      <c r="FQ266" s="9">
        <v>1.6</v>
      </c>
      <c r="FR266" s="9">
        <v>1.6</v>
      </c>
      <c r="FS266" s="9">
        <v>1.5</v>
      </c>
      <c r="FT266" s="9">
        <v>2</v>
      </c>
      <c r="FU266" s="9">
        <v>2.4</v>
      </c>
      <c r="FV266" s="9">
        <v>1.9</v>
      </c>
      <c r="FW266" s="9">
        <v>1.5</v>
      </c>
      <c r="FX266" s="9">
        <v>0</v>
      </c>
      <c r="FY266" s="9">
        <v>-0.1</v>
      </c>
      <c r="FZ266" s="9">
        <v>-0.4</v>
      </c>
      <c r="GA266" s="9">
        <v>1.6</v>
      </c>
      <c r="GB266" s="9">
        <v>1.1000000000000001</v>
      </c>
      <c r="GC266" s="9">
        <v>1.2</v>
      </c>
      <c r="GD266" s="9">
        <v>0.6</v>
      </c>
      <c r="GE266" s="9">
        <v>0.4</v>
      </c>
      <c r="GF266" s="9">
        <v>1.1000000000000001</v>
      </c>
      <c r="GG266" s="9">
        <v>1.1000000000000001</v>
      </c>
      <c r="GH266" s="9">
        <v>0.1</v>
      </c>
      <c r="GI266" s="9">
        <v>0.1</v>
      </c>
      <c r="GJ266" s="9">
        <v>0.5</v>
      </c>
      <c r="GK266" s="9">
        <v>0.8</v>
      </c>
      <c r="GL266" s="9">
        <v>0</v>
      </c>
      <c r="GM266" s="9">
        <v>0</v>
      </c>
      <c r="GN266" s="9">
        <v>0</v>
      </c>
      <c r="GO266" s="9">
        <v>-0.8</v>
      </c>
      <c r="GP266" s="9">
        <v>2.2999999999999998</v>
      </c>
      <c r="GQ266" s="9">
        <v>1.5</v>
      </c>
      <c r="GR266" s="9">
        <v>3.7</v>
      </c>
      <c r="GS266" s="9">
        <v>4.5</v>
      </c>
      <c r="GT266" s="9">
        <v>-0.5</v>
      </c>
      <c r="GU266" s="9">
        <v>2.9</v>
      </c>
      <c r="GV266" s="9">
        <v>2.9</v>
      </c>
      <c r="GW266" s="9">
        <v>-0.6</v>
      </c>
      <c r="GX266" s="9">
        <v>-1.1000000000000001</v>
      </c>
      <c r="GY266" s="9">
        <v>-0.7</v>
      </c>
      <c r="GZ266" s="9">
        <v>-0.3</v>
      </c>
      <c r="HA266" s="9">
        <v>-0.3</v>
      </c>
      <c r="HB266" s="9">
        <v>1.1000000000000001</v>
      </c>
      <c r="HC266" s="9">
        <v>4.7</v>
      </c>
      <c r="HD266" s="9">
        <v>2.2000000000000002</v>
      </c>
      <c r="HE266" s="9">
        <v>-0.4</v>
      </c>
      <c r="HF266" s="9">
        <v>1.1000000000000001</v>
      </c>
      <c r="HG266" s="9">
        <v>1</v>
      </c>
      <c r="HH266" s="9">
        <v>0.7</v>
      </c>
      <c r="HI266" s="9">
        <v>1.6</v>
      </c>
      <c r="HJ266" s="9">
        <v>1.5</v>
      </c>
      <c r="HK266" s="9">
        <v>-1.6</v>
      </c>
      <c r="HL266" s="9">
        <v>-1.7</v>
      </c>
      <c r="HM266" s="9">
        <v>-0.5</v>
      </c>
      <c r="HN266" s="9">
        <v>2.5</v>
      </c>
      <c r="HO266" s="9">
        <v>2.9</v>
      </c>
      <c r="HP266" s="9">
        <v>0.6</v>
      </c>
      <c r="HQ266" s="9">
        <v>1</v>
      </c>
      <c r="HR266" s="9">
        <v>1</v>
      </c>
      <c r="HS266" s="9">
        <v>1.2</v>
      </c>
      <c r="HT266" s="9">
        <v>0.3</v>
      </c>
      <c r="HU266" s="9">
        <v>0.7</v>
      </c>
      <c r="HV266" s="9">
        <v>0.3</v>
      </c>
      <c r="HW266" s="9">
        <v>3</v>
      </c>
      <c r="HX266" s="9">
        <v>0</v>
      </c>
      <c r="HY266" s="9">
        <v>0</v>
      </c>
      <c r="HZ266" s="9">
        <v>-0.3</v>
      </c>
      <c r="IA266" s="9">
        <v>-0.3</v>
      </c>
      <c r="IB266" s="9">
        <v>1.8</v>
      </c>
      <c r="IC266" s="9">
        <v>-0.4</v>
      </c>
      <c r="ID266" s="9">
        <v>-1.3</v>
      </c>
      <c r="IE266" s="9">
        <v>-2.4</v>
      </c>
      <c r="IF266" s="9">
        <v>-3.7</v>
      </c>
      <c r="IG266" s="9">
        <v>-0.5</v>
      </c>
      <c r="IH266" s="9">
        <v>0.7</v>
      </c>
      <c r="II266" s="9">
        <v>0.4</v>
      </c>
      <c r="IJ266" s="9">
        <v>0.8</v>
      </c>
      <c r="IK266" s="9">
        <v>-2.2999999999999998</v>
      </c>
      <c r="IL266" s="9">
        <v>-4</v>
      </c>
      <c r="IM266" s="9">
        <v>-0.4</v>
      </c>
      <c r="IN266" s="9">
        <v>0</v>
      </c>
      <c r="IO266" s="9">
        <v>0</v>
      </c>
      <c r="IP266" s="9">
        <v>-1.4</v>
      </c>
      <c r="IQ266" s="9">
        <v>0.6</v>
      </c>
    </row>
    <row r="267" spans="1:251" x14ac:dyDescent="0.2">
      <c r="A267" s="10">
        <v>41153</v>
      </c>
      <c r="B267" s="8">
        <v>70.69</v>
      </c>
      <c r="C267" s="8">
        <v>72.709999999999994</v>
      </c>
      <c r="D267" s="8">
        <v>77.13</v>
      </c>
      <c r="E267" s="8">
        <v>77.42</v>
      </c>
      <c r="F267" s="8">
        <v>73.989999999999995</v>
      </c>
      <c r="G267" s="8">
        <v>83.55</v>
      </c>
      <c r="H267" s="8">
        <v>84.36</v>
      </c>
      <c r="I267" s="8">
        <v>68.81</v>
      </c>
      <c r="J267" s="8">
        <v>56.36</v>
      </c>
      <c r="K267" s="8">
        <v>71</v>
      </c>
      <c r="L267" s="8">
        <v>65.069999999999993</v>
      </c>
      <c r="M267" s="8">
        <v>80.52</v>
      </c>
      <c r="N267" s="8">
        <v>68.069999999999993</v>
      </c>
      <c r="O267" s="8">
        <v>73.09</v>
      </c>
      <c r="P267" s="8">
        <v>76</v>
      </c>
      <c r="Q267" s="8">
        <v>73.290000000000006</v>
      </c>
      <c r="R267" s="8">
        <v>74.760000000000005</v>
      </c>
      <c r="S267" s="8">
        <v>80.31</v>
      </c>
      <c r="T267" s="8">
        <v>76.55</v>
      </c>
      <c r="U267" s="8">
        <v>72.78</v>
      </c>
      <c r="V267" s="8">
        <v>79.27</v>
      </c>
      <c r="W267" s="8">
        <v>75.58</v>
      </c>
      <c r="X267" s="8">
        <v>62.12</v>
      </c>
      <c r="Y267" s="8">
        <v>79.61</v>
      </c>
      <c r="Z267" s="8">
        <v>84.76</v>
      </c>
      <c r="AA267" s="8">
        <v>57.2</v>
      </c>
      <c r="AB267" s="8">
        <v>74.98</v>
      </c>
      <c r="AC267" s="8">
        <v>83.37</v>
      </c>
      <c r="AD267" s="8">
        <v>74.510000000000005</v>
      </c>
      <c r="AE267" s="8">
        <v>77.12</v>
      </c>
      <c r="AF267" s="8">
        <v>73.59</v>
      </c>
      <c r="AG267" s="8">
        <v>69.69</v>
      </c>
      <c r="AH267" s="8">
        <v>71.180000000000007</v>
      </c>
      <c r="AI267" s="8">
        <v>67.8</v>
      </c>
      <c r="AJ267" s="8">
        <v>47.18</v>
      </c>
      <c r="AK267" s="8">
        <v>75.069999999999993</v>
      </c>
      <c r="AL267" s="8">
        <v>69.69</v>
      </c>
      <c r="AM267" s="8">
        <v>91.74</v>
      </c>
      <c r="AN267" s="8">
        <v>66.290000000000006</v>
      </c>
      <c r="AO267" s="8">
        <v>22.55</v>
      </c>
      <c r="AP267" s="8">
        <v>22.55</v>
      </c>
      <c r="AQ267" s="8">
        <v>98.63</v>
      </c>
      <c r="AR267" s="8">
        <v>109.87</v>
      </c>
      <c r="AS267" s="8">
        <v>105.45</v>
      </c>
      <c r="AT267" s="8">
        <v>116.78</v>
      </c>
      <c r="AU267" s="8">
        <v>94.71</v>
      </c>
      <c r="AV267" s="8">
        <v>105.09</v>
      </c>
      <c r="AW267" s="8">
        <v>102.7</v>
      </c>
      <c r="AX267" s="8">
        <v>107.3</v>
      </c>
      <c r="AY267" s="8">
        <v>100.95</v>
      </c>
      <c r="AZ267" s="8">
        <v>71.92</v>
      </c>
      <c r="BA267" s="8">
        <v>73.09</v>
      </c>
      <c r="BB267" s="8">
        <v>64.7</v>
      </c>
      <c r="BC267" s="8">
        <v>65.819999999999993</v>
      </c>
      <c r="BD267" s="8">
        <v>74.930000000000007</v>
      </c>
      <c r="BE267" s="8">
        <v>74.930000000000007</v>
      </c>
      <c r="BF267" s="8">
        <v>58.88</v>
      </c>
      <c r="BG267" s="8">
        <v>58.88</v>
      </c>
      <c r="BH267" s="8">
        <v>62.9</v>
      </c>
      <c r="BI267" s="8">
        <v>67.849999999999994</v>
      </c>
      <c r="BJ267" s="8">
        <v>56.74</v>
      </c>
      <c r="BK267" s="8">
        <v>70.7</v>
      </c>
      <c r="BL267" s="8">
        <v>76.91</v>
      </c>
      <c r="BM267" s="8">
        <v>76.45</v>
      </c>
      <c r="BN267" s="8">
        <v>54.49</v>
      </c>
      <c r="BO267" s="8">
        <v>81.489999999999995</v>
      </c>
      <c r="BP267" s="8">
        <v>82.76</v>
      </c>
      <c r="BQ267" s="8">
        <v>85.11</v>
      </c>
      <c r="BR267" s="8">
        <v>71.540000000000006</v>
      </c>
      <c r="BS267" s="8">
        <v>110.91</v>
      </c>
      <c r="BT267" s="8">
        <v>110.91</v>
      </c>
      <c r="BU267" s="8">
        <v>97.59</v>
      </c>
      <c r="BV267" s="8">
        <v>94.53</v>
      </c>
      <c r="BW267" s="8">
        <v>103.3</v>
      </c>
      <c r="BX267" s="8">
        <v>112.82</v>
      </c>
      <c r="BY267" s="8">
        <v>81.040000000000006</v>
      </c>
      <c r="BZ267" s="8">
        <v>88.62</v>
      </c>
      <c r="CA267" s="8">
        <v>88.6</v>
      </c>
      <c r="CB267" s="8">
        <v>103.02</v>
      </c>
      <c r="CC267" s="8">
        <v>79.44</v>
      </c>
      <c r="CD267" s="8">
        <v>64.03</v>
      </c>
      <c r="CE267" s="8">
        <v>61.32</v>
      </c>
      <c r="CF267" s="8">
        <v>66.73</v>
      </c>
      <c r="CG267" s="8">
        <v>64.760000000000005</v>
      </c>
      <c r="CH267" s="8">
        <v>60.9</v>
      </c>
      <c r="CI267" s="8">
        <v>89.51</v>
      </c>
      <c r="CJ267" s="8">
        <v>88.79</v>
      </c>
      <c r="CK267" s="8">
        <v>95.28</v>
      </c>
      <c r="CL267" s="8">
        <v>55.3</v>
      </c>
      <c r="CM267" s="8">
        <v>53.03</v>
      </c>
      <c r="CN267" s="8">
        <v>75.010000000000005</v>
      </c>
      <c r="CO267" s="8">
        <v>76.86</v>
      </c>
      <c r="CP267" s="8">
        <v>76.63</v>
      </c>
      <c r="CQ267" s="8">
        <v>89.59</v>
      </c>
      <c r="CR267" s="8">
        <v>70.75</v>
      </c>
      <c r="CS267" s="8">
        <v>75.39</v>
      </c>
      <c r="CT267" s="8">
        <v>71.180000000000007</v>
      </c>
      <c r="CU267" s="8">
        <v>68.209999999999994</v>
      </c>
      <c r="CV267" s="8">
        <v>84.1</v>
      </c>
      <c r="CW267" s="8">
        <v>84.1</v>
      </c>
      <c r="CX267" s="8">
        <v>125.56</v>
      </c>
      <c r="CY267" s="8">
        <v>125.56</v>
      </c>
      <c r="CZ267" s="8">
        <v>59.18</v>
      </c>
      <c r="DA267" s="8">
        <v>129.94999999999999</v>
      </c>
      <c r="DB267" s="8">
        <v>77.849999999999994</v>
      </c>
      <c r="DC267" s="8">
        <v>123.89</v>
      </c>
      <c r="DD267" s="8">
        <v>186.89</v>
      </c>
      <c r="DE267" s="8">
        <v>73.37</v>
      </c>
      <c r="DF267" s="8">
        <v>74.69</v>
      </c>
      <c r="DG267" s="8">
        <v>99.51</v>
      </c>
      <c r="DH267" s="8">
        <v>65.62</v>
      </c>
      <c r="DI267" s="8">
        <v>65.45</v>
      </c>
      <c r="DJ267" s="8">
        <v>59.65</v>
      </c>
      <c r="DK267" s="8">
        <v>63.6</v>
      </c>
      <c r="DL267" s="8">
        <v>74.88</v>
      </c>
      <c r="DM267" s="8">
        <v>84.5</v>
      </c>
      <c r="DN267" s="8">
        <v>112.6</v>
      </c>
      <c r="DO267" s="8">
        <v>73.36</v>
      </c>
      <c r="DP267" s="8">
        <v>57.23</v>
      </c>
      <c r="DQ267" s="8">
        <v>68.930000000000007</v>
      </c>
      <c r="DR267" s="8">
        <v>68.489999999999995</v>
      </c>
      <c r="DS267" s="8">
        <v>60.05</v>
      </c>
      <c r="DT267" s="8">
        <v>60.05</v>
      </c>
      <c r="DU267" s="8">
        <v>65.150000000000006</v>
      </c>
      <c r="DV267" s="8">
        <v>56.86</v>
      </c>
      <c r="DW267" s="8">
        <v>60.75</v>
      </c>
      <c r="DX267" s="8">
        <v>69.58</v>
      </c>
      <c r="DY267" s="8">
        <v>53.74</v>
      </c>
      <c r="DZ267" s="8">
        <v>53.74</v>
      </c>
      <c r="EA267" s="8">
        <v>75.73</v>
      </c>
      <c r="EB267" s="8">
        <v>93.66</v>
      </c>
      <c r="EC267" s="8">
        <v>73.3</v>
      </c>
      <c r="ED267" s="9">
        <v>1.4</v>
      </c>
      <c r="EE267" s="9">
        <v>1.9</v>
      </c>
      <c r="EF267" s="9">
        <v>1.3</v>
      </c>
      <c r="EG267" s="9">
        <v>2.9</v>
      </c>
      <c r="EH267" s="9">
        <v>1.1000000000000001</v>
      </c>
      <c r="EI267" s="9">
        <v>-0.9</v>
      </c>
      <c r="EJ267" s="9">
        <v>-0.6</v>
      </c>
      <c r="EK267" s="9">
        <v>0</v>
      </c>
      <c r="EL267" s="9">
        <v>0.4</v>
      </c>
      <c r="EM267" s="9">
        <v>0.3</v>
      </c>
      <c r="EN267" s="9">
        <v>-2.2999999999999998</v>
      </c>
      <c r="EO267" s="9">
        <v>1.7</v>
      </c>
      <c r="EP267" s="9">
        <v>-1.2</v>
      </c>
      <c r="EQ267" s="9">
        <v>0.1</v>
      </c>
      <c r="ER267" s="9">
        <v>1</v>
      </c>
      <c r="ES267" s="9">
        <v>-0.5</v>
      </c>
      <c r="ET267" s="9">
        <v>2.6</v>
      </c>
      <c r="EU267" s="9">
        <v>1.4</v>
      </c>
      <c r="EV267" s="9">
        <v>10.199999999999999</v>
      </c>
      <c r="EW267" s="9">
        <v>9.6999999999999993</v>
      </c>
      <c r="EX267" s="9">
        <v>10.6</v>
      </c>
      <c r="EY267" s="9">
        <v>0.4</v>
      </c>
      <c r="EZ267" s="9">
        <v>0.5</v>
      </c>
      <c r="FA267" s="9">
        <v>-0.4</v>
      </c>
      <c r="FB267" s="9">
        <v>0.3</v>
      </c>
      <c r="FC267" s="9">
        <v>-0.5</v>
      </c>
      <c r="FD267" s="9">
        <v>0.1</v>
      </c>
      <c r="FE267" s="9">
        <v>1.6</v>
      </c>
      <c r="FF267" s="9">
        <v>0.2</v>
      </c>
      <c r="FG267" s="9">
        <v>0.6</v>
      </c>
      <c r="FH267" s="9">
        <v>0</v>
      </c>
      <c r="FI267" s="9">
        <v>0.6</v>
      </c>
      <c r="FJ267" s="9">
        <v>0.3</v>
      </c>
      <c r="FK267" s="9">
        <v>1</v>
      </c>
      <c r="FL267" s="9">
        <v>0.9</v>
      </c>
      <c r="FM267" s="9">
        <v>0.8</v>
      </c>
      <c r="FN267" s="9">
        <v>1.2</v>
      </c>
      <c r="FO267" s="9">
        <v>0.4</v>
      </c>
      <c r="FP267" s="9">
        <v>0.9</v>
      </c>
      <c r="FQ267" s="9">
        <v>1.1000000000000001</v>
      </c>
      <c r="FR267" s="9">
        <v>1.1000000000000001</v>
      </c>
      <c r="FS267" s="9">
        <v>0.1</v>
      </c>
      <c r="FT267" s="9">
        <v>1</v>
      </c>
      <c r="FU267" s="9">
        <v>2.9</v>
      </c>
      <c r="FV267" s="9">
        <v>-0.2</v>
      </c>
      <c r="FW267" s="9">
        <v>2.1</v>
      </c>
      <c r="FX267" s="9">
        <v>0.3</v>
      </c>
      <c r="FY267" s="9">
        <v>1.3</v>
      </c>
      <c r="FZ267" s="9">
        <v>-0.6</v>
      </c>
      <c r="GA267" s="9">
        <v>1.5</v>
      </c>
      <c r="GB267" s="9">
        <v>-2.4</v>
      </c>
      <c r="GC267" s="9">
        <v>-3</v>
      </c>
      <c r="GD267" s="9">
        <v>1.2</v>
      </c>
      <c r="GE267" s="9">
        <v>3.1</v>
      </c>
      <c r="GF267" s="9">
        <v>0.8</v>
      </c>
      <c r="GG267" s="9">
        <v>0.8</v>
      </c>
      <c r="GH267" s="9">
        <v>0.9</v>
      </c>
      <c r="GI267" s="9">
        <v>0.9</v>
      </c>
      <c r="GJ267" s="9">
        <v>2.8</v>
      </c>
      <c r="GK267" s="9">
        <v>0.8</v>
      </c>
      <c r="GL267" s="9">
        <v>5.8</v>
      </c>
      <c r="GM267" s="9">
        <v>12.2</v>
      </c>
      <c r="GN267" s="9">
        <v>3.2</v>
      </c>
      <c r="GO267" s="9">
        <v>15.4</v>
      </c>
      <c r="GP267" s="9">
        <v>14.2</v>
      </c>
      <c r="GQ267" s="9">
        <v>1</v>
      </c>
      <c r="GR267" s="9">
        <v>1.5</v>
      </c>
      <c r="GS267" s="9">
        <v>1.8</v>
      </c>
      <c r="GT267" s="9">
        <v>-0.4</v>
      </c>
      <c r="GU267" s="9">
        <v>0.8</v>
      </c>
      <c r="GV267" s="9">
        <v>0.8</v>
      </c>
      <c r="GW267" s="9">
        <v>0.8</v>
      </c>
      <c r="GX267" s="9">
        <v>0.7</v>
      </c>
      <c r="GY267" s="9">
        <v>0.1</v>
      </c>
      <c r="GZ267" s="9">
        <v>1.7</v>
      </c>
      <c r="HA267" s="9">
        <v>0.1</v>
      </c>
      <c r="HB267" s="9">
        <v>0.4</v>
      </c>
      <c r="HC267" s="9">
        <v>-0.1</v>
      </c>
      <c r="HD267" s="9">
        <v>0.3</v>
      </c>
      <c r="HE267" s="9">
        <v>0.5</v>
      </c>
      <c r="HF267" s="9">
        <v>1.7</v>
      </c>
      <c r="HG267" s="9">
        <v>2</v>
      </c>
      <c r="HH267" s="9">
        <v>1.2</v>
      </c>
      <c r="HI267" s="9">
        <v>1.8</v>
      </c>
      <c r="HJ267" s="9">
        <v>2.4</v>
      </c>
      <c r="HK267" s="9">
        <v>-2.2999999999999998</v>
      </c>
      <c r="HL267" s="9">
        <v>-2.6</v>
      </c>
      <c r="HM267" s="9">
        <v>0.1</v>
      </c>
      <c r="HN267" s="9">
        <v>3.9</v>
      </c>
      <c r="HO267" s="9">
        <v>4.4000000000000004</v>
      </c>
      <c r="HP267" s="9">
        <v>0.9</v>
      </c>
      <c r="HQ267" s="9">
        <v>-0.8</v>
      </c>
      <c r="HR267" s="9">
        <v>-0.9</v>
      </c>
      <c r="HS267" s="9">
        <v>-1.1000000000000001</v>
      </c>
      <c r="HT267" s="9">
        <v>0.5</v>
      </c>
      <c r="HU267" s="9">
        <v>-3.9</v>
      </c>
      <c r="HV267" s="9">
        <v>2.4</v>
      </c>
      <c r="HW267" s="9">
        <v>2.1</v>
      </c>
      <c r="HX267" s="9">
        <v>1.1000000000000001</v>
      </c>
      <c r="HY267" s="9">
        <v>1.1000000000000001</v>
      </c>
      <c r="HZ267" s="9">
        <v>0.5</v>
      </c>
      <c r="IA267" s="9">
        <v>0.5</v>
      </c>
      <c r="IB267" s="9">
        <v>0</v>
      </c>
      <c r="IC267" s="9">
        <v>0.5</v>
      </c>
      <c r="ID267" s="9">
        <v>0.9</v>
      </c>
      <c r="IE267" s="9">
        <v>-1.5</v>
      </c>
      <c r="IF267" s="9">
        <v>-1.5</v>
      </c>
      <c r="IG267" s="9">
        <v>-1.5</v>
      </c>
      <c r="IH267" s="9">
        <v>0.5</v>
      </c>
      <c r="II267" s="9">
        <v>-2.1</v>
      </c>
      <c r="IJ267" s="9">
        <v>1.9</v>
      </c>
      <c r="IK267" s="9">
        <v>2.4</v>
      </c>
      <c r="IL267" s="9">
        <v>-1.3</v>
      </c>
      <c r="IM267" s="9">
        <v>6.6</v>
      </c>
      <c r="IN267" s="9">
        <v>0.6</v>
      </c>
      <c r="IO267" s="9">
        <v>0.2</v>
      </c>
      <c r="IP267" s="9">
        <v>-1.5</v>
      </c>
      <c r="IQ267" s="9">
        <v>0</v>
      </c>
    </row>
    <row r="268" spans="1:251" x14ac:dyDescent="0.2">
      <c r="A268" s="10">
        <v>41244</v>
      </c>
      <c r="B268" s="8">
        <v>70.87</v>
      </c>
      <c r="C268" s="8">
        <v>72.599999999999994</v>
      </c>
      <c r="D268" s="8">
        <v>78.02</v>
      </c>
      <c r="E268" s="8">
        <v>77.17</v>
      </c>
      <c r="F268" s="8">
        <v>75.260000000000005</v>
      </c>
      <c r="G268" s="8">
        <v>86.56</v>
      </c>
      <c r="H268" s="8">
        <v>85.35</v>
      </c>
      <c r="I268" s="8">
        <v>69.069999999999993</v>
      </c>
      <c r="J268" s="8">
        <v>56.16</v>
      </c>
      <c r="K268" s="8">
        <v>71.489999999999995</v>
      </c>
      <c r="L268" s="8">
        <v>58.47</v>
      </c>
      <c r="M268" s="8">
        <v>85.33</v>
      </c>
      <c r="N268" s="8">
        <v>67.78</v>
      </c>
      <c r="O268" s="8">
        <v>74.09</v>
      </c>
      <c r="P268" s="8">
        <v>74.849999999999994</v>
      </c>
      <c r="Q268" s="8">
        <v>72.989999999999995</v>
      </c>
      <c r="R268" s="8">
        <v>73</v>
      </c>
      <c r="S268" s="8">
        <v>78.709999999999994</v>
      </c>
      <c r="T268" s="8">
        <v>74.63</v>
      </c>
      <c r="U268" s="8">
        <v>73.98</v>
      </c>
      <c r="V268" s="8">
        <v>74.790000000000006</v>
      </c>
      <c r="W268" s="8">
        <v>75.59</v>
      </c>
      <c r="X268" s="8">
        <v>63.41</v>
      </c>
      <c r="Y268" s="8">
        <v>81.599999999999994</v>
      </c>
      <c r="Z268" s="8">
        <v>82.37</v>
      </c>
      <c r="AA268" s="8">
        <v>57.51</v>
      </c>
      <c r="AB268" s="8">
        <v>75.13</v>
      </c>
      <c r="AC268" s="8">
        <v>83.42</v>
      </c>
      <c r="AD268" s="8">
        <v>74.77</v>
      </c>
      <c r="AE268" s="8">
        <v>77.67</v>
      </c>
      <c r="AF268" s="8">
        <v>73.77</v>
      </c>
      <c r="AG268" s="8">
        <v>69.98</v>
      </c>
      <c r="AH268" s="8">
        <v>71.430000000000007</v>
      </c>
      <c r="AI268" s="8">
        <v>68.13</v>
      </c>
      <c r="AJ268" s="8">
        <v>47.28</v>
      </c>
      <c r="AK268" s="8">
        <v>74.95</v>
      </c>
      <c r="AL268" s="8">
        <v>69.61</v>
      </c>
      <c r="AM268" s="8">
        <v>91.99</v>
      </c>
      <c r="AN268" s="8">
        <v>65.97</v>
      </c>
      <c r="AO268" s="8">
        <v>22.75</v>
      </c>
      <c r="AP268" s="8">
        <v>22.75</v>
      </c>
      <c r="AQ268" s="8">
        <v>99.48</v>
      </c>
      <c r="AR268" s="8">
        <v>108.98</v>
      </c>
      <c r="AS268" s="8">
        <v>106.57</v>
      </c>
      <c r="AT268" s="8">
        <v>114.66</v>
      </c>
      <c r="AU268" s="8">
        <v>94.19</v>
      </c>
      <c r="AV268" s="8">
        <v>105.91</v>
      </c>
      <c r="AW268" s="8">
        <v>101.97</v>
      </c>
      <c r="AX268" s="8">
        <v>109.56</v>
      </c>
      <c r="AY268" s="8">
        <v>99.6</v>
      </c>
      <c r="AZ268" s="8">
        <v>76.11</v>
      </c>
      <c r="BA268" s="8">
        <v>77.97</v>
      </c>
      <c r="BB268" s="8">
        <v>65.25</v>
      </c>
      <c r="BC268" s="8">
        <v>65.989999999999995</v>
      </c>
      <c r="BD268" s="8">
        <v>75.5</v>
      </c>
      <c r="BE268" s="8">
        <v>75.5</v>
      </c>
      <c r="BF268" s="8">
        <v>58.94</v>
      </c>
      <c r="BG268" s="8">
        <v>58.94</v>
      </c>
      <c r="BH268" s="8">
        <v>63.09</v>
      </c>
      <c r="BI268" s="8">
        <v>68.19</v>
      </c>
      <c r="BJ268" s="8">
        <v>56.74</v>
      </c>
      <c r="BK268" s="8">
        <v>70.5</v>
      </c>
      <c r="BL268" s="8">
        <v>76.91</v>
      </c>
      <c r="BM268" s="8">
        <v>76.349999999999994</v>
      </c>
      <c r="BN268" s="8">
        <v>53.91</v>
      </c>
      <c r="BO268" s="8">
        <v>81.02</v>
      </c>
      <c r="BP268" s="8">
        <v>81.69</v>
      </c>
      <c r="BQ268" s="8">
        <v>83.76</v>
      </c>
      <c r="BR268" s="8">
        <v>71.78</v>
      </c>
      <c r="BS268" s="8">
        <v>109.61</v>
      </c>
      <c r="BT268" s="8">
        <v>109.61</v>
      </c>
      <c r="BU268" s="8">
        <v>95.46</v>
      </c>
      <c r="BV268" s="8">
        <v>91.81</v>
      </c>
      <c r="BW268" s="8">
        <v>101.45</v>
      </c>
      <c r="BX268" s="8">
        <v>109.67</v>
      </c>
      <c r="BY268" s="8">
        <v>80.84</v>
      </c>
      <c r="BZ268" s="8">
        <v>88.14</v>
      </c>
      <c r="CA268" s="8">
        <v>88.69</v>
      </c>
      <c r="CB268" s="8">
        <v>101.76</v>
      </c>
      <c r="CC268" s="8">
        <v>79.319999999999993</v>
      </c>
      <c r="CD268" s="8">
        <v>64.66</v>
      </c>
      <c r="CE268" s="8">
        <v>62.1</v>
      </c>
      <c r="CF268" s="8">
        <v>67.08</v>
      </c>
      <c r="CG268" s="8">
        <v>65.59</v>
      </c>
      <c r="CH268" s="8">
        <v>60.37</v>
      </c>
      <c r="CI268" s="8">
        <v>86.8</v>
      </c>
      <c r="CJ268" s="8">
        <v>85.74</v>
      </c>
      <c r="CK268" s="8">
        <v>95.33</v>
      </c>
      <c r="CL268" s="8">
        <v>55.18</v>
      </c>
      <c r="CM268" s="8">
        <v>52.88</v>
      </c>
      <c r="CN268" s="8">
        <v>75.150000000000006</v>
      </c>
      <c r="CO268" s="8">
        <v>77.41</v>
      </c>
      <c r="CP268" s="8">
        <v>77.22</v>
      </c>
      <c r="CQ268" s="8">
        <v>88.84</v>
      </c>
      <c r="CR268" s="8">
        <v>71.05</v>
      </c>
      <c r="CS268" s="8">
        <v>77.33</v>
      </c>
      <c r="CT268" s="8">
        <v>71.39</v>
      </c>
      <c r="CU268" s="8">
        <v>68.73</v>
      </c>
      <c r="CV268" s="8">
        <v>84.16</v>
      </c>
      <c r="CW268" s="8">
        <v>84.16</v>
      </c>
      <c r="CX268" s="8">
        <v>127.14</v>
      </c>
      <c r="CY268" s="8">
        <v>127.14</v>
      </c>
      <c r="CZ268" s="8">
        <v>59.54</v>
      </c>
      <c r="DA268" s="8">
        <v>131.63</v>
      </c>
      <c r="DB268" s="8">
        <v>78.39</v>
      </c>
      <c r="DC268" s="8">
        <v>121.08</v>
      </c>
      <c r="DD268" s="8">
        <v>178.86</v>
      </c>
      <c r="DE268" s="8">
        <v>73.7</v>
      </c>
      <c r="DF268" s="8">
        <v>75.08</v>
      </c>
      <c r="DG268" s="8">
        <v>99.76</v>
      </c>
      <c r="DH268" s="8">
        <v>66.06</v>
      </c>
      <c r="DI268" s="8">
        <v>67.17</v>
      </c>
      <c r="DJ268" s="8">
        <v>63.34</v>
      </c>
      <c r="DK268" s="8">
        <v>62.91</v>
      </c>
      <c r="DL268" s="8">
        <v>74.930000000000007</v>
      </c>
      <c r="DM268" s="8">
        <v>82.92</v>
      </c>
      <c r="DN268" s="8">
        <v>111.76</v>
      </c>
      <c r="DO268" s="8">
        <v>74.5</v>
      </c>
      <c r="DP268" s="8">
        <v>57.67</v>
      </c>
      <c r="DQ268" s="8">
        <v>69.349999999999994</v>
      </c>
      <c r="DR268" s="8">
        <v>68.72</v>
      </c>
      <c r="DS268" s="8">
        <v>60.06</v>
      </c>
      <c r="DT268" s="8">
        <v>60.06</v>
      </c>
      <c r="DU268" s="8">
        <v>65.209999999999994</v>
      </c>
      <c r="DV268" s="8">
        <v>56.86</v>
      </c>
      <c r="DW268" s="8">
        <v>60.75</v>
      </c>
      <c r="DX268" s="8">
        <v>70.63</v>
      </c>
      <c r="DY268" s="8">
        <v>55.28</v>
      </c>
      <c r="DZ268" s="8">
        <v>55.28</v>
      </c>
      <c r="EA268" s="8">
        <v>76.45</v>
      </c>
      <c r="EB268" s="8">
        <v>93.94</v>
      </c>
      <c r="EC268" s="8">
        <v>74.12</v>
      </c>
      <c r="ED268" s="9">
        <v>0.3</v>
      </c>
      <c r="EE268" s="9">
        <v>-0.2</v>
      </c>
      <c r="EF268" s="9">
        <v>1.2</v>
      </c>
      <c r="EG268" s="9">
        <v>-0.3</v>
      </c>
      <c r="EH268" s="9">
        <v>1.7</v>
      </c>
      <c r="EI268" s="9">
        <v>3.6</v>
      </c>
      <c r="EJ268" s="9">
        <v>1.2</v>
      </c>
      <c r="EK268" s="9">
        <v>0.4</v>
      </c>
      <c r="EL268" s="9">
        <v>-0.4</v>
      </c>
      <c r="EM268" s="9">
        <v>0.7</v>
      </c>
      <c r="EN268" s="9">
        <v>-10.1</v>
      </c>
      <c r="EO268" s="9">
        <v>6</v>
      </c>
      <c r="EP268" s="9">
        <v>-0.4</v>
      </c>
      <c r="EQ268" s="9">
        <v>1.4</v>
      </c>
      <c r="ER268" s="9">
        <v>-1.5</v>
      </c>
      <c r="ES268" s="9">
        <v>-0.4</v>
      </c>
      <c r="ET268" s="9">
        <v>-2.4</v>
      </c>
      <c r="EU268" s="9">
        <v>-2</v>
      </c>
      <c r="EV268" s="9">
        <v>-2.5</v>
      </c>
      <c r="EW268" s="9">
        <v>1.6</v>
      </c>
      <c r="EX268" s="9">
        <v>-5.7</v>
      </c>
      <c r="EY268" s="9">
        <v>0</v>
      </c>
      <c r="EZ268" s="9">
        <v>2.1</v>
      </c>
      <c r="FA268" s="9">
        <v>2.5</v>
      </c>
      <c r="FB268" s="9">
        <v>-2.8</v>
      </c>
      <c r="FC268" s="9">
        <v>0.5</v>
      </c>
      <c r="FD268" s="9">
        <v>0.2</v>
      </c>
      <c r="FE268" s="9">
        <v>0.1</v>
      </c>
      <c r="FF268" s="9">
        <v>0.3</v>
      </c>
      <c r="FG268" s="9">
        <v>0.7</v>
      </c>
      <c r="FH268" s="9">
        <v>0.2</v>
      </c>
      <c r="FI268" s="9">
        <v>0.4</v>
      </c>
      <c r="FJ268" s="9">
        <v>0.4</v>
      </c>
      <c r="FK268" s="9">
        <v>0.5</v>
      </c>
      <c r="FL268" s="9">
        <v>0.2</v>
      </c>
      <c r="FM268" s="9">
        <v>-0.2</v>
      </c>
      <c r="FN268" s="9">
        <v>-0.1</v>
      </c>
      <c r="FO268" s="9">
        <v>0.3</v>
      </c>
      <c r="FP268" s="9">
        <v>-0.5</v>
      </c>
      <c r="FQ268" s="9">
        <v>0.9</v>
      </c>
      <c r="FR268" s="9">
        <v>0.9</v>
      </c>
      <c r="FS268" s="9">
        <v>0.9</v>
      </c>
      <c r="FT268" s="9">
        <v>-0.8</v>
      </c>
      <c r="FU268" s="9">
        <v>1.1000000000000001</v>
      </c>
      <c r="FV268" s="9">
        <v>-1.8</v>
      </c>
      <c r="FW268" s="9">
        <v>-0.5</v>
      </c>
      <c r="FX268" s="9">
        <v>0.8</v>
      </c>
      <c r="FY268" s="9">
        <v>-0.7</v>
      </c>
      <c r="FZ268" s="9">
        <v>2.1</v>
      </c>
      <c r="GA268" s="9">
        <v>-1.3</v>
      </c>
      <c r="GB268" s="9">
        <v>5.8</v>
      </c>
      <c r="GC268" s="9">
        <v>6.7</v>
      </c>
      <c r="GD268" s="9">
        <v>0.9</v>
      </c>
      <c r="GE268" s="9">
        <v>0.3</v>
      </c>
      <c r="GF268" s="9">
        <v>0.8</v>
      </c>
      <c r="GG268" s="9">
        <v>0.8</v>
      </c>
      <c r="GH268" s="9">
        <v>0.1</v>
      </c>
      <c r="GI268" s="9">
        <v>0.1</v>
      </c>
      <c r="GJ268" s="9">
        <v>0.3</v>
      </c>
      <c r="GK268" s="9">
        <v>0.5</v>
      </c>
      <c r="GL268" s="9">
        <v>0</v>
      </c>
      <c r="GM268" s="9">
        <v>-0.3</v>
      </c>
      <c r="GN268" s="9">
        <v>0</v>
      </c>
      <c r="GO268" s="9">
        <v>-0.1</v>
      </c>
      <c r="GP268" s="9">
        <v>-1.1000000000000001</v>
      </c>
      <c r="GQ268" s="9">
        <v>-0.6</v>
      </c>
      <c r="GR268" s="9">
        <v>-1.3</v>
      </c>
      <c r="GS268" s="9">
        <v>-1.6</v>
      </c>
      <c r="GT268" s="9">
        <v>0.3</v>
      </c>
      <c r="GU268" s="9">
        <v>-1.2</v>
      </c>
      <c r="GV268" s="9">
        <v>-1.2</v>
      </c>
      <c r="GW268" s="9">
        <v>-2.2000000000000002</v>
      </c>
      <c r="GX268" s="9">
        <v>-2.9</v>
      </c>
      <c r="GY268" s="9">
        <v>-1.8</v>
      </c>
      <c r="GZ268" s="9">
        <v>-2.8</v>
      </c>
      <c r="HA268" s="9">
        <v>-0.2</v>
      </c>
      <c r="HB268" s="9">
        <v>-0.5</v>
      </c>
      <c r="HC268" s="9">
        <v>0.1</v>
      </c>
      <c r="HD268" s="9">
        <v>-1.2</v>
      </c>
      <c r="HE268" s="9">
        <v>-0.2</v>
      </c>
      <c r="HF268" s="9">
        <v>1</v>
      </c>
      <c r="HG268" s="9">
        <v>1.3</v>
      </c>
      <c r="HH268" s="9">
        <v>0.5</v>
      </c>
      <c r="HI268" s="9">
        <v>1.3</v>
      </c>
      <c r="HJ268" s="9">
        <v>-0.9</v>
      </c>
      <c r="HK268" s="9">
        <v>-3</v>
      </c>
      <c r="HL268" s="9">
        <v>-3.4</v>
      </c>
      <c r="HM268" s="9">
        <v>0.1</v>
      </c>
      <c r="HN268" s="9">
        <v>-0.2</v>
      </c>
      <c r="HO268" s="9">
        <v>-0.3</v>
      </c>
      <c r="HP268" s="9">
        <v>0.2</v>
      </c>
      <c r="HQ268" s="9">
        <v>0.7</v>
      </c>
      <c r="HR268" s="9">
        <v>0.8</v>
      </c>
      <c r="HS268" s="9">
        <v>-0.8</v>
      </c>
      <c r="HT268" s="9">
        <v>0.4</v>
      </c>
      <c r="HU268" s="9">
        <v>2.6</v>
      </c>
      <c r="HV268" s="9">
        <v>0.3</v>
      </c>
      <c r="HW268" s="9">
        <v>0.8</v>
      </c>
      <c r="HX268" s="9">
        <v>0.1</v>
      </c>
      <c r="HY268" s="9">
        <v>0.1</v>
      </c>
      <c r="HZ268" s="9">
        <v>1.3</v>
      </c>
      <c r="IA268" s="9">
        <v>1.3</v>
      </c>
      <c r="IB268" s="9">
        <v>0.6</v>
      </c>
      <c r="IC268" s="9">
        <v>1.3</v>
      </c>
      <c r="ID268" s="9">
        <v>0.7</v>
      </c>
      <c r="IE268" s="9">
        <v>-2.2999999999999998</v>
      </c>
      <c r="IF268" s="9">
        <v>-4.3</v>
      </c>
      <c r="IG268" s="9">
        <v>0.4</v>
      </c>
      <c r="IH268" s="9">
        <v>0.5</v>
      </c>
      <c r="II268" s="9">
        <v>0.3</v>
      </c>
      <c r="IJ268" s="9">
        <v>0.7</v>
      </c>
      <c r="IK268" s="9">
        <v>2.6</v>
      </c>
      <c r="IL268" s="9">
        <v>6.2</v>
      </c>
      <c r="IM268" s="9">
        <v>-1.1000000000000001</v>
      </c>
      <c r="IN268" s="9">
        <v>0.1</v>
      </c>
      <c r="IO268" s="9">
        <v>-1.9</v>
      </c>
      <c r="IP268" s="9">
        <v>-0.7</v>
      </c>
      <c r="IQ268" s="9">
        <v>1.6</v>
      </c>
    </row>
    <row r="269" spans="1:251" x14ac:dyDescent="0.2">
      <c r="A269" s="10">
        <v>41334</v>
      </c>
      <c r="B269" s="8">
        <v>71.11</v>
      </c>
      <c r="C269" s="8">
        <v>72.03</v>
      </c>
      <c r="D269" s="8">
        <v>77.83</v>
      </c>
      <c r="E269" s="8">
        <v>76.930000000000007</v>
      </c>
      <c r="F269" s="8">
        <v>75</v>
      </c>
      <c r="G269" s="8">
        <v>86.4</v>
      </c>
      <c r="H269" s="8">
        <v>85.57</v>
      </c>
      <c r="I269" s="8">
        <v>68.89</v>
      </c>
      <c r="J269" s="8">
        <v>56.09</v>
      </c>
      <c r="K269" s="8">
        <v>72.069999999999993</v>
      </c>
      <c r="L269" s="8">
        <v>59.09</v>
      </c>
      <c r="M269" s="8">
        <v>85.45</v>
      </c>
      <c r="N269" s="8">
        <v>66.75</v>
      </c>
      <c r="O269" s="8">
        <v>73.13</v>
      </c>
      <c r="P269" s="8">
        <v>74.040000000000006</v>
      </c>
      <c r="Q269" s="8">
        <v>71.900000000000006</v>
      </c>
      <c r="R269" s="8">
        <v>72.42</v>
      </c>
      <c r="S269" s="8">
        <v>78.02</v>
      </c>
      <c r="T269" s="8">
        <v>70.62</v>
      </c>
      <c r="U269" s="8">
        <v>68.78</v>
      </c>
      <c r="V269" s="8">
        <v>71.78</v>
      </c>
      <c r="W269" s="8">
        <v>75.459999999999994</v>
      </c>
      <c r="X269" s="8">
        <v>63.31</v>
      </c>
      <c r="Y269" s="8">
        <v>80.739999999999995</v>
      </c>
      <c r="Z269" s="8">
        <v>82.52</v>
      </c>
      <c r="AA269" s="8">
        <v>57.1</v>
      </c>
      <c r="AB269" s="8">
        <v>74.959999999999994</v>
      </c>
      <c r="AC269" s="8">
        <v>83.59</v>
      </c>
      <c r="AD269" s="8">
        <v>74.95</v>
      </c>
      <c r="AE269" s="8">
        <v>77.64</v>
      </c>
      <c r="AF269" s="8">
        <v>74.010000000000005</v>
      </c>
      <c r="AG269" s="8">
        <v>70.3</v>
      </c>
      <c r="AH269" s="8">
        <v>71.66</v>
      </c>
      <c r="AI269" s="8">
        <v>68.540000000000006</v>
      </c>
      <c r="AJ269" s="8">
        <v>48.03</v>
      </c>
      <c r="AK269" s="8">
        <v>75.319999999999993</v>
      </c>
      <c r="AL269" s="8">
        <v>70.2</v>
      </c>
      <c r="AM269" s="8">
        <v>93.02</v>
      </c>
      <c r="AN269" s="8">
        <v>65.89</v>
      </c>
      <c r="AO269" s="8">
        <v>23.6</v>
      </c>
      <c r="AP269" s="8">
        <v>23.6</v>
      </c>
      <c r="AQ269" s="8">
        <v>95.63</v>
      </c>
      <c r="AR269" s="8">
        <v>105.42</v>
      </c>
      <c r="AS269" s="8">
        <v>100.72</v>
      </c>
      <c r="AT269" s="8">
        <v>113.1</v>
      </c>
      <c r="AU269" s="8">
        <v>87.85</v>
      </c>
      <c r="AV269" s="8">
        <v>99.21</v>
      </c>
      <c r="AW269" s="8">
        <v>94.9</v>
      </c>
      <c r="AX269" s="8">
        <v>102.15</v>
      </c>
      <c r="AY269" s="8">
        <v>95.23</v>
      </c>
      <c r="AZ269" s="8">
        <v>73.19</v>
      </c>
      <c r="BA269" s="8">
        <v>74.459999999999994</v>
      </c>
      <c r="BB269" s="8">
        <v>65.459999999999994</v>
      </c>
      <c r="BC269" s="8">
        <v>66.77</v>
      </c>
      <c r="BD269" s="8">
        <v>76.099999999999994</v>
      </c>
      <c r="BE269" s="8">
        <v>76.099999999999994</v>
      </c>
      <c r="BF269" s="8">
        <v>59.94</v>
      </c>
      <c r="BG269" s="8">
        <v>59.94</v>
      </c>
      <c r="BH269" s="8">
        <v>63.34</v>
      </c>
      <c r="BI269" s="8">
        <v>68.650000000000006</v>
      </c>
      <c r="BJ269" s="8">
        <v>56.74</v>
      </c>
      <c r="BK269" s="8">
        <v>71.52</v>
      </c>
      <c r="BL269" s="8">
        <v>76.400000000000006</v>
      </c>
      <c r="BM269" s="8">
        <v>78.209999999999994</v>
      </c>
      <c r="BN269" s="8">
        <v>54.45</v>
      </c>
      <c r="BO269" s="8">
        <v>79.95</v>
      </c>
      <c r="BP269" s="8">
        <v>76.900000000000006</v>
      </c>
      <c r="BQ269" s="8">
        <v>78.099999999999994</v>
      </c>
      <c r="BR269" s="8">
        <v>71.290000000000006</v>
      </c>
      <c r="BS269" s="8">
        <v>102.3</v>
      </c>
      <c r="BT269" s="8">
        <v>102.3</v>
      </c>
      <c r="BU269" s="8">
        <v>93.14</v>
      </c>
      <c r="BV269" s="8">
        <v>90.18</v>
      </c>
      <c r="BW269" s="8">
        <v>99.09</v>
      </c>
      <c r="BX269" s="8">
        <v>104.54</v>
      </c>
      <c r="BY269" s="8">
        <v>80.760000000000005</v>
      </c>
      <c r="BZ269" s="8">
        <v>88.85</v>
      </c>
      <c r="CA269" s="8">
        <v>88.87</v>
      </c>
      <c r="CB269" s="8">
        <v>101.22</v>
      </c>
      <c r="CC269" s="8">
        <v>80.849999999999994</v>
      </c>
      <c r="CD269" s="8">
        <v>65.709999999999994</v>
      </c>
      <c r="CE269" s="8">
        <v>64.16</v>
      </c>
      <c r="CF269" s="8">
        <v>67.3</v>
      </c>
      <c r="CG269" s="8">
        <v>66.569999999999993</v>
      </c>
      <c r="CH269" s="8">
        <v>62.17</v>
      </c>
      <c r="CI269" s="8">
        <v>92.57</v>
      </c>
      <c r="CJ269" s="8">
        <v>92.2</v>
      </c>
      <c r="CK269" s="8">
        <v>95.45</v>
      </c>
      <c r="CL269" s="8">
        <v>56.23</v>
      </c>
      <c r="CM269" s="8">
        <v>53.98</v>
      </c>
      <c r="CN269" s="8">
        <v>75.819999999999993</v>
      </c>
      <c r="CO269" s="8">
        <v>77.790000000000006</v>
      </c>
      <c r="CP269" s="8">
        <v>77.45</v>
      </c>
      <c r="CQ269" s="8">
        <v>87.6</v>
      </c>
      <c r="CR269" s="8">
        <v>70.790000000000006</v>
      </c>
      <c r="CS269" s="8">
        <v>78.239999999999995</v>
      </c>
      <c r="CT269" s="8">
        <v>72.17</v>
      </c>
      <c r="CU269" s="8">
        <v>69.56</v>
      </c>
      <c r="CV269" s="8">
        <v>86.89</v>
      </c>
      <c r="CW269" s="8">
        <v>86.89</v>
      </c>
      <c r="CX269" s="8">
        <v>127.14</v>
      </c>
      <c r="CY269" s="8">
        <v>127.14</v>
      </c>
      <c r="CZ269" s="8">
        <v>59.72</v>
      </c>
      <c r="DA269" s="8">
        <v>131.6</v>
      </c>
      <c r="DB269" s="8">
        <v>77.73</v>
      </c>
      <c r="DC269" s="8">
        <v>117.96</v>
      </c>
      <c r="DD269" s="8">
        <v>170.52</v>
      </c>
      <c r="DE269" s="8">
        <v>73.790000000000006</v>
      </c>
      <c r="DF269" s="8">
        <v>75.599999999999994</v>
      </c>
      <c r="DG269" s="8">
        <v>99.75</v>
      </c>
      <c r="DH269" s="8">
        <v>66.77</v>
      </c>
      <c r="DI269" s="8">
        <v>65.959999999999994</v>
      </c>
      <c r="DJ269" s="8">
        <v>64.12</v>
      </c>
      <c r="DK269" s="8">
        <v>59.62</v>
      </c>
      <c r="DL269" s="8">
        <v>75.55</v>
      </c>
      <c r="DM269" s="8">
        <v>83.23</v>
      </c>
      <c r="DN269" s="8">
        <v>111.12</v>
      </c>
      <c r="DO269" s="8">
        <v>73.94</v>
      </c>
      <c r="DP269" s="8">
        <v>58.11</v>
      </c>
      <c r="DQ269" s="8">
        <v>70</v>
      </c>
      <c r="DR269" s="8">
        <v>70.41</v>
      </c>
      <c r="DS269" s="8">
        <v>63.5</v>
      </c>
      <c r="DT269" s="8">
        <v>63.5</v>
      </c>
      <c r="DU269" s="8">
        <v>68.13</v>
      </c>
      <c r="DV269" s="8">
        <v>59.92</v>
      </c>
      <c r="DW269" s="8">
        <v>64.72</v>
      </c>
      <c r="DX269" s="8">
        <v>71.05</v>
      </c>
      <c r="DY269" s="8">
        <v>56.34</v>
      </c>
      <c r="DZ269" s="8">
        <v>56.34</v>
      </c>
      <c r="EA269" s="8">
        <v>76.47</v>
      </c>
      <c r="EB269" s="8">
        <v>93.8</v>
      </c>
      <c r="EC269" s="8">
        <v>74.180000000000007</v>
      </c>
      <c r="ED269" s="9">
        <v>0.3</v>
      </c>
      <c r="EE269" s="9">
        <v>-0.8</v>
      </c>
      <c r="EF269" s="9">
        <v>-0.2</v>
      </c>
      <c r="EG269" s="9">
        <v>-0.3</v>
      </c>
      <c r="EH269" s="9">
        <v>-0.3</v>
      </c>
      <c r="EI269" s="9">
        <v>-0.2</v>
      </c>
      <c r="EJ269" s="9">
        <v>0.3</v>
      </c>
      <c r="EK269" s="9">
        <v>-0.3</v>
      </c>
      <c r="EL269" s="9">
        <v>-0.1</v>
      </c>
      <c r="EM269" s="9">
        <v>0.8</v>
      </c>
      <c r="EN269" s="9">
        <v>1.1000000000000001</v>
      </c>
      <c r="EO269" s="9">
        <v>0.1</v>
      </c>
      <c r="EP269" s="9">
        <v>-1.5</v>
      </c>
      <c r="EQ269" s="9">
        <v>-1.3</v>
      </c>
      <c r="ER269" s="9">
        <v>-1.1000000000000001</v>
      </c>
      <c r="ES269" s="9">
        <v>-1.5</v>
      </c>
      <c r="ET269" s="9">
        <v>-0.8</v>
      </c>
      <c r="EU269" s="9">
        <v>-0.9</v>
      </c>
      <c r="EV269" s="9">
        <v>-5.4</v>
      </c>
      <c r="EW269" s="9">
        <v>-7</v>
      </c>
      <c r="EX269" s="9">
        <v>-4</v>
      </c>
      <c r="EY269" s="9">
        <v>-0.2</v>
      </c>
      <c r="EZ269" s="9">
        <v>-0.2</v>
      </c>
      <c r="FA269" s="9">
        <v>-1.1000000000000001</v>
      </c>
      <c r="FB269" s="9">
        <v>0.2</v>
      </c>
      <c r="FC269" s="9">
        <v>-0.7</v>
      </c>
      <c r="FD269" s="9">
        <v>-0.2</v>
      </c>
      <c r="FE269" s="9">
        <v>0.2</v>
      </c>
      <c r="FF269" s="9">
        <v>0.2</v>
      </c>
      <c r="FG269" s="9">
        <v>0</v>
      </c>
      <c r="FH269" s="9">
        <v>0.3</v>
      </c>
      <c r="FI269" s="9">
        <v>0.5</v>
      </c>
      <c r="FJ269" s="9">
        <v>0.3</v>
      </c>
      <c r="FK269" s="9">
        <v>0.6</v>
      </c>
      <c r="FL269" s="9">
        <v>1.6</v>
      </c>
      <c r="FM269" s="9">
        <v>0.5</v>
      </c>
      <c r="FN269" s="9">
        <v>0.8</v>
      </c>
      <c r="FO269" s="9">
        <v>1.1000000000000001</v>
      </c>
      <c r="FP269" s="9">
        <v>-0.1</v>
      </c>
      <c r="FQ269" s="9">
        <v>3.7</v>
      </c>
      <c r="FR269" s="9">
        <v>3.7</v>
      </c>
      <c r="FS269" s="9">
        <v>-3.9</v>
      </c>
      <c r="FT269" s="9">
        <v>-3.3</v>
      </c>
      <c r="FU269" s="9">
        <v>-5.5</v>
      </c>
      <c r="FV269" s="9">
        <v>-1.4</v>
      </c>
      <c r="FW269" s="9">
        <v>-6.7</v>
      </c>
      <c r="FX269" s="9">
        <v>-6.3</v>
      </c>
      <c r="FY269" s="9">
        <v>-6.9</v>
      </c>
      <c r="FZ269" s="9">
        <v>-6.8</v>
      </c>
      <c r="GA269" s="9">
        <v>-4.4000000000000004</v>
      </c>
      <c r="GB269" s="9">
        <v>-3.8</v>
      </c>
      <c r="GC269" s="9">
        <v>-4.5</v>
      </c>
      <c r="GD269" s="9">
        <v>0.3</v>
      </c>
      <c r="GE269" s="9">
        <v>1.2</v>
      </c>
      <c r="GF269" s="9">
        <v>0.8</v>
      </c>
      <c r="GG269" s="9">
        <v>0.8</v>
      </c>
      <c r="GH269" s="9">
        <v>1.7</v>
      </c>
      <c r="GI269" s="9">
        <v>1.7</v>
      </c>
      <c r="GJ269" s="9">
        <v>0.4</v>
      </c>
      <c r="GK269" s="9">
        <v>0.7</v>
      </c>
      <c r="GL269" s="9">
        <v>0</v>
      </c>
      <c r="GM269" s="9">
        <v>1.4</v>
      </c>
      <c r="GN269" s="9">
        <v>-0.7</v>
      </c>
      <c r="GO269" s="9">
        <v>2.4</v>
      </c>
      <c r="GP269" s="9">
        <v>1</v>
      </c>
      <c r="GQ269" s="9">
        <v>-1.3</v>
      </c>
      <c r="GR269" s="9">
        <v>-5.9</v>
      </c>
      <c r="GS269" s="9">
        <v>-6.8</v>
      </c>
      <c r="GT269" s="9">
        <v>-0.7</v>
      </c>
      <c r="GU269" s="9">
        <v>-6.7</v>
      </c>
      <c r="GV269" s="9">
        <v>-6.7</v>
      </c>
      <c r="GW269" s="9">
        <v>-2.4</v>
      </c>
      <c r="GX269" s="9">
        <v>-1.8</v>
      </c>
      <c r="GY269" s="9">
        <v>-2.2999999999999998</v>
      </c>
      <c r="GZ269" s="9">
        <v>-4.7</v>
      </c>
      <c r="HA269" s="9">
        <v>-0.1</v>
      </c>
      <c r="HB269" s="9">
        <v>0.8</v>
      </c>
      <c r="HC269" s="9">
        <v>0.2</v>
      </c>
      <c r="HD269" s="9">
        <v>-0.5</v>
      </c>
      <c r="HE269" s="9">
        <v>1.9</v>
      </c>
      <c r="HF269" s="9">
        <v>1.6</v>
      </c>
      <c r="HG269" s="9">
        <v>3.3</v>
      </c>
      <c r="HH269" s="9">
        <v>0.3</v>
      </c>
      <c r="HI269" s="9">
        <v>1.5</v>
      </c>
      <c r="HJ269" s="9">
        <v>3</v>
      </c>
      <c r="HK269" s="9">
        <v>6.6</v>
      </c>
      <c r="HL269" s="9">
        <v>7.5</v>
      </c>
      <c r="HM269" s="9">
        <v>0.1</v>
      </c>
      <c r="HN269" s="9">
        <v>1.9</v>
      </c>
      <c r="HO269" s="9">
        <v>2.1</v>
      </c>
      <c r="HP269" s="9">
        <v>0.9</v>
      </c>
      <c r="HQ269" s="9">
        <v>0.5</v>
      </c>
      <c r="HR269" s="9">
        <v>0.3</v>
      </c>
      <c r="HS269" s="9">
        <v>-1.4</v>
      </c>
      <c r="HT269" s="9">
        <v>-0.4</v>
      </c>
      <c r="HU269" s="9">
        <v>1.2</v>
      </c>
      <c r="HV269" s="9">
        <v>1.1000000000000001</v>
      </c>
      <c r="HW269" s="9">
        <v>1.2</v>
      </c>
      <c r="HX269" s="9">
        <v>3.2</v>
      </c>
      <c r="HY269" s="9">
        <v>3.2</v>
      </c>
      <c r="HZ269" s="9">
        <v>0</v>
      </c>
      <c r="IA269" s="9">
        <v>0</v>
      </c>
      <c r="IB269" s="9">
        <v>0.3</v>
      </c>
      <c r="IC269" s="9">
        <v>0</v>
      </c>
      <c r="ID269" s="9">
        <v>-0.8</v>
      </c>
      <c r="IE269" s="9">
        <v>-2.6</v>
      </c>
      <c r="IF269" s="9">
        <v>-4.7</v>
      </c>
      <c r="IG269" s="9">
        <v>0.1</v>
      </c>
      <c r="IH269" s="9">
        <v>0.7</v>
      </c>
      <c r="II269" s="9">
        <v>0</v>
      </c>
      <c r="IJ269" s="9">
        <v>1.1000000000000001</v>
      </c>
      <c r="IK269" s="9">
        <v>-1.8</v>
      </c>
      <c r="IL269" s="9">
        <v>1.2</v>
      </c>
      <c r="IM269" s="9">
        <v>-5.2</v>
      </c>
      <c r="IN269" s="9">
        <v>0.8</v>
      </c>
      <c r="IO269" s="9">
        <v>0.4</v>
      </c>
      <c r="IP269" s="9">
        <v>-0.6</v>
      </c>
      <c r="IQ269" s="9">
        <v>-0.8</v>
      </c>
    </row>
    <row r="270" spans="1:251" x14ac:dyDescent="0.2">
      <c r="A270" s="10">
        <v>41426</v>
      </c>
      <c r="B270" s="8">
        <v>71.38</v>
      </c>
      <c r="C270" s="8">
        <v>72.099999999999994</v>
      </c>
      <c r="D270" s="8">
        <v>77.94</v>
      </c>
      <c r="E270" s="8">
        <v>78.150000000000006</v>
      </c>
      <c r="F270" s="8">
        <v>74.56</v>
      </c>
      <c r="G270" s="8">
        <v>85.21</v>
      </c>
      <c r="H270" s="8">
        <v>85.64</v>
      </c>
      <c r="I270" s="8">
        <v>69.11</v>
      </c>
      <c r="J270" s="8">
        <v>55.8</v>
      </c>
      <c r="K270" s="8">
        <v>72.09</v>
      </c>
      <c r="L270" s="8">
        <v>58.31</v>
      </c>
      <c r="M270" s="8">
        <v>85.21</v>
      </c>
      <c r="N270" s="8">
        <v>67.61</v>
      </c>
      <c r="O270" s="8">
        <v>74.66</v>
      </c>
      <c r="P270" s="8">
        <v>73.27</v>
      </c>
      <c r="Q270" s="8">
        <v>71.23</v>
      </c>
      <c r="R270" s="8">
        <v>70.849999999999994</v>
      </c>
      <c r="S270" s="8">
        <v>77.900000000000006</v>
      </c>
      <c r="T270" s="8">
        <v>70.87</v>
      </c>
      <c r="U270" s="8">
        <v>66.459999999999994</v>
      </c>
      <c r="V270" s="8">
        <v>74.150000000000006</v>
      </c>
      <c r="W270" s="8">
        <v>75.27</v>
      </c>
      <c r="X270" s="8">
        <v>63.83</v>
      </c>
      <c r="Y270" s="8">
        <v>80.44</v>
      </c>
      <c r="Z270" s="8">
        <v>84.21</v>
      </c>
      <c r="AA270" s="8">
        <v>58.01</v>
      </c>
      <c r="AB270" s="8">
        <v>74.8</v>
      </c>
      <c r="AC270" s="8">
        <v>81.349999999999994</v>
      </c>
      <c r="AD270" s="8">
        <v>75.209999999999994</v>
      </c>
      <c r="AE270" s="8">
        <v>76.430000000000007</v>
      </c>
      <c r="AF270" s="8">
        <v>74.75</v>
      </c>
      <c r="AG270" s="8">
        <v>70.45</v>
      </c>
      <c r="AH270" s="8">
        <v>71.790000000000006</v>
      </c>
      <c r="AI270" s="8">
        <v>68.7</v>
      </c>
      <c r="AJ270" s="8">
        <v>48.68</v>
      </c>
      <c r="AK270" s="8">
        <v>75.66</v>
      </c>
      <c r="AL270" s="8">
        <v>70.59</v>
      </c>
      <c r="AM270" s="8">
        <v>93.09</v>
      </c>
      <c r="AN270" s="8">
        <v>66.349999999999994</v>
      </c>
      <c r="AO270" s="8">
        <v>24.32</v>
      </c>
      <c r="AP270" s="8">
        <v>24.32</v>
      </c>
      <c r="AQ270" s="8">
        <v>98.16</v>
      </c>
      <c r="AR270" s="8">
        <v>108.59</v>
      </c>
      <c r="AS270" s="8">
        <v>107.92</v>
      </c>
      <c r="AT270" s="8">
        <v>113.43</v>
      </c>
      <c r="AU270" s="8">
        <v>93.14</v>
      </c>
      <c r="AV270" s="8">
        <v>102.6</v>
      </c>
      <c r="AW270" s="8">
        <v>99.61</v>
      </c>
      <c r="AX270" s="8">
        <v>105.4</v>
      </c>
      <c r="AY270" s="8">
        <v>97.57</v>
      </c>
      <c r="AZ270" s="8">
        <v>74.040000000000006</v>
      </c>
      <c r="BA270" s="8">
        <v>75.39</v>
      </c>
      <c r="BB270" s="8">
        <v>65.849999999999994</v>
      </c>
      <c r="BC270" s="8">
        <v>67.180000000000007</v>
      </c>
      <c r="BD270" s="8">
        <v>76.88</v>
      </c>
      <c r="BE270" s="8">
        <v>76.88</v>
      </c>
      <c r="BF270" s="8">
        <v>60.44</v>
      </c>
      <c r="BG270" s="8">
        <v>60.44</v>
      </c>
      <c r="BH270" s="8">
        <v>63.48</v>
      </c>
      <c r="BI270" s="8">
        <v>68.89</v>
      </c>
      <c r="BJ270" s="8">
        <v>56.74</v>
      </c>
      <c r="BK270" s="8">
        <v>71.38</v>
      </c>
      <c r="BL270" s="8">
        <v>76.41</v>
      </c>
      <c r="BM270" s="8">
        <v>77.680000000000007</v>
      </c>
      <c r="BN270" s="8">
        <v>55.03</v>
      </c>
      <c r="BO270" s="8">
        <v>80.739999999999995</v>
      </c>
      <c r="BP270" s="8">
        <v>80.06</v>
      </c>
      <c r="BQ270" s="8">
        <v>81.86</v>
      </c>
      <c r="BR270" s="8">
        <v>71.52</v>
      </c>
      <c r="BS270" s="8">
        <v>104.53</v>
      </c>
      <c r="BT270" s="8">
        <v>104.53</v>
      </c>
      <c r="BU270" s="8">
        <v>93.67</v>
      </c>
      <c r="BV270" s="8">
        <v>90.2</v>
      </c>
      <c r="BW270" s="8">
        <v>97.57</v>
      </c>
      <c r="BX270" s="8">
        <v>107.42</v>
      </c>
      <c r="BY270" s="8">
        <v>80.739999999999995</v>
      </c>
      <c r="BZ270" s="8">
        <v>88.27</v>
      </c>
      <c r="CA270" s="8">
        <v>87.98</v>
      </c>
      <c r="CB270" s="8">
        <v>101.04</v>
      </c>
      <c r="CC270" s="8">
        <v>80.11</v>
      </c>
      <c r="CD270" s="8">
        <v>66.099999999999994</v>
      </c>
      <c r="CE270" s="8">
        <v>64.48</v>
      </c>
      <c r="CF270" s="8">
        <v>67.599999999999994</v>
      </c>
      <c r="CG270" s="8">
        <v>67.150000000000006</v>
      </c>
      <c r="CH270" s="8">
        <v>63.37</v>
      </c>
      <c r="CI270" s="8">
        <v>91.18</v>
      </c>
      <c r="CJ270" s="8">
        <v>90.63</v>
      </c>
      <c r="CK270" s="8">
        <v>95.55</v>
      </c>
      <c r="CL270" s="8">
        <v>57.92</v>
      </c>
      <c r="CM270" s="8">
        <v>55.81</v>
      </c>
      <c r="CN270" s="8">
        <v>76.16</v>
      </c>
      <c r="CO270" s="8">
        <v>77.13</v>
      </c>
      <c r="CP270" s="8">
        <v>76.73</v>
      </c>
      <c r="CQ270" s="8">
        <v>87.42</v>
      </c>
      <c r="CR270" s="8">
        <v>70.63</v>
      </c>
      <c r="CS270" s="8">
        <v>75.81</v>
      </c>
      <c r="CT270" s="8">
        <v>72.709999999999994</v>
      </c>
      <c r="CU270" s="8">
        <v>69.849999999999994</v>
      </c>
      <c r="CV270" s="8">
        <v>86.9</v>
      </c>
      <c r="CW270" s="8">
        <v>86.9</v>
      </c>
      <c r="CX270" s="8">
        <v>127.68</v>
      </c>
      <c r="CY270" s="8">
        <v>127.68</v>
      </c>
      <c r="CZ270" s="8">
        <v>60.96</v>
      </c>
      <c r="DA270" s="8">
        <v>132.07</v>
      </c>
      <c r="DB270" s="8">
        <v>77.13</v>
      </c>
      <c r="DC270" s="8">
        <v>116.65</v>
      </c>
      <c r="DD270" s="8">
        <v>167.17</v>
      </c>
      <c r="DE270" s="8">
        <v>73.739999999999995</v>
      </c>
      <c r="DF270" s="8">
        <v>76.02</v>
      </c>
      <c r="DG270" s="8">
        <v>99.29</v>
      </c>
      <c r="DH270" s="8">
        <v>67.52</v>
      </c>
      <c r="DI270" s="8">
        <v>64.67</v>
      </c>
      <c r="DJ270" s="8">
        <v>61.56</v>
      </c>
      <c r="DK270" s="8">
        <v>59.91</v>
      </c>
      <c r="DL270" s="8">
        <v>75.849999999999994</v>
      </c>
      <c r="DM270" s="8">
        <v>82.42</v>
      </c>
      <c r="DN270" s="8">
        <v>111.5</v>
      </c>
      <c r="DO270" s="8">
        <v>74.13</v>
      </c>
      <c r="DP270" s="8">
        <v>58.35</v>
      </c>
      <c r="DQ270" s="8">
        <v>70.52</v>
      </c>
      <c r="DR270" s="8">
        <v>70.989999999999995</v>
      </c>
      <c r="DS270" s="8">
        <v>63.42</v>
      </c>
      <c r="DT270" s="8">
        <v>63.42</v>
      </c>
      <c r="DU270" s="8">
        <v>67.599999999999994</v>
      </c>
      <c r="DV270" s="8">
        <v>59.92</v>
      </c>
      <c r="DW270" s="8">
        <v>64.72</v>
      </c>
      <c r="DX270" s="8">
        <v>71.28</v>
      </c>
      <c r="DY270" s="8">
        <v>56.31</v>
      </c>
      <c r="DZ270" s="8">
        <v>56.31</v>
      </c>
      <c r="EA270" s="8">
        <v>76.849999999999994</v>
      </c>
      <c r="EB270" s="8">
        <v>94.12</v>
      </c>
      <c r="EC270" s="8">
        <v>74.569999999999993</v>
      </c>
      <c r="ED270" s="9">
        <v>0.4</v>
      </c>
      <c r="EE270" s="9">
        <v>0.1</v>
      </c>
      <c r="EF270" s="9">
        <v>0.1</v>
      </c>
      <c r="EG270" s="9">
        <v>1.6</v>
      </c>
      <c r="EH270" s="9">
        <v>-0.6</v>
      </c>
      <c r="EI270" s="9">
        <v>-1.4</v>
      </c>
      <c r="EJ270" s="9">
        <v>0.1</v>
      </c>
      <c r="EK270" s="9">
        <v>0.3</v>
      </c>
      <c r="EL270" s="9">
        <v>-0.5</v>
      </c>
      <c r="EM270" s="9">
        <v>0</v>
      </c>
      <c r="EN270" s="9">
        <v>-1.3</v>
      </c>
      <c r="EO270" s="9">
        <v>-0.3</v>
      </c>
      <c r="EP270" s="9">
        <v>1.3</v>
      </c>
      <c r="EQ270" s="9">
        <v>2.1</v>
      </c>
      <c r="ER270" s="9">
        <v>-1</v>
      </c>
      <c r="ES270" s="9">
        <v>-0.9</v>
      </c>
      <c r="ET270" s="9">
        <v>-2.2000000000000002</v>
      </c>
      <c r="EU270" s="9">
        <v>-0.2</v>
      </c>
      <c r="EV270" s="9">
        <v>0.4</v>
      </c>
      <c r="EW270" s="9">
        <v>-3.4</v>
      </c>
      <c r="EX270" s="9">
        <v>3.3</v>
      </c>
      <c r="EY270" s="9">
        <v>-0.3</v>
      </c>
      <c r="EZ270" s="9">
        <v>0.8</v>
      </c>
      <c r="FA270" s="9">
        <v>-0.4</v>
      </c>
      <c r="FB270" s="9">
        <v>2</v>
      </c>
      <c r="FC270" s="9">
        <v>1.6</v>
      </c>
      <c r="FD270" s="9">
        <v>-0.2</v>
      </c>
      <c r="FE270" s="9">
        <v>-2.7</v>
      </c>
      <c r="FF270" s="9">
        <v>0.3</v>
      </c>
      <c r="FG270" s="9">
        <v>-1.6</v>
      </c>
      <c r="FH270" s="9">
        <v>1</v>
      </c>
      <c r="FI270" s="9">
        <v>0.2</v>
      </c>
      <c r="FJ270" s="9">
        <v>0.2</v>
      </c>
      <c r="FK270" s="9">
        <v>0.2</v>
      </c>
      <c r="FL270" s="9">
        <v>1.4</v>
      </c>
      <c r="FM270" s="9">
        <v>0.5</v>
      </c>
      <c r="FN270" s="9">
        <v>0.6</v>
      </c>
      <c r="FO270" s="9">
        <v>0.1</v>
      </c>
      <c r="FP270" s="9">
        <v>0.7</v>
      </c>
      <c r="FQ270" s="9">
        <v>3.1</v>
      </c>
      <c r="FR270" s="9">
        <v>3.1</v>
      </c>
      <c r="FS270" s="9">
        <v>2.6</v>
      </c>
      <c r="FT270" s="9">
        <v>3</v>
      </c>
      <c r="FU270" s="9">
        <v>7.1</v>
      </c>
      <c r="FV270" s="9">
        <v>0.3</v>
      </c>
      <c r="FW270" s="9">
        <v>6</v>
      </c>
      <c r="FX270" s="9">
        <v>3.4</v>
      </c>
      <c r="FY270" s="9">
        <v>5</v>
      </c>
      <c r="FZ270" s="9">
        <v>3.2</v>
      </c>
      <c r="GA270" s="9">
        <v>2.5</v>
      </c>
      <c r="GB270" s="9">
        <v>1.2</v>
      </c>
      <c r="GC270" s="9">
        <v>1.2</v>
      </c>
      <c r="GD270" s="9">
        <v>0.6</v>
      </c>
      <c r="GE270" s="9">
        <v>0.6</v>
      </c>
      <c r="GF270" s="9">
        <v>1</v>
      </c>
      <c r="GG270" s="9">
        <v>1</v>
      </c>
      <c r="GH270" s="9">
        <v>0.8</v>
      </c>
      <c r="GI270" s="9">
        <v>0.8</v>
      </c>
      <c r="GJ270" s="9">
        <v>0.2</v>
      </c>
      <c r="GK270" s="9">
        <v>0.3</v>
      </c>
      <c r="GL270" s="9">
        <v>0</v>
      </c>
      <c r="GM270" s="9">
        <v>-0.2</v>
      </c>
      <c r="GN270" s="9">
        <v>0</v>
      </c>
      <c r="GO270" s="9">
        <v>-0.7</v>
      </c>
      <c r="GP270" s="9">
        <v>1.1000000000000001</v>
      </c>
      <c r="GQ270" s="9">
        <v>1</v>
      </c>
      <c r="GR270" s="9">
        <v>4.0999999999999996</v>
      </c>
      <c r="GS270" s="9">
        <v>4.8</v>
      </c>
      <c r="GT270" s="9">
        <v>0.3</v>
      </c>
      <c r="GU270" s="9">
        <v>2.2000000000000002</v>
      </c>
      <c r="GV270" s="9">
        <v>2.2000000000000002</v>
      </c>
      <c r="GW270" s="9">
        <v>0.6</v>
      </c>
      <c r="GX270" s="9">
        <v>0</v>
      </c>
      <c r="GY270" s="9">
        <v>-1.5</v>
      </c>
      <c r="GZ270" s="9">
        <v>2.8</v>
      </c>
      <c r="HA270" s="9">
        <v>0</v>
      </c>
      <c r="HB270" s="9">
        <v>-0.7</v>
      </c>
      <c r="HC270" s="9">
        <v>-1</v>
      </c>
      <c r="HD270" s="9">
        <v>-0.2</v>
      </c>
      <c r="HE270" s="9">
        <v>-0.9</v>
      </c>
      <c r="HF270" s="9">
        <v>0.6</v>
      </c>
      <c r="HG270" s="9">
        <v>0.5</v>
      </c>
      <c r="HH270" s="9">
        <v>0.4</v>
      </c>
      <c r="HI270" s="9">
        <v>0.9</v>
      </c>
      <c r="HJ270" s="9">
        <v>1.9</v>
      </c>
      <c r="HK270" s="9">
        <v>-1.5</v>
      </c>
      <c r="HL270" s="9">
        <v>-1.7</v>
      </c>
      <c r="HM270" s="9">
        <v>0.1</v>
      </c>
      <c r="HN270" s="9">
        <v>3</v>
      </c>
      <c r="HO270" s="9">
        <v>3.4</v>
      </c>
      <c r="HP270" s="9">
        <v>0.4</v>
      </c>
      <c r="HQ270" s="9">
        <v>-0.8</v>
      </c>
      <c r="HR270" s="9">
        <v>-0.9</v>
      </c>
      <c r="HS270" s="9">
        <v>-0.2</v>
      </c>
      <c r="HT270" s="9">
        <v>-0.2</v>
      </c>
      <c r="HU270" s="9">
        <v>-3.1</v>
      </c>
      <c r="HV270" s="9">
        <v>0.7</v>
      </c>
      <c r="HW270" s="9">
        <v>0.4</v>
      </c>
      <c r="HX270" s="9">
        <v>0</v>
      </c>
      <c r="HY270" s="9">
        <v>0</v>
      </c>
      <c r="HZ270" s="9">
        <v>0.4</v>
      </c>
      <c r="IA270" s="9">
        <v>0.4</v>
      </c>
      <c r="IB270" s="9">
        <v>2.1</v>
      </c>
      <c r="IC270" s="9">
        <v>0.4</v>
      </c>
      <c r="ID270" s="9">
        <v>-0.8</v>
      </c>
      <c r="IE270" s="9">
        <v>-1.1000000000000001</v>
      </c>
      <c r="IF270" s="9">
        <v>-2</v>
      </c>
      <c r="IG270" s="9">
        <v>-0.1</v>
      </c>
      <c r="IH270" s="9">
        <v>0.6</v>
      </c>
      <c r="II270" s="9">
        <v>-0.5</v>
      </c>
      <c r="IJ270" s="9">
        <v>1.1000000000000001</v>
      </c>
      <c r="IK270" s="9">
        <v>-2</v>
      </c>
      <c r="IL270" s="9">
        <v>-4</v>
      </c>
      <c r="IM270" s="9">
        <v>0.5</v>
      </c>
      <c r="IN270" s="9">
        <v>0.4</v>
      </c>
      <c r="IO270" s="9">
        <v>-1</v>
      </c>
      <c r="IP270" s="9">
        <v>0.3</v>
      </c>
      <c r="IQ270" s="9">
        <v>0.3</v>
      </c>
    </row>
    <row r="271" spans="1:251" x14ac:dyDescent="0.2">
      <c r="A271" s="10">
        <v>41518</v>
      </c>
      <c r="B271" s="8">
        <v>72.25</v>
      </c>
      <c r="C271" s="8">
        <v>72.239999999999995</v>
      </c>
      <c r="D271" s="8">
        <v>78.78</v>
      </c>
      <c r="E271" s="8">
        <v>77.930000000000007</v>
      </c>
      <c r="F271" s="8">
        <v>76.03</v>
      </c>
      <c r="G271" s="8">
        <v>87.08</v>
      </c>
      <c r="H271" s="8">
        <v>86.3</v>
      </c>
      <c r="I271" s="8">
        <v>68.459999999999994</v>
      </c>
      <c r="J271" s="8">
        <v>54.37</v>
      </c>
      <c r="K271" s="8">
        <v>72.17</v>
      </c>
      <c r="L271" s="8">
        <v>58.13</v>
      </c>
      <c r="M271" s="8">
        <v>84.12</v>
      </c>
      <c r="N271" s="8">
        <v>66.11</v>
      </c>
      <c r="O271" s="8">
        <v>75.33</v>
      </c>
      <c r="P271" s="8">
        <v>74.209999999999994</v>
      </c>
      <c r="Q271" s="8">
        <v>71.55</v>
      </c>
      <c r="R271" s="8">
        <v>72.66</v>
      </c>
      <c r="S271" s="8">
        <v>78.760000000000005</v>
      </c>
      <c r="T271" s="8">
        <v>69.989999999999995</v>
      </c>
      <c r="U271" s="8">
        <v>68.55</v>
      </c>
      <c r="V271" s="8">
        <v>70.819999999999993</v>
      </c>
      <c r="W271" s="8">
        <v>75.67</v>
      </c>
      <c r="X271" s="8">
        <v>64.05</v>
      </c>
      <c r="Y271" s="8">
        <v>80.489999999999995</v>
      </c>
      <c r="Z271" s="8">
        <v>84.91</v>
      </c>
      <c r="AA271" s="8">
        <v>58</v>
      </c>
      <c r="AB271" s="8">
        <v>74.98</v>
      </c>
      <c r="AC271" s="8">
        <v>82.42</v>
      </c>
      <c r="AD271" s="8">
        <v>75.56</v>
      </c>
      <c r="AE271" s="8">
        <v>76.72</v>
      </c>
      <c r="AF271" s="8">
        <v>75.12</v>
      </c>
      <c r="AG271" s="8">
        <v>70.84</v>
      </c>
      <c r="AH271" s="8">
        <v>72.180000000000007</v>
      </c>
      <c r="AI271" s="8">
        <v>69.08</v>
      </c>
      <c r="AJ271" s="8">
        <v>49.08</v>
      </c>
      <c r="AK271" s="8">
        <v>76.12</v>
      </c>
      <c r="AL271" s="8">
        <v>71.540000000000006</v>
      </c>
      <c r="AM271" s="8">
        <v>93.98</v>
      </c>
      <c r="AN271" s="8">
        <v>66.38</v>
      </c>
      <c r="AO271" s="8">
        <v>24.61</v>
      </c>
      <c r="AP271" s="8">
        <v>24.61</v>
      </c>
      <c r="AQ271" s="8">
        <v>99.26</v>
      </c>
      <c r="AR271" s="8">
        <v>109.13</v>
      </c>
      <c r="AS271" s="8">
        <v>108.57</v>
      </c>
      <c r="AT271" s="8">
        <v>114.22</v>
      </c>
      <c r="AU271" s="8">
        <v>92.53</v>
      </c>
      <c r="AV271" s="8">
        <v>105.36</v>
      </c>
      <c r="AW271" s="8">
        <v>103.3</v>
      </c>
      <c r="AX271" s="8">
        <v>107.61</v>
      </c>
      <c r="AY271" s="8">
        <v>100.75</v>
      </c>
      <c r="AZ271" s="8">
        <v>75.349999999999994</v>
      </c>
      <c r="BA271" s="8">
        <v>76.849999999999994</v>
      </c>
      <c r="BB271" s="8">
        <v>66.349999999999994</v>
      </c>
      <c r="BC271" s="8">
        <v>68.510000000000005</v>
      </c>
      <c r="BD271" s="8">
        <v>77.349999999999994</v>
      </c>
      <c r="BE271" s="8">
        <v>77.349999999999994</v>
      </c>
      <c r="BF271" s="8">
        <v>60.77</v>
      </c>
      <c r="BG271" s="8">
        <v>60.77</v>
      </c>
      <c r="BH271" s="8">
        <v>65.84</v>
      </c>
      <c r="BI271" s="8">
        <v>69.52</v>
      </c>
      <c r="BJ271" s="8">
        <v>61.24</v>
      </c>
      <c r="BK271" s="8">
        <v>75.459999999999994</v>
      </c>
      <c r="BL271" s="8">
        <v>83.98</v>
      </c>
      <c r="BM271" s="8">
        <v>81.099999999999994</v>
      </c>
      <c r="BN271" s="8">
        <v>57.67</v>
      </c>
      <c r="BO271" s="8">
        <v>81.56</v>
      </c>
      <c r="BP271" s="8">
        <v>80.08</v>
      </c>
      <c r="BQ271" s="8">
        <v>81.81</v>
      </c>
      <c r="BR271" s="8">
        <v>71.89</v>
      </c>
      <c r="BS271" s="8">
        <v>108.54</v>
      </c>
      <c r="BT271" s="8">
        <v>108.54</v>
      </c>
      <c r="BU271" s="8">
        <v>94.54</v>
      </c>
      <c r="BV271" s="8">
        <v>89.52</v>
      </c>
      <c r="BW271" s="8">
        <v>98.77</v>
      </c>
      <c r="BX271" s="8">
        <v>110.96</v>
      </c>
      <c r="BY271" s="8">
        <v>80.680000000000007</v>
      </c>
      <c r="BZ271" s="8">
        <v>88.9</v>
      </c>
      <c r="CA271" s="8">
        <v>87.51</v>
      </c>
      <c r="CB271" s="8">
        <v>101.39</v>
      </c>
      <c r="CC271" s="8">
        <v>81.099999999999994</v>
      </c>
      <c r="CD271" s="8">
        <v>67.09</v>
      </c>
      <c r="CE271" s="8">
        <v>66.7</v>
      </c>
      <c r="CF271" s="8">
        <v>67.84</v>
      </c>
      <c r="CG271" s="8">
        <v>67.73</v>
      </c>
      <c r="CH271" s="8">
        <v>63.36</v>
      </c>
      <c r="CI271" s="8">
        <v>90.21</v>
      </c>
      <c r="CJ271" s="8">
        <v>89.67</v>
      </c>
      <c r="CK271" s="8">
        <v>94.49</v>
      </c>
      <c r="CL271" s="8">
        <v>58.09</v>
      </c>
      <c r="CM271" s="8">
        <v>55.98</v>
      </c>
      <c r="CN271" s="8">
        <v>76.33</v>
      </c>
      <c r="CO271" s="8">
        <v>78.97</v>
      </c>
      <c r="CP271" s="8">
        <v>78.680000000000007</v>
      </c>
      <c r="CQ271" s="8">
        <v>86.76</v>
      </c>
      <c r="CR271" s="8">
        <v>70.58</v>
      </c>
      <c r="CS271" s="8">
        <v>81.59</v>
      </c>
      <c r="CT271" s="8">
        <v>72.97</v>
      </c>
      <c r="CU271" s="8">
        <v>71.11</v>
      </c>
      <c r="CV271" s="8">
        <v>87.2</v>
      </c>
      <c r="CW271" s="8">
        <v>87.2</v>
      </c>
      <c r="CX271" s="8">
        <v>127.81</v>
      </c>
      <c r="CY271" s="8">
        <v>127.81</v>
      </c>
      <c r="CZ271" s="8">
        <v>60.96</v>
      </c>
      <c r="DA271" s="8">
        <v>132.21</v>
      </c>
      <c r="DB271" s="8">
        <v>78.63</v>
      </c>
      <c r="DC271" s="8">
        <v>116.12</v>
      </c>
      <c r="DD271" s="8">
        <v>165.81</v>
      </c>
      <c r="DE271" s="8">
        <v>73.73</v>
      </c>
      <c r="DF271" s="8">
        <v>76.19</v>
      </c>
      <c r="DG271" s="8">
        <v>97.72</v>
      </c>
      <c r="DH271" s="8">
        <v>68.31</v>
      </c>
      <c r="DI271" s="8">
        <v>67.72</v>
      </c>
      <c r="DJ271" s="8">
        <v>63.73</v>
      </c>
      <c r="DK271" s="8">
        <v>63.55</v>
      </c>
      <c r="DL271" s="8">
        <v>76.2</v>
      </c>
      <c r="DM271" s="8">
        <v>82.64</v>
      </c>
      <c r="DN271" s="8">
        <v>109.5</v>
      </c>
      <c r="DO271" s="8">
        <v>74.959999999999994</v>
      </c>
      <c r="DP271" s="8">
        <v>58.77</v>
      </c>
      <c r="DQ271" s="8">
        <v>71.75</v>
      </c>
      <c r="DR271" s="8">
        <v>71.36</v>
      </c>
      <c r="DS271" s="8">
        <v>63.44</v>
      </c>
      <c r="DT271" s="8">
        <v>63.44</v>
      </c>
      <c r="DU271" s="8">
        <v>67.77</v>
      </c>
      <c r="DV271" s="8">
        <v>59.92</v>
      </c>
      <c r="DW271" s="8">
        <v>64.72</v>
      </c>
      <c r="DX271" s="8">
        <v>71.59</v>
      </c>
      <c r="DY271" s="8">
        <v>55.9</v>
      </c>
      <c r="DZ271" s="8">
        <v>55.9</v>
      </c>
      <c r="EA271" s="8">
        <v>77.56</v>
      </c>
      <c r="EB271" s="8">
        <v>93.91</v>
      </c>
      <c r="EC271" s="8">
        <v>75.48</v>
      </c>
      <c r="ED271" s="9">
        <v>1.2</v>
      </c>
      <c r="EE271" s="9">
        <v>0.2</v>
      </c>
      <c r="EF271" s="9">
        <v>1.1000000000000001</v>
      </c>
      <c r="EG271" s="9">
        <v>-0.3</v>
      </c>
      <c r="EH271" s="9">
        <v>2</v>
      </c>
      <c r="EI271" s="9">
        <v>2.2000000000000002</v>
      </c>
      <c r="EJ271" s="9">
        <v>0.8</v>
      </c>
      <c r="EK271" s="9">
        <v>-0.9</v>
      </c>
      <c r="EL271" s="9">
        <v>-2.6</v>
      </c>
      <c r="EM271" s="9">
        <v>0.1</v>
      </c>
      <c r="EN271" s="9">
        <v>-0.3</v>
      </c>
      <c r="EO271" s="9">
        <v>-1.3</v>
      </c>
      <c r="EP271" s="9">
        <v>-2.2000000000000002</v>
      </c>
      <c r="EQ271" s="9">
        <v>0.9</v>
      </c>
      <c r="ER271" s="9">
        <v>1.3</v>
      </c>
      <c r="ES271" s="9">
        <v>0.4</v>
      </c>
      <c r="ET271" s="9">
        <v>2.6</v>
      </c>
      <c r="EU271" s="9">
        <v>1.1000000000000001</v>
      </c>
      <c r="EV271" s="9">
        <v>-1.2</v>
      </c>
      <c r="EW271" s="9">
        <v>3.1</v>
      </c>
      <c r="EX271" s="9">
        <v>-4.5</v>
      </c>
      <c r="EY271" s="9">
        <v>0.5</v>
      </c>
      <c r="EZ271" s="9">
        <v>0.3</v>
      </c>
      <c r="FA271" s="9">
        <v>0.1</v>
      </c>
      <c r="FB271" s="9">
        <v>0.8</v>
      </c>
      <c r="FC271" s="9">
        <v>0</v>
      </c>
      <c r="FD271" s="9">
        <v>0.2</v>
      </c>
      <c r="FE271" s="9">
        <v>1.3</v>
      </c>
      <c r="FF271" s="9">
        <v>0.5</v>
      </c>
      <c r="FG271" s="9">
        <v>0.4</v>
      </c>
      <c r="FH271" s="9">
        <v>0.5</v>
      </c>
      <c r="FI271" s="9">
        <v>0.6</v>
      </c>
      <c r="FJ271" s="9">
        <v>0.5</v>
      </c>
      <c r="FK271" s="9">
        <v>0.6</v>
      </c>
      <c r="FL271" s="9">
        <v>0.8</v>
      </c>
      <c r="FM271" s="9">
        <v>0.6</v>
      </c>
      <c r="FN271" s="9">
        <v>1.3</v>
      </c>
      <c r="FO271" s="9">
        <v>1</v>
      </c>
      <c r="FP271" s="9">
        <v>0</v>
      </c>
      <c r="FQ271" s="9">
        <v>1.2</v>
      </c>
      <c r="FR271" s="9">
        <v>1.2</v>
      </c>
      <c r="FS271" s="9">
        <v>1.1000000000000001</v>
      </c>
      <c r="FT271" s="9">
        <v>0.5</v>
      </c>
      <c r="FU271" s="9">
        <v>0.6</v>
      </c>
      <c r="FV271" s="9">
        <v>0.7</v>
      </c>
      <c r="FW271" s="9">
        <v>-0.7</v>
      </c>
      <c r="FX271" s="9">
        <v>2.7</v>
      </c>
      <c r="FY271" s="9">
        <v>3.7</v>
      </c>
      <c r="FZ271" s="9">
        <v>2.1</v>
      </c>
      <c r="GA271" s="9">
        <v>3.3</v>
      </c>
      <c r="GB271" s="9">
        <v>1.8</v>
      </c>
      <c r="GC271" s="9">
        <v>1.9</v>
      </c>
      <c r="GD271" s="9">
        <v>0.8</v>
      </c>
      <c r="GE271" s="9">
        <v>2</v>
      </c>
      <c r="GF271" s="9">
        <v>0.6</v>
      </c>
      <c r="GG271" s="9">
        <v>0.6</v>
      </c>
      <c r="GH271" s="9">
        <v>0.5</v>
      </c>
      <c r="GI271" s="9">
        <v>0.5</v>
      </c>
      <c r="GJ271" s="9">
        <v>3.7</v>
      </c>
      <c r="GK271" s="9">
        <v>0.9</v>
      </c>
      <c r="GL271" s="9">
        <v>7.9</v>
      </c>
      <c r="GM271" s="9">
        <v>5.7</v>
      </c>
      <c r="GN271" s="9">
        <v>9.9</v>
      </c>
      <c r="GO271" s="9">
        <v>4.4000000000000004</v>
      </c>
      <c r="GP271" s="9">
        <v>4.8</v>
      </c>
      <c r="GQ271" s="9">
        <v>1</v>
      </c>
      <c r="GR271" s="9">
        <v>0</v>
      </c>
      <c r="GS271" s="9">
        <v>-0.1</v>
      </c>
      <c r="GT271" s="9">
        <v>0.5</v>
      </c>
      <c r="GU271" s="9">
        <v>3.8</v>
      </c>
      <c r="GV271" s="9">
        <v>3.8</v>
      </c>
      <c r="GW271" s="9">
        <v>0.9</v>
      </c>
      <c r="GX271" s="9">
        <v>-0.8</v>
      </c>
      <c r="GY271" s="9">
        <v>1.2</v>
      </c>
      <c r="GZ271" s="9">
        <v>3.3</v>
      </c>
      <c r="HA271" s="9">
        <v>-0.1</v>
      </c>
      <c r="HB271" s="9">
        <v>0.7</v>
      </c>
      <c r="HC271" s="9">
        <v>-0.5</v>
      </c>
      <c r="HD271" s="9">
        <v>0.3</v>
      </c>
      <c r="HE271" s="9">
        <v>1.2</v>
      </c>
      <c r="HF271" s="9">
        <v>1.5</v>
      </c>
      <c r="HG271" s="9">
        <v>3.4</v>
      </c>
      <c r="HH271" s="9">
        <v>0.4</v>
      </c>
      <c r="HI271" s="9">
        <v>0.9</v>
      </c>
      <c r="HJ271" s="9">
        <v>0</v>
      </c>
      <c r="HK271" s="9">
        <v>-1.1000000000000001</v>
      </c>
      <c r="HL271" s="9">
        <v>-1.1000000000000001</v>
      </c>
      <c r="HM271" s="9">
        <v>-1.1000000000000001</v>
      </c>
      <c r="HN271" s="9">
        <v>0.3</v>
      </c>
      <c r="HO271" s="9">
        <v>0.3</v>
      </c>
      <c r="HP271" s="9">
        <v>0.2</v>
      </c>
      <c r="HQ271" s="9">
        <v>2.4</v>
      </c>
      <c r="HR271" s="9">
        <v>2.5</v>
      </c>
      <c r="HS271" s="9">
        <v>-0.8</v>
      </c>
      <c r="HT271" s="9">
        <v>-0.1</v>
      </c>
      <c r="HU271" s="9">
        <v>7.6</v>
      </c>
      <c r="HV271" s="9">
        <v>0.4</v>
      </c>
      <c r="HW271" s="9">
        <v>1.8</v>
      </c>
      <c r="HX271" s="9">
        <v>0.3</v>
      </c>
      <c r="HY271" s="9">
        <v>0.3</v>
      </c>
      <c r="HZ271" s="9">
        <v>0.1</v>
      </c>
      <c r="IA271" s="9">
        <v>0.1</v>
      </c>
      <c r="IB271" s="9">
        <v>0</v>
      </c>
      <c r="IC271" s="9">
        <v>0.1</v>
      </c>
      <c r="ID271" s="9">
        <v>1.9</v>
      </c>
      <c r="IE271" s="9">
        <v>-0.5</v>
      </c>
      <c r="IF271" s="9">
        <v>-0.8</v>
      </c>
      <c r="IG271" s="9">
        <v>0</v>
      </c>
      <c r="IH271" s="9">
        <v>0.2</v>
      </c>
      <c r="II271" s="9">
        <v>-1.6</v>
      </c>
      <c r="IJ271" s="9">
        <v>1.2</v>
      </c>
      <c r="IK271" s="9">
        <v>4.7</v>
      </c>
      <c r="IL271" s="9">
        <v>3.5</v>
      </c>
      <c r="IM271" s="9">
        <v>6.1</v>
      </c>
      <c r="IN271" s="9">
        <v>0.5</v>
      </c>
      <c r="IO271" s="9">
        <v>0.3</v>
      </c>
      <c r="IP271" s="9">
        <v>-1.8</v>
      </c>
      <c r="IQ271" s="9">
        <v>1.1000000000000001</v>
      </c>
    </row>
    <row r="272" spans="1:251" x14ac:dyDescent="0.2">
      <c r="A272" s="10">
        <v>41609</v>
      </c>
      <c r="B272" s="8">
        <v>72.77</v>
      </c>
      <c r="C272" s="8">
        <v>73.37</v>
      </c>
      <c r="D272" s="8">
        <v>79</v>
      </c>
      <c r="E272" s="8">
        <v>79.239999999999995</v>
      </c>
      <c r="F272" s="8">
        <v>76.010000000000005</v>
      </c>
      <c r="G272" s="8">
        <v>85.48</v>
      </c>
      <c r="H272" s="8">
        <v>85.74</v>
      </c>
      <c r="I272" s="8">
        <v>68.59</v>
      </c>
      <c r="J272" s="8">
        <v>54.51</v>
      </c>
      <c r="K272" s="8">
        <v>71.63</v>
      </c>
      <c r="L272" s="8">
        <v>57.59</v>
      </c>
      <c r="M272" s="8">
        <v>85.16</v>
      </c>
      <c r="N272" s="8">
        <v>65.33</v>
      </c>
      <c r="O272" s="8">
        <v>76.53</v>
      </c>
      <c r="P272" s="8">
        <v>74.58</v>
      </c>
      <c r="Q272" s="8">
        <v>71.849999999999994</v>
      </c>
      <c r="R272" s="8">
        <v>73.53</v>
      </c>
      <c r="S272" s="8">
        <v>78.73</v>
      </c>
      <c r="T272" s="8">
        <v>75.28</v>
      </c>
      <c r="U272" s="8">
        <v>74.16</v>
      </c>
      <c r="V272" s="8">
        <v>75.83</v>
      </c>
      <c r="W272" s="8">
        <v>76.63</v>
      </c>
      <c r="X272" s="8">
        <v>65.91</v>
      </c>
      <c r="Y272" s="8">
        <v>78.760000000000005</v>
      </c>
      <c r="Z272" s="8">
        <v>84.81</v>
      </c>
      <c r="AA272" s="8">
        <v>57.57</v>
      </c>
      <c r="AB272" s="8">
        <v>76.59</v>
      </c>
      <c r="AC272" s="8">
        <v>83.89</v>
      </c>
      <c r="AD272" s="8">
        <v>75.86</v>
      </c>
      <c r="AE272" s="8">
        <v>77.239999999999995</v>
      </c>
      <c r="AF272" s="8">
        <v>75.34</v>
      </c>
      <c r="AG272" s="8">
        <v>71.28</v>
      </c>
      <c r="AH272" s="8">
        <v>72.650000000000006</v>
      </c>
      <c r="AI272" s="8">
        <v>69.48</v>
      </c>
      <c r="AJ272" s="8">
        <v>49.87</v>
      </c>
      <c r="AK272" s="8">
        <v>77.08</v>
      </c>
      <c r="AL272" s="8">
        <v>72.569999999999993</v>
      </c>
      <c r="AM272" s="8">
        <v>94.6</v>
      </c>
      <c r="AN272" s="8">
        <v>67.47</v>
      </c>
      <c r="AO272" s="8">
        <v>25.17</v>
      </c>
      <c r="AP272" s="8">
        <v>25.17</v>
      </c>
      <c r="AQ272" s="8">
        <v>98.16</v>
      </c>
      <c r="AR272" s="8">
        <v>108.31</v>
      </c>
      <c r="AS272" s="8">
        <v>108.3</v>
      </c>
      <c r="AT272" s="8">
        <v>112.62</v>
      </c>
      <c r="AU272" s="8">
        <v>93.45</v>
      </c>
      <c r="AV272" s="8">
        <v>103.38</v>
      </c>
      <c r="AW272" s="8">
        <v>99.89</v>
      </c>
      <c r="AX272" s="8">
        <v>106.26</v>
      </c>
      <c r="AY272" s="8">
        <v>98.66</v>
      </c>
      <c r="AZ272" s="8">
        <v>74.180000000000007</v>
      </c>
      <c r="BA272" s="8">
        <v>75.430000000000007</v>
      </c>
      <c r="BB272" s="8">
        <v>66.569999999999993</v>
      </c>
      <c r="BC272" s="8">
        <v>68.849999999999994</v>
      </c>
      <c r="BD272" s="8">
        <v>77.78</v>
      </c>
      <c r="BE272" s="8">
        <v>77.78</v>
      </c>
      <c r="BF272" s="8">
        <v>61.3</v>
      </c>
      <c r="BG272" s="8">
        <v>61.3</v>
      </c>
      <c r="BH272" s="8">
        <v>66.069999999999993</v>
      </c>
      <c r="BI272" s="8">
        <v>69.94</v>
      </c>
      <c r="BJ272" s="8">
        <v>61.24</v>
      </c>
      <c r="BK272" s="8">
        <v>75.31</v>
      </c>
      <c r="BL272" s="8">
        <v>83.98</v>
      </c>
      <c r="BM272" s="8">
        <v>81.17</v>
      </c>
      <c r="BN272" s="8">
        <v>56.93</v>
      </c>
      <c r="BO272" s="8">
        <v>81.849999999999994</v>
      </c>
      <c r="BP272" s="8">
        <v>81.010000000000005</v>
      </c>
      <c r="BQ272" s="8">
        <v>82.9</v>
      </c>
      <c r="BR272" s="8">
        <v>72.05</v>
      </c>
      <c r="BS272" s="8">
        <v>108.62</v>
      </c>
      <c r="BT272" s="8">
        <v>108.62</v>
      </c>
      <c r="BU272" s="8">
        <v>95.3</v>
      </c>
      <c r="BV272" s="8">
        <v>92.75</v>
      </c>
      <c r="BW272" s="8">
        <v>98.65</v>
      </c>
      <c r="BX272" s="8">
        <v>109.47</v>
      </c>
      <c r="BY272" s="8">
        <v>80.819999999999993</v>
      </c>
      <c r="BZ272" s="8">
        <v>88.53</v>
      </c>
      <c r="CA272" s="8">
        <v>86.96</v>
      </c>
      <c r="CB272" s="8">
        <v>100.73</v>
      </c>
      <c r="CC272" s="8">
        <v>80.94</v>
      </c>
      <c r="CD272" s="8">
        <v>67.430000000000007</v>
      </c>
      <c r="CE272" s="8">
        <v>67.069999999999993</v>
      </c>
      <c r="CF272" s="8">
        <v>68.099999999999994</v>
      </c>
      <c r="CG272" s="8">
        <v>68.12</v>
      </c>
      <c r="CH272" s="8">
        <v>63.06</v>
      </c>
      <c r="CI272" s="8">
        <v>88.9</v>
      </c>
      <c r="CJ272" s="8">
        <v>88.31</v>
      </c>
      <c r="CK272" s="8">
        <v>93.61</v>
      </c>
      <c r="CL272" s="8">
        <v>57.97</v>
      </c>
      <c r="CM272" s="8">
        <v>55.82</v>
      </c>
      <c r="CN272" s="8">
        <v>76.540000000000006</v>
      </c>
      <c r="CO272" s="8">
        <v>78.86</v>
      </c>
      <c r="CP272" s="8">
        <v>78.56</v>
      </c>
      <c r="CQ272" s="8">
        <v>86.24</v>
      </c>
      <c r="CR272" s="8">
        <v>71.349999999999994</v>
      </c>
      <c r="CS272" s="8">
        <v>80.709999999999994</v>
      </c>
      <c r="CT272" s="8">
        <v>73.66</v>
      </c>
      <c r="CU272" s="8">
        <v>71.760000000000005</v>
      </c>
      <c r="CV272" s="8">
        <v>87.2</v>
      </c>
      <c r="CW272" s="8">
        <v>87.2</v>
      </c>
      <c r="CX272" s="8">
        <v>129.28</v>
      </c>
      <c r="CY272" s="8">
        <v>129.28</v>
      </c>
      <c r="CZ272" s="8">
        <v>61.15</v>
      </c>
      <c r="DA272" s="8">
        <v>133.78</v>
      </c>
      <c r="DB272" s="8">
        <v>80.23</v>
      </c>
      <c r="DC272" s="8">
        <v>115.29</v>
      </c>
      <c r="DD272" s="8">
        <v>162.41999999999999</v>
      </c>
      <c r="DE272" s="8">
        <v>74.37</v>
      </c>
      <c r="DF272" s="8">
        <v>77.040000000000006</v>
      </c>
      <c r="DG272" s="8">
        <v>98.66</v>
      </c>
      <c r="DH272" s="8">
        <v>69.14</v>
      </c>
      <c r="DI272" s="8">
        <v>71.02</v>
      </c>
      <c r="DJ272" s="8">
        <v>68.14</v>
      </c>
      <c r="DK272" s="8">
        <v>65.2</v>
      </c>
      <c r="DL272" s="8">
        <v>76.430000000000007</v>
      </c>
      <c r="DM272" s="8">
        <v>83.17</v>
      </c>
      <c r="DN272" s="8">
        <v>109.98</v>
      </c>
      <c r="DO272" s="8">
        <v>74.56</v>
      </c>
      <c r="DP272" s="8">
        <v>59.05</v>
      </c>
      <c r="DQ272" s="8">
        <v>71.84</v>
      </c>
      <c r="DR272" s="8">
        <v>71.66</v>
      </c>
      <c r="DS272" s="8">
        <v>63.45</v>
      </c>
      <c r="DT272" s="8">
        <v>63.45</v>
      </c>
      <c r="DU272" s="8">
        <v>67.81</v>
      </c>
      <c r="DV272" s="8">
        <v>59.92</v>
      </c>
      <c r="DW272" s="8">
        <v>64.72</v>
      </c>
      <c r="DX272" s="8">
        <v>71.709999999999994</v>
      </c>
      <c r="DY272" s="8">
        <v>55.86</v>
      </c>
      <c r="DZ272" s="8">
        <v>55.86</v>
      </c>
      <c r="EA272" s="8">
        <v>77.760000000000005</v>
      </c>
      <c r="EB272" s="8">
        <v>93.62</v>
      </c>
      <c r="EC272" s="8">
        <v>75.78</v>
      </c>
      <c r="ED272" s="9">
        <v>0.7</v>
      </c>
      <c r="EE272" s="9">
        <v>1.6</v>
      </c>
      <c r="EF272" s="9">
        <v>0.3</v>
      </c>
      <c r="EG272" s="9">
        <v>1.7</v>
      </c>
      <c r="EH272" s="9">
        <v>0</v>
      </c>
      <c r="EI272" s="9">
        <v>-1.8</v>
      </c>
      <c r="EJ272" s="9">
        <v>-0.6</v>
      </c>
      <c r="EK272" s="9">
        <v>0.2</v>
      </c>
      <c r="EL272" s="9">
        <v>0.3</v>
      </c>
      <c r="EM272" s="9">
        <v>-0.7</v>
      </c>
      <c r="EN272" s="9">
        <v>-0.9</v>
      </c>
      <c r="EO272" s="9">
        <v>1.2</v>
      </c>
      <c r="EP272" s="9">
        <v>-1.2</v>
      </c>
      <c r="EQ272" s="9">
        <v>1.6</v>
      </c>
      <c r="ER272" s="9">
        <v>0.5</v>
      </c>
      <c r="ES272" s="9">
        <v>0.4</v>
      </c>
      <c r="ET272" s="9">
        <v>1.2</v>
      </c>
      <c r="EU272" s="9">
        <v>0</v>
      </c>
      <c r="EV272" s="9">
        <v>7.6</v>
      </c>
      <c r="EW272" s="9">
        <v>8.1999999999999993</v>
      </c>
      <c r="EX272" s="9">
        <v>7.1</v>
      </c>
      <c r="EY272" s="9">
        <v>1.3</v>
      </c>
      <c r="EZ272" s="9">
        <v>2.9</v>
      </c>
      <c r="FA272" s="9">
        <v>-2.1</v>
      </c>
      <c r="FB272" s="9">
        <v>-0.1</v>
      </c>
      <c r="FC272" s="9">
        <v>-0.7</v>
      </c>
      <c r="FD272" s="9">
        <v>2.1</v>
      </c>
      <c r="FE272" s="9">
        <v>1.8</v>
      </c>
      <c r="FF272" s="9">
        <v>0.4</v>
      </c>
      <c r="FG272" s="9">
        <v>0.7</v>
      </c>
      <c r="FH272" s="9">
        <v>0.3</v>
      </c>
      <c r="FI272" s="9">
        <v>0.6</v>
      </c>
      <c r="FJ272" s="9">
        <v>0.7</v>
      </c>
      <c r="FK272" s="9">
        <v>0.6</v>
      </c>
      <c r="FL272" s="9">
        <v>1.6</v>
      </c>
      <c r="FM272" s="9">
        <v>1.3</v>
      </c>
      <c r="FN272" s="9">
        <v>1.4</v>
      </c>
      <c r="FO272" s="9">
        <v>0.7</v>
      </c>
      <c r="FP272" s="9">
        <v>1.6</v>
      </c>
      <c r="FQ272" s="9">
        <v>2.2999999999999998</v>
      </c>
      <c r="FR272" s="9">
        <v>2.2999999999999998</v>
      </c>
      <c r="FS272" s="9">
        <v>-1.1000000000000001</v>
      </c>
      <c r="FT272" s="9">
        <v>-0.8</v>
      </c>
      <c r="FU272" s="9">
        <v>-0.2</v>
      </c>
      <c r="FV272" s="9">
        <v>-1.4</v>
      </c>
      <c r="FW272" s="9">
        <v>1</v>
      </c>
      <c r="FX272" s="9">
        <v>-1.9</v>
      </c>
      <c r="FY272" s="9">
        <v>-3.3</v>
      </c>
      <c r="FZ272" s="9">
        <v>-1.3</v>
      </c>
      <c r="GA272" s="9">
        <v>-2.1</v>
      </c>
      <c r="GB272" s="9">
        <v>-1.6</v>
      </c>
      <c r="GC272" s="9">
        <v>-1.8</v>
      </c>
      <c r="GD272" s="9">
        <v>0.3</v>
      </c>
      <c r="GE272" s="9">
        <v>0.5</v>
      </c>
      <c r="GF272" s="9">
        <v>0.6</v>
      </c>
      <c r="GG272" s="9">
        <v>0.6</v>
      </c>
      <c r="GH272" s="9">
        <v>0.9</v>
      </c>
      <c r="GI272" s="9">
        <v>0.9</v>
      </c>
      <c r="GJ272" s="9">
        <v>0.3</v>
      </c>
      <c r="GK272" s="9">
        <v>0.6</v>
      </c>
      <c r="GL272" s="9">
        <v>0</v>
      </c>
      <c r="GM272" s="9">
        <v>-0.2</v>
      </c>
      <c r="GN272" s="9">
        <v>0</v>
      </c>
      <c r="GO272" s="9">
        <v>0.1</v>
      </c>
      <c r="GP272" s="9">
        <v>-1.3</v>
      </c>
      <c r="GQ272" s="9">
        <v>0.4</v>
      </c>
      <c r="GR272" s="9">
        <v>1.2</v>
      </c>
      <c r="GS272" s="9">
        <v>1.3</v>
      </c>
      <c r="GT272" s="9">
        <v>0.2</v>
      </c>
      <c r="GU272" s="9">
        <v>0.1</v>
      </c>
      <c r="GV272" s="9">
        <v>0.1</v>
      </c>
      <c r="GW272" s="9">
        <v>0.8</v>
      </c>
      <c r="GX272" s="9">
        <v>3.6</v>
      </c>
      <c r="GY272" s="9">
        <v>-0.1</v>
      </c>
      <c r="GZ272" s="9">
        <v>-1.3</v>
      </c>
      <c r="HA272" s="9">
        <v>0.2</v>
      </c>
      <c r="HB272" s="9">
        <v>-0.4</v>
      </c>
      <c r="HC272" s="9">
        <v>-0.6</v>
      </c>
      <c r="HD272" s="9">
        <v>-0.7</v>
      </c>
      <c r="HE272" s="9">
        <v>-0.2</v>
      </c>
      <c r="HF272" s="9">
        <v>0.5</v>
      </c>
      <c r="HG272" s="9">
        <v>0.6</v>
      </c>
      <c r="HH272" s="9">
        <v>0.4</v>
      </c>
      <c r="HI272" s="9">
        <v>0.6</v>
      </c>
      <c r="HJ272" s="9">
        <v>-0.5</v>
      </c>
      <c r="HK272" s="9">
        <v>-1.5</v>
      </c>
      <c r="HL272" s="9">
        <v>-1.5</v>
      </c>
      <c r="HM272" s="9">
        <v>-0.9</v>
      </c>
      <c r="HN272" s="9">
        <v>-0.2</v>
      </c>
      <c r="HO272" s="9">
        <v>-0.3</v>
      </c>
      <c r="HP272" s="9">
        <v>0.3</v>
      </c>
      <c r="HQ272" s="9">
        <v>-0.1</v>
      </c>
      <c r="HR272" s="9">
        <v>-0.2</v>
      </c>
      <c r="HS272" s="9">
        <v>-0.6</v>
      </c>
      <c r="HT272" s="9">
        <v>1.1000000000000001</v>
      </c>
      <c r="HU272" s="9">
        <v>-1.1000000000000001</v>
      </c>
      <c r="HV272" s="9">
        <v>0.9</v>
      </c>
      <c r="HW272" s="9">
        <v>0.9</v>
      </c>
      <c r="HX272" s="9">
        <v>0</v>
      </c>
      <c r="HY272" s="9">
        <v>0</v>
      </c>
      <c r="HZ272" s="9">
        <v>1.2</v>
      </c>
      <c r="IA272" s="9">
        <v>1.2</v>
      </c>
      <c r="IB272" s="9">
        <v>0.3</v>
      </c>
      <c r="IC272" s="9">
        <v>1.2</v>
      </c>
      <c r="ID272" s="9">
        <v>2</v>
      </c>
      <c r="IE272" s="9">
        <v>-0.7</v>
      </c>
      <c r="IF272" s="9">
        <v>-2</v>
      </c>
      <c r="IG272" s="9">
        <v>0.9</v>
      </c>
      <c r="IH272" s="9">
        <v>1.1000000000000001</v>
      </c>
      <c r="II272" s="9">
        <v>1</v>
      </c>
      <c r="IJ272" s="9">
        <v>1.2</v>
      </c>
      <c r="IK272" s="9">
        <v>4.9000000000000004</v>
      </c>
      <c r="IL272" s="9">
        <v>6.9</v>
      </c>
      <c r="IM272" s="9">
        <v>2.6</v>
      </c>
      <c r="IN272" s="9">
        <v>0.3</v>
      </c>
      <c r="IO272" s="9">
        <v>0.6</v>
      </c>
      <c r="IP272" s="9">
        <v>0.4</v>
      </c>
      <c r="IQ272" s="9">
        <v>-0.5</v>
      </c>
    </row>
    <row r="273" spans="1:251" x14ac:dyDescent="0.2">
      <c r="A273" s="10">
        <v>41699</v>
      </c>
      <c r="B273" s="8">
        <v>73.2</v>
      </c>
      <c r="C273" s="8">
        <v>73.58</v>
      </c>
      <c r="D273" s="8">
        <v>78.569999999999993</v>
      </c>
      <c r="E273" s="8">
        <v>78.78</v>
      </c>
      <c r="F273" s="8">
        <v>75.66</v>
      </c>
      <c r="G273" s="8">
        <v>85.9</v>
      </c>
      <c r="H273" s="8">
        <v>84.41</v>
      </c>
      <c r="I273" s="8">
        <v>69.38</v>
      </c>
      <c r="J273" s="8">
        <v>55.81</v>
      </c>
      <c r="K273" s="8">
        <v>73.900000000000006</v>
      </c>
      <c r="L273" s="8">
        <v>58.21</v>
      </c>
      <c r="M273" s="8">
        <v>85.38</v>
      </c>
      <c r="N273" s="8">
        <v>67.05</v>
      </c>
      <c r="O273" s="8">
        <v>75.06</v>
      </c>
      <c r="P273" s="8">
        <v>74.53</v>
      </c>
      <c r="Q273" s="8">
        <v>71.95</v>
      </c>
      <c r="R273" s="8">
        <v>74.7</v>
      </c>
      <c r="S273" s="8">
        <v>77.34</v>
      </c>
      <c r="T273" s="8">
        <v>75.83</v>
      </c>
      <c r="U273" s="8">
        <v>72.25</v>
      </c>
      <c r="V273" s="8">
        <v>78.39</v>
      </c>
      <c r="W273" s="8">
        <v>76.27</v>
      </c>
      <c r="X273" s="8">
        <v>66.73</v>
      </c>
      <c r="Y273" s="8">
        <v>79.47</v>
      </c>
      <c r="Z273" s="8">
        <v>85.48</v>
      </c>
      <c r="AA273" s="8">
        <v>58.11</v>
      </c>
      <c r="AB273" s="8">
        <v>75.099999999999994</v>
      </c>
      <c r="AC273" s="8">
        <v>84.26</v>
      </c>
      <c r="AD273" s="8">
        <v>76.05</v>
      </c>
      <c r="AE273" s="8">
        <v>75.069999999999993</v>
      </c>
      <c r="AF273" s="8">
        <v>76.3</v>
      </c>
      <c r="AG273" s="8">
        <v>71.569999999999993</v>
      </c>
      <c r="AH273" s="8">
        <v>72.849999999999994</v>
      </c>
      <c r="AI273" s="8">
        <v>69.87</v>
      </c>
      <c r="AJ273" s="8">
        <v>51.31</v>
      </c>
      <c r="AK273" s="8">
        <v>77.67</v>
      </c>
      <c r="AL273" s="8">
        <v>73.2</v>
      </c>
      <c r="AM273" s="8">
        <v>95.52</v>
      </c>
      <c r="AN273" s="8">
        <v>67.849999999999994</v>
      </c>
      <c r="AO273" s="8">
        <v>26.86</v>
      </c>
      <c r="AP273" s="8">
        <v>26.86</v>
      </c>
      <c r="AQ273" s="8">
        <v>96.06</v>
      </c>
      <c r="AR273" s="8">
        <v>106.04</v>
      </c>
      <c r="AS273" s="8">
        <v>105.19</v>
      </c>
      <c r="AT273" s="8">
        <v>111.11</v>
      </c>
      <c r="AU273" s="8">
        <v>90.09</v>
      </c>
      <c r="AV273" s="8">
        <v>100.58</v>
      </c>
      <c r="AW273" s="8">
        <v>99.18</v>
      </c>
      <c r="AX273" s="8">
        <v>102.75</v>
      </c>
      <c r="AY273" s="8">
        <v>95.54</v>
      </c>
      <c r="AZ273" s="8">
        <v>72.790000000000006</v>
      </c>
      <c r="BA273" s="8">
        <v>73.75</v>
      </c>
      <c r="BB273" s="8">
        <v>66.67</v>
      </c>
      <c r="BC273" s="8">
        <v>69.239999999999995</v>
      </c>
      <c r="BD273" s="8">
        <v>78.260000000000005</v>
      </c>
      <c r="BE273" s="8">
        <v>78.260000000000005</v>
      </c>
      <c r="BF273" s="8">
        <v>61.38</v>
      </c>
      <c r="BG273" s="8">
        <v>61.38</v>
      </c>
      <c r="BH273" s="8">
        <v>66.3</v>
      </c>
      <c r="BI273" s="8">
        <v>70.36</v>
      </c>
      <c r="BJ273" s="8">
        <v>61.24</v>
      </c>
      <c r="BK273" s="8">
        <v>76.39</v>
      </c>
      <c r="BL273" s="8">
        <v>84.69</v>
      </c>
      <c r="BM273" s="8">
        <v>82.29</v>
      </c>
      <c r="BN273" s="8">
        <v>58.22</v>
      </c>
      <c r="BO273" s="8">
        <v>80.7</v>
      </c>
      <c r="BP273" s="8">
        <v>78.19</v>
      </c>
      <c r="BQ273" s="8">
        <v>79.290000000000006</v>
      </c>
      <c r="BR273" s="8">
        <v>73.11</v>
      </c>
      <c r="BS273" s="8">
        <v>105.47</v>
      </c>
      <c r="BT273" s="8">
        <v>105.47</v>
      </c>
      <c r="BU273" s="8">
        <v>94.37</v>
      </c>
      <c r="BV273" s="8">
        <v>92.16</v>
      </c>
      <c r="BW273" s="8">
        <v>98.17</v>
      </c>
      <c r="BX273" s="8">
        <v>106.6</v>
      </c>
      <c r="BY273" s="8">
        <v>81.33</v>
      </c>
      <c r="BZ273" s="8">
        <v>87.07</v>
      </c>
      <c r="CA273" s="8">
        <v>84.86</v>
      </c>
      <c r="CB273" s="8">
        <v>98.79</v>
      </c>
      <c r="CC273" s="8">
        <v>79.87</v>
      </c>
      <c r="CD273" s="8">
        <v>67.739999999999995</v>
      </c>
      <c r="CE273" s="8">
        <v>68.86</v>
      </c>
      <c r="CF273" s="8">
        <v>68.16</v>
      </c>
      <c r="CG273" s="8">
        <v>67.13</v>
      </c>
      <c r="CH273" s="8">
        <v>64.680000000000007</v>
      </c>
      <c r="CI273" s="8">
        <v>93.66</v>
      </c>
      <c r="CJ273" s="8">
        <v>93.66</v>
      </c>
      <c r="CK273" s="8">
        <v>93.44</v>
      </c>
      <c r="CL273" s="8">
        <v>59</v>
      </c>
      <c r="CM273" s="8">
        <v>56.85</v>
      </c>
      <c r="CN273" s="8">
        <v>77.569999999999993</v>
      </c>
      <c r="CO273" s="8">
        <v>79.73</v>
      </c>
      <c r="CP273" s="8">
        <v>79.37</v>
      </c>
      <c r="CQ273" s="8">
        <v>86.62</v>
      </c>
      <c r="CR273" s="8">
        <v>71.430000000000007</v>
      </c>
      <c r="CS273" s="8">
        <v>83.98</v>
      </c>
      <c r="CT273" s="8">
        <v>71.180000000000007</v>
      </c>
      <c r="CU273" s="8">
        <v>72.27</v>
      </c>
      <c r="CV273" s="8">
        <v>89.09</v>
      </c>
      <c r="CW273" s="8">
        <v>89.09</v>
      </c>
      <c r="CX273" s="8">
        <v>129.56</v>
      </c>
      <c r="CY273" s="8">
        <v>129.56</v>
      </c>
      <c r="CZ273" s="8">
        <v>65.39</v>
      </c>
      <c r="DA273" s="8">
        <v>133.66999999999999</v>
      </c>
      <c r="DB273" s="8">
        <v>79.849999999999994</v>
      </c>
      <c r="DC273" s="8">
        <v>114.33</v>
      </c>
      <c r="DD273" s="8">
        <v>158.1</v>
      </c>
      <c r="DE273" s="8">
        <v>75.33</v>
      </c>
      <c r="DF273" s="8">
        <v>77.260000000000005</v>
      </c>
      <c r="DG273" s="8">
        <v>99.51</v>
      </c>
      <c r="DH273" s="8">
        <v>69.12</v>
      </c>
      <c r="DI273" s="8">
        <v>69.349999999999994</v>
      </c>
      <c r="DJ273" s="8">
        <v>66.53</v>
      </c>
      <c r="DK273" s="8">
        <v>63.67</v>
      </c>
      <c r="DL273" s="8">
        <v>77.819999999999993</v>
      </c>
      <c r="DM273" s="8">
        <v>83.16</v>
      </c>
      <c r="DN273" s="8">
        <v>112.2</v>
      </c>
      <c r="DO273" s="8">
        <v>75.3</v>
      </c>
      <c r="DP273" s="8">
        <v>60.06</v>
      </c>
      <c r="DQ273" s="8">
        <v>72.97</v>
      </c>
      <c r="DR273" s="8">
        <v>73.91</v>
      </c>
      <c r="DS273" s="8">
        <v>66.709999999999994</v>
      </c>
      <c r="DT273" s="8">
        <v>66.709999999999994</v>
      </c>
      <c r="DU273" s="8">
        <v>71.150000000000006</v>
      </c>
      <c r="DV273" s="8">
        <v>63.56</v>
      </c>
      <c r="DW273" s="8">
        <v>67.55</v>
      </c>
      <c r="DX273" s="8">
        <v>71.98</v>
      </c>
      <c r="DY273" s="8">
        <v>55.98</v>
      </c>
      <c r="DZ273" s="8">
        <v>55.98</v>
      </c>
      <c r="EA273" s="8">
        <v>78.11</v>
      </c>
      <c r="EB273" s="8">
        <v>94.33</v>
      </c>
      <c r="EC273" s="8">
        <v>76.069999999999993</v>
      </c>
      <c r="ED273" s="9">
        <v>0.6</v>
      </c>
      <c r="EE273" s="9">
        <v>0.3</v>
      </c>
      <c r="EF273" s="9">
        <v>-0.5</v>
      </c>
      <c r="EG273" s="9">
        <v>-0.6</v>
      </c>
      <c r="EH273" s="9">
        <v>-0.5</v>
      </c>
      <c r="EI273" s="9">
        <v>0.5</v>
      </c>
      <c r="EJ273" s="9">
        <v>-1.6</v>
      </c>
      <c r="EK273" s="9">
        <v>1.2</v>
      </c>
      <c r="EL273" s="9">
        <v>2.4</v>
      </c>
      <c r="EM273" s="9">
        <v>3.2</v>
      </c>
      <c r="EN273" s="9">
        <v>1.1000000000000001</v>
      </c>
      <c r="EO273" s="9">
        <v>0.3</v>
      </c>
      <c r="EP273" s="9">
        <v>2.6</v>
      </c>
      <c r="EQ273" s="9">
        <v>-1.9</v>
      </c>
      <c r="ER273" s="9">
        <v>-0.1</v>
      </c>
      <c r="ES273" s="9">
        <v>0.1</v>
      </c>
      <c r="ET273" s="9">
        <v>1.6</v>
      </c>
      <c r="EU273" s="9">
        <v>-1.8</v>
      </c>
      <c r="EV273" s="9">
        <v>0.7</v>
      </c>
      <c r="EW273" s="9">
        <v>-2.6</v>
      </c>
      <c r="EX273" s="9">
        <v>3.4</v>
      </c>
      <c r="EY273" s="9">
        <v>-0.5</v>
      </c>
      <c r="EZ273" s="9">
        <v>1.2</v>
      </c>
      <c r="FA273" s="9">
        <v>0.9</v>
      </c>
      <c r="FB273" s="9">
        <v>0.8</v>
      </c>
      <c r="FC273" s="9">
        <v>0.9</v>
      </c>
      <c r="FD273" s="9">
        <v>-1.9</v>
      </c>
      <c r="FE273" s="9">
        <v>0.4</v>
      </c>
      <c r="FF273" s="9">
        <v>0.3</v>
      </c>
      <c r="FG273" s="9">
        <v>-2.8</v>
      </c>
      <c r="FH273" s="9">
        <v>1.3</v>
      </c>
      <c r="FI273" s="9">
        <v>0.4</v>
      </c>
      <c r="FJ273" s="9">
        <v>0.3</v>
      </c>
      <c r="FK273" s="9">
        <v>0.6</v>
      </c>
      <c r="FL273" s="9">
        <v>2.9</v>
      </c>
      <c r="FM273" s="9">
        <v>0.8</v>
      </c>
      <c r="FN273" s="9">
        <v>0.9</v>
      </c>
      <c r="FO273" s="9">
        <v>1</v>
      </c>
      <c r="FP273" s="9">
        <v>0.6</v>
      </c>
      <c r="FQ273" s="9">
        <v>6.7</v>
      </c>
      <c r="FR273" s="9">
        <v>6.7</v>
      </c>
      <c r="FS273" s="9">
        <v>-2.1</v>
      </c>
      <c r="FT273" s="9">
        <v>-2.1</v>
      </c>
      <c r="FU273" s="9">
        <v>-2.9</v>
      </c>
      <c r="FV273" s="9">
        <v>-1.3</v>
      </c>
      <c r="FW273" s="9">
        <v>-3.6</v>
      </c>
      <c r="FX273" s="9">
        <v>-2.7</v>
      </c>
      <c r="FY273" s="9">
        <v>-0.7</v>
      </c>
      <c r="FZ273" s="9">
        <v>-3.3</v>
      </c>
      <c r="GA273" s="9">
        <v>-3.2</v>
      </c>
      <c r="GB273" s="9">
        <v>-1.9</v>
      </c>
      <c r="GC273" s="9">
        <v>-2.2000000000000002</v>
      </c>
      <c r="GD273" s="9">
        <v>0.2</v>
      </c>
      <c r="GE273" s="9">
        <v>0.6</v>
      </c>
      <c r="GF273" s="9">
        <v>0.6</v>
      </c>
      <c r="GG273" s="9">
        <v>0.6</v>
      </c>
      <c r="GH273" s="9">
        <v>0.1</v>
      </c>
      <c r="GI273" s="9">
        <v>0.1</v>
      </c>
      <c r="GJ273" s="9">
        <v>0.3</v>
      </c>
      <c r="GK273" s="9">
        <v>0.6</v>
      </c>
      <c r="GL273" s="9">
        <v>0</v>
      </c>
      <c r="GM273" s="9">
        <v>1.4</v>
      </c>
      <c r="GN273" s="9">
        <v>0.8</v>
      </c>
      <c r="GO273" s="9">
        <v>1.4</v>
      </c>
      <c r="GP273" s="9">
        <v>2.2999999999999998</v>
      </c>
      <c r="GQ273" s="9">
        <v>-1.4</v>
      </c>
      <c r="GR273" s="9">
        <v>-3.5</v>
      </c>
      <c r="GS273" s="9">
        <v>-4.4000000000000004</v>
      </c>
      <c r="GT273" s="9">
        <v>1.5</v>
      </c>
      <c r="GU273" s="9">
        <v>-2.9</v>
      </c>
      <c r="GV273" s="9">
        <v>-2.9</v>
      </c>
      <c r="GW273" s="9">
        <v>-1</v>
      </c>
      <c r="GX273" s="9">
        <v>-0.6</v>
      </c>
      <c r="GY273" s="9">
        <v>-0.5</v>
      </c>
      <c r="GZ273" s="9">
        <v>-2.6</v>
      </c>
      <c r="HA273" s="9">
        <v>0.6</v>
      </c>
      <c r="HB273" s="9">
        <v>-1.6</v>
      </c>
      <c r="HC273" s="9">
        <v>-2.4</v>
      </c>
      <c r="HD273" s="9">
        <v>-1.9</v>
      </c>
      <c r="HE273" s="9">
        <v>-1.3</v>
      </c>
      <c r="HF273" s="9">
        <v>0.5</v>
      </c>
      <c r="HG273" s="9">
        <v>2.7</v>
      </c>
      <c r="HH273" s="9">
        <v>0.1</v>
      </c>
      <c r="HI273" s="9">
        <v>-1.5</v>
      </c>
      <c r="HJ273" s="9">
        <v>2.6</v>
      </c>
      <c r="HK273" s="9">
        <v>5.4</v>
      </c>
      <c r="HL273" s="9">
        <v>6.1</v>
      </c>
      <c r="HM273" s="9">
        <v>-0.2</v>
      </c>
      <c r="HN273" s="9">
        <v>1.8</v>
      </c>
      <c r="HO273" s="9">
        <v>1.8</v>
      </c>
      <c r="HP273" s="9">
        <v>1.3</v>
      </c>
      <c r="HQ273" s="9">
        <v>1.1000000000000001</v>
      </c>
      <c r="HR273" s="9">
        <v>1</v>
      </c>
      <c r="HS273" s="9">
        <v>0.4</v>
      </c>
      <c r="HT273" s="9">
        <v>0.1</v>
      </c>
      <c r="HU273" s="9">
        <v>4.0999999999999996</v>
      </c>
      <c r="HV273" s="9">
        <v>-3.4</v>
      </c>
      <c r="HW273" s="9">
        <v>0.7</v>
      </c>
      <c r="HX273" s="9">
        <v>2.2000000000000002</v>
      </c>
      <c r="HY273" s="9">
        <v>2.2000000000000002</v>
      </c>
      <c r="HZ273" s="9">
        <v>0.2</v>
      </c>
      <c r="IA273" s="9">
        <v>0.2</v>
      </c>
      <c r="IB273" s="9">
        <v>6.9</v>
      </c>
      <c r="IC273" s="9">
        <v>-0.1</v>
      </c>
      <c r="ID273" s="9">
        <v>-0.5</v>
      </c>
      <c r="IE273" s="9">
        <v>-0.8</v>
      </c>
      <c r="IF273" s="9">
        <v>-2.7</v>
      </c>
      <c r="IG273" s="9">
        <v>1.3</v>
      </c>
      <c r="IH273" s="9">
        <v>0.3</v>
      </c>
      <c r="II273" s="9">
        <v>0.9</v>
      </c>
      <c r="IJ273" s="9">
        <v>0</v>
      </c>
      <c r="IK273" s="9">
        <v>-2.4</v>
      </c>
      <c r="IL273" s="9">
        <v>-2.4</v>
      </c>
      <c r="IM273" s="9">
        <v>-2.2999999999999998</v>
      </c>
      <c r="IN273" s="9">
        <v>1.8</v>
      </c>
      <c r="IO273" s="9">
        <v>0</v>
      </c>
      <c r="IP273" s="9">
        <v>2</v>
      </c>
      <c r="IQ273" s="9">
        <v>1</v>
      </c>
    </row>
    <row r="274" spans="1:251" x14ac:dyDescent="0.2">
      <c r="A274" s="10">
        <v>41791</v>
      </c>
      <c r="B274" s="8">
        <v>73.569999999999993</v>
      </c>
      <c r="C274" s="8">
        <v>73.91</v>
      </c>
      <c r="D274" s="8">
        <v>79.08</v>
      </c>
      <c r="E274" s="8">
        <v>79.42</v>
      </c>
      <c r="F274" s="8">
        <v>76.61</v>
      </c>
      <c r="G274" s="8">
        <v>85.77</v>
      </c>
      <c r="H274" s="8">
        <v>83.29</v>
      </c>
      <c r="I274" s="8">
        <v>71.010000000000005</v>
      </c>
      <c r="J274" s="8">
        <v>57.57</v>
      </c>
      <c r="K274" s="8">
        <v>74.52</v>
      </c>
      <c r="L274" s="8">
        <v>63.02</v>
      </c>
      <c r="M274" s="8">
        <v>84.85</v>
      </c>
      <c r="N274" s="8">
        <v>70.22</v>
      </c>
      <c r="O274" s="8">
        <v>75.97</v>
      </c>
      <c r="P274" s="8">
        <v>75.59</v>
      </c>
      <c r="Q274" s="8">
        <v>71.95</v>
      </c>
      <c r="R274" s="8">
        <v>76.62</v>
      </c>
      <c r="S274" s="8">
        <v>78.849999999999994</v>
      </c>
      <c r="T274" s="8">
        <v>74.760000000000005</v>
      </c>
      <c r="U274" s="8">
        <v>71.31</v>
      </c>
      <c r="V274" s="8">
        <v>77.23</v>
      </c>
      <c r="W274" s="8">
        <v>76.180000000000007</v>
      </c>
      <c r="X274" s="8">
        <v>68.569999999999993</v>
      </c>
      <c r="Y274" s="8">
        <v>82.5</v>
      </c>
      <c r="Z274" s="8">
        <v>83.51</v>
      </c>
      <c r="AA274" s="8">
        <v>58.27</v>
      </c>
      <c r="AB274" s="8">
        <v>76.17</v>
      </c>
      <c r="AC274" s="8">
        <v>81.08</v>
      </c>
      <c r="AD274" s="8">
        <v>75.81</v>
      </c>
      <c r="AE274" s="8">
        <v>74.569999999999993</v>
      </c>
      <c r="AF274" s="8">
        <v>76.150000000000006</v>
      </c>
      <c r="AG274" s="8">
        <v>72.010000000000005</v>
      </c>
      <c r="AH274" s="8">
        <v>73.25</v>
      </c>
      <c r="AI274" s="8">
        <v>70.349999999999994</v>
      </c>
      <c r="AJ274" s="8">
        <v>52.11</v>
      </c>
      <c r="AK274" s="8">
        <v>78.2</v>
      </c>
      <c r="AL274" s="8">
        <v>73.06</v>
      </c>
      <c r="AM274" s="8">
        <v>96.03</v>
      </c>
      <c r="AN274" s="8">
        <v>68.62</v>
      </c>
      <c r="AO274" s="8">
        <v>27.68</v>
      </c>
      <c r="AP274" s="8">
        <v>27.68</v>
      </c>
      <c r="AQ274" s="8">
        <v>97.61</v>
      </c>
      <c r="AR274" s="8">
        <v>108.03</v>
      </c>
      <c r="AS274" s="8">
        <v>108.58</v>
      </c>
      <c r="AT274" s="8">
        <v>112</v>
      </c>
      <c r="AU274" s="8">
        <v>93.31</v>
      </c>
      <c r="AV274" s="8">
        <v>101.61</v>
      </c>
      <c r="AW274" s="8">
        <v>102.93</v>
      </c>
      <c r="AX274" s="8">
        <v>101.48</v>
      </c>
      <c r="AY274" s="8">
        <v>99.75</v>
      </c>
      <c r="AZ274" s="8">
        <v>73.7</v>
      </c>
      <c r="BA274" s="8">
        <v>74.81</v>
      </c>
      <c r="BB274" s="8">
        <v>66.790000000000006</v>
      </c>
      <c r="BC274" s="8">
        <v>69.75</v>
      </c>
      <c r="BD274" s="8">
        <v>78.75</v>
      </c>
      <c r="BE274" s="8">
        <v>78.75</v>
      </c>
      <c r="BF274" s="8">
        <v>62.36</v>
      </c>
      <c r="BG274" s="8">
        <v>62.36</v>
      </c>
      <c r="BH274" s="8">
        <v>66.5</v>
      </c>
      <c r="BI274" s="8">
        <v>70.72</v>
      </c>
      <c r="BJ274" s="8">
        <v>61.24</v>
      </c>
      <c r="BK274" s="8">
        <v>76.13</v>
      </c>
      <c r="BL274" s="8">
        <v>84.89</v>
      </c>
      <c r="BM274" s="8">
        <v>81.64</v>
      </c>
      <c r="BN274" s="8">
        <v>58.4</v>
      </c>
      <c r="BO274" s="8">
        <v>81.569999999999993</v>
      </c>
      <c r="BP274" s="8">
        <v>81.290000000000006</v>
      </c>
      <c r="BQ274" s="8">
        <v>83.11</v>
      </c>
      <c r="BR274" s="8">
        <v>72.7</v>
      </c>
      <c r="BS274" s="8">
        <v>103.3</v>
      </c>
      <c r="BT274" s="8">
        <v>103.3</v>
      </c>
      <c r="BU274" s="8">
        <v>94.3</v>
      </c>
      <c r="BV274" s="8">
        <v>92.7</v>
      </c>
      <c r="BW274" s="8">
        <v>98.16</v>
      </c>
      <c r="BX274" s="8">
        <v>105.49</v>
      </c>
      <c r="BY274" s="8">
        <v>81.489999999999995</v>
      </c>
      <c r="BZ274" s="8">
        <v>87.6</v>
      </c>
      <c r="CA274" s="8">
        <v>85.56</v>
      </c>
      <c r="CB274" s="8">
        <v>98.62</v>
      </c>
      <c r="CC274" s="8">
        <v>80.8</v>
      </c>
      <c r="CD274" s="8">
        <v>68.34</v>
      </c>
      <c r="CE274" s="8">
        <v>69.400000000000006</v>
      </c>
      <c r="CF274" s="8">
        <v>68.69</v>
      </c>
      <c r="CG274" s="8">
        <v>67.900000000000006</v>
      </c>
      <c r="CH274" s="8">
        <v>66.5</v>
      </c>
      <c r="CI274" s="8">
        <v>92.1</v>
      </c>
      <c r="CJ274" s="8">
        <v>91.85</v>
      </c>
      <c r="CK274" s="8">
        <v>93.93</v>
      </c>
      <c r="CL274" s="8">
        <v>61.44</v>
      </c>
      <c r="CM274" s="8">
        <v>59.49</v>
      </c>
      <c r="CN274" s="8">
        <v>78.209999999999994</v>
      </c>
      <c r="CO274" s="8">
        <v>79.16</v>
      </c>
      <c r="CP274" s="8">
        <v>78.760000000000005</v>
      </c>
      <c r="CQ274" s="8">
        <v>86.85</v>
      </c>
      <c r="CR274" s="8">
        <v>71.98</v>
      </c>
      <c r="CS274" s="8">
        <v>81.72</v>
      </c>
      <c r="CT274" s="8">
        <v>71.25</v>
      </c>
      <c r="CU274" s="8">
        <v>72.34</v>
      </c>
      <c r="CV274" s="8">
        <v>89.09</v>
      </c>
      <c r="CW274" s="8">
        <v>89.09</v>
      </c>
      <c r="CX274" s="8">
        <v>127.32</v>
      </c>
      <c r="CY274" s="8">
        <v>127.32</v>
      </c>
      <c r="CZ274" s="8">
        <v>64.150000000000006</v>
      </c>
      <c r="DA274" s="8">
        <v>131.38</v>
      </c>
      <c r="DB274" s="8">
        <v>79.64</v>
      </c>
      <c r="DC274" s="8">
        <v>112.42</v>
      </c>
      <c r="DD274" s="8">
        <v>155.57</v>
      </c>
      <c r="DE274" s="8">
        <v>74.010000000000005</v>
      </c>
      <c r="DF274" s="8">
        <v>77.540000000000006</v>
      </c>
      <c r="DG274" s="8">
        <v>97.89</v>
      </c>
      <c r="DH274" s="8">
        <v>70.099999999999994</v>
      </c>
      <c r="DI274" s="8">
        <v>69.05</v>
      </c>
      <c r="DJ274" s="8">
        <v>63.96</v>
      </c>
      <c r="DK274" s="8">
        <v>65.95</v>
      </c>
      <c r="DL274" s="8">
        <v>78.16</v>
      </c>
      <c r="DM274" s="8">
        <v>83.71</v>
      </c>
      <c r="DN274" s="8">
        <v>112.05</v>
      </c>
      <c r="DO274" s="8">
        <v>74.13</v>
      </c>
      <c r="DP274" s="8">
        <v>60.36</v>
      </c>
      <c r="DQ274" s="8">
        <v>74.38</v>
      </c>
      <c r="DR274" s="8">
        <v>73.91</v>
      </c>
      <c r="DS274" s="8">
        <v>66.72</v>
      </c>
      <c r="DT274" s="8">
        <v>66.72</v>
      </c>
      <c r="DU274" s="8">
        <v>71.22</v>
      </c>
      <c r="DV274" s="8">
        <v>63.56</v>
      </c>
      <c r="DW274" s="8">
        <v>67.55</v>
      </c>
      <c r="DX274" s="8">
        <v>72.010000000000005</v>
      </c>
      <c r="DY274" s="8">
        <v>55.29</v>
      </c>
      <c r="DZ274" s="8">
        <v>55.29</v>
      </c>
      <c r="EA274" s="8">
        <v>78.56</v>
      </c>
      <c r="EB274" s="8">
        <v>94.78</v>
      </c>
      <c r="EC274" s="8">
        <v>76.52</v>
      </c>
      <c r="ED274" s="9">
        <v>0.5</v>
      </c>
      <c r="EE274" s="9">
        <v>0.4</v>
      </c>
      <c r="EF274" s="9">
        <v>0.6</v>
      </c>
      <c r="EG274" s="9">
        <v>0.8</v>
      </c>
      <c r="EH274" s="9">
        <v>1.3</v>
      </c>
      <c r="EI274" s="9">
        <v>-0.2</v>
      </c>
      <c r="EJ274" s="9">
        <v>-1.3</v>
      </c>
      <c r="EK274" s="9">
        <v>2.2999999999999998</v>
      </c>
      <c r="EL274" s="9">
        <v>3.2</v>
      </c>
      <c r="EM274" s="9">
        <v>0.8</v>
      </c>
      <c r="EN274" s="9">
        <v>8.3000000000000007</v>
      </c>
      <c r="EO274" s="9">
        <v>-0.6</v>
      </c>
      <c r="EP274" s="9">
        <v>4.7</v>
      </c>
      <c r="EQ274" s="9">
        <v>1.2</v>
      </c>
      <c r="ER274" s="9">
        <v>1.4</v>
      </c>
      <c r="ES274" s="9">
        <v>0</v>
      </c>
      <c r="ET274" s="9">
        <v>2.6</v>
      </c>
      <c r="EU274" s="9">
        <v>2</v>
      </c>
      <c r="EV274" s="9">
        <v>-1.4</v>
      </c>
      <c r="EW274" s="9">
        <v>-1.3</v>
      </c>
      <c r="EX274" s="9">
        <v>-1.5</v>
      </c>
      <c r="EY274" s="9">
        <v>-0.1</v>
      </c>
      <c r="EZ274" s="9">
        <v>2.8</v>
      </c>
      <c r="FA274" s="9">
        <v>3.8</v>
      </c>
      <c r="FB274" s="9">
        <v>-2.2999999999999998</v>
      </c>
      <c r="FC274" s="9">
        <v>0.3</v>
      </c>
      <c r="FD274" s="9">
        <v>1.4</v>
      </c>
      <c r="FE274" s="9">
        <v>-3.8</v>
      </c>
      <c r="FF274" s="9">
        <v>-0.3</v>
      </c>
      <c r="FG274" s="9">
        <v>-0.7</v>
      </c>
      <c r="FH274" s="9">
        <v>-0.2</v>
      </c>
      <c r="FI274" s="9">
        <v>0.6</v>
      </c>
      <c r="FJ274" s="9">
        <v>0.5</v>
      </c>
      <c r="FK274" s="9">
        <v>0.7</v>
      </c>
      <c r="FL274" s="9">
        <v>1.6</v>
      </c>
      <c r="FM274" s="9">
        <v>0.7</v>
      </c>
      <c r="FN274" s="9">
        <v>-0.2</v>
      </c>
      <c r="FO274" s="9">
        <v>0.5</v>
      </c>
      <c r="FP274" s="9">
        <v>1.1000000000000001</v>
      </c>
      <c r="FQ274" s="9">
        <v>3.1</v>
      </c>
      <c r="FR274" s="9">
        <v>3.1</v>
      </c>
      <c r="FS274" s="9">
        <v>1.6</v>
      </c>
      <c r="FT274" s="9">
        <v>1.9</v>
      </c>
      <c r="FU274" s="9">
        <v>3.2</v>
      </c>
      <c r="FV274" s="9">
        <v>0.8</v>
      </c>
      <c r="FW274" s="9">
        <v>3.6</v>
      </c>
      <c r="FX274" s="9">
        <v>1</v>
      </c>
      <c r="FY274" s="9">
        <v>3.8</v>
      </c>
      <c r="FZ274" s="9">
        <v>-1.2</v>
      </c>
      <c r="GA274" s="9">
        <v>4.4000000000000004</v>
      </c>
      <c r="GB274" s="9">
        <v>1.3</v>
      </c>
      <c r="GC274" s="9">
        <v>1.4</v>
      </c>
      <c r="GD274" s="9">
        <v>0.2</v>
      </c>
      <c r="GE274" s="9">
        <v>0.7</v>
      </c>
      <c r="GF274" s="9">
        <v>0.6</v>
      </c>
      <c r="GG274" s="9">
        <v>0.6</v>
      </c>
      <c r="GH274" s="9">
        <v>1.6</v>
      </c>
      <c r="GI274" s="9">
        <v>1.6</v>
      </c>
      <c r="GJ274" s="9">
        <v>0.3</v>
      </c>
      <c r="GK274" s="9">
        <v>0.5</v>
      </c>
      <c r="GL274" s="9">
        <v>0</v>
      </c>
      <c r="GM274" s="9">
        <v>-0.3</v>
      </c>
      <c r="GN274" s="9">
        <v>0.2</v>
      </c>
      <c r="GO274" s="9">
        <v>-0.8</v>
      </c>
      <c r="GP274" s="9">
        <v>0.3</v>
      </c>
      <c r="GQ274" s="9">
        <v>1.1000000000000001</v>
      </c>
      <c r="GR274" s="9">
        <v>4</v>
      </c>
      <c r="GS274" s="9">
        <v>4.8</v>
      </c>
      <c r="GT274" s="9">
        <v>-0.6</v>
      </c>
      <c r="GU274" s="9">
        <v>-2.1</v>
      </c>
      <c r="GV274" s="9">
        <v>-2.1</v>
      </c>
      <c r="GW274" s="9">
        <v>-0.1</v>
      </c>
      <c r="GX274" s="9">
        <v>0.6</v>
      </c>
      <c r="GY274" s="9">
        <v>0</v>
      </c>
      <c r="GZ274" s="9">
        <v>-1</v>
      </c>
      <c r="HA274" s="9">
        <v>0.2</v>
      </c>
      <c r="HB274" s="9">
        <v>0.6</v>
      </c>
      <c r="HC274" s="9">
        <v>0.8</v>
      </c>
      <c r="HD274" s="9">
        <v>-0.2</v>
      </c>
      <c r="HE274" s="9">
        <v>1.2</v>
      </c>
      <c r="HF274" s="9">
        <v>0.9</v>
      </c>
      <c r="HG274" s="9">
        <v>0.8</v>
      </c>
      <c r="HH274" s="9">
        <v>0.8</v>
      </c>
      <c r="HI274" s="9">
        <v>1.1000000000000001</v>
      </c>
      <c r="HJ274" s="9">
        <v>2.8</v>
      </c>
      <c r="HK274" s="9">
        <v>-1.7</v>
      </c>
      <c r="HL274" s="9">
        <v>-1.9</v>
      </c>
      <c r="HM274" s="9">
        <v>0.5</v>
      </c>
      <c r="HN274" s="9">
        <v>4.0999999999999996</v>
      </c>
      <c r="HO274" s="9">
        <v>4.5999999999999996</v>
      </c>
      <c r="HP274" s="9">
        <v>0.8</v>
      </c>
      <c r="HQ274" s="9">
        <v>-0.7</v>
      </c>
      <c r="HR274" s="9">
        <v>-0.8</v>
      </c>
      <c r="HS274" s="9">
        <v>0.3</v>
      </c>
      <c r="HT274" s="9">
        <v>0.8</v>
      </c>
      <c r="HU274" s="9">
        <v>-2.7</v>
      </c>
      <c r="HV274" s="9">
        <v>0.1</v>
      </c>
      <c r="HW274" s="9">
        <v>0.1</v>
      </c>
      <c r="HX274" s="9">
        <v>0</v>
      </c>
      <c r="HY274" s="9">
        <v>0</v>
      </c>
      <c r="HZ274" s="9">
        <v>-1.7</v>
      </c>
      <c r="IA274" s="9">
        <v>-1.7</v>
      </c>
      <c r="IB274" s="9">
        <v>-1.9</v>
      </c>
      <c r="IC274" s="9">
        <v>-1.7</v>
      </c>
      <c r="ID274" s="9">
        <v>-0.3</v>
      </c>
      <c r="IE274" s="9">
        <v>-1.7</v>
      </c>
      <c r="IF274" s="9">
        <v>-1.6</v>
      </c>
      <c r="IG274" s="9">
        <v>-1.8</v>
      </c>
      <c r="IH274" s="9">
        <v>0.4</v>
      </c>
      <c r="II274" s="9">
        <v>-1.6</v>
      </c>
      <c r="IJ274" s="9">
        <v>1.4</v>
      </c>
      <c r="IK274" s="9">
        <v>-0.4</v>
      </c>
      <c r="IL274" s="9">
        <v>-3.9</v>
      </c>
      <c r="IM274" s="9">
        <v>3.6</v>
      </c>
      <c r="IN274" s="9">
        <v>0.4</v>
      </c>
      <c r="IO274" s="9">
        <v>0.7</v>
      </c>
      <c r="IP274" s="9">
        <v>-0.1</v>
      </c>
      <c r="IQ274" s="9">
        <v>-1.6</v>
      </c>
    </row>
    <row r="275" spans="1:251" x14ac:dyDescent="0.2">
      <c r="A275" s="10">
        <v>41883</v>
      </c>
      <c r="B275" s="8">
        <v>73.88</v>
      </c>
      <c r="C275" s="8">
        <v>74.760000000000005</v>
      </c>
      <c r="D275" s="8">
        <v>77.53</v>
      </c>
      <c r="E275" s="8">
        <v>77.040000000000006</v>
      </c>
      <c r="F275" s="8">
        <v>75.599999999999994</v>
      </c>
      <c r="G275" s="8">
        <v>81.89</v>
      </c>
      <c r="H275" s="8">
        <v>84.08</v>
      </c>
      <c r="I275" s="8">
        <v>71.27</v>
      </c>
      <c r="J275" s="8">
        <v>58.79</v>
      </c>
      <c r="K275" s="8">
        <v>74.44</v>
      </c>
      <c r="L275" s="8">
        <v>61.61</v>
      </c>
      <c r="M275" s="8">
        <v>85.05</v>
      </c>
      <c r="N275" s="8">
        <v>71.28</v>
      </c>
      <c r="O275" s="8">
        <v>75.69</v>
      </c>
      <c r="P275" s="8">
        <v>76.290000000000006</v>
      </c>
      <c r="Q275" s="8">
        <v>71.83</v>
      </c>
      <c r="R275" s="8">
        <v>78.959999999999994</v>
      </c>
      <c r="S275" s="8">
        <v>78.989999999999995</v>
      </c>
      <c r="T275" s="8">
        <v>79.84</v>
      </c>
      <c r="U275" s="8">
        <v>81.73</v>
      </c>
      <c r="V275" s="8">
        <v>77.89</v>
      </c>
      <c r="W275" s="8">
        <v>76.28</v>
      </c>
      <c r="X275" s="8">
        <v>68.849999999999994</v>
      </c>
      <c r="Y275" s="8">
        <v>85.69</v>
      </c>
      <c r="Z275" s="8">
        <v>83.76</v>
      </c>
      <c r="AA275" s="8">
        <v>57.82</v>
      </c>
      <c r="AB275" s="8">
        <v>75.75</v>
      </c>
      <c r="AC275" s="8">
        <v>81.489999999999995</v>
      </c>
      <c r="AD275" s="8">
        <v>76.56</v>
      </c>
      <c r="AE275" s="8">
        <v>78.5</v>
      </c>
      <c r="AF275" s="8">
        <v>75.86</v>
      </c>
      <c r="AG275" s="8">
        <v>72.33</v>
      </c>
      <c r="AH275" s="8">
        <v>73.78</v>
      </c>
      <c r="AI275" s="8">
        <v>70.459999999999994</v>
      </c>
      <c r="AJ275" s="8">
        <v>52.66</v>
      </c>
      <c r="AK275" s="8">
        <v>78.459999999999994</v>
      </c>
      <c r="AL275" s="8">
        <v>73.44</v>
      </c>
      <c r="AM275" s="8">
        <v>95.6</v>
      </c>
      <c r="AN275" s="8">
        <v>69.19</v>
      </c>
      <c r="AO275" s="8">
        <v>28.31</v>
      </c>
      <c r="AP275" s="8">
        <v>28.31</v>
      </c>
      <c r="AQ275" s="8">
        <v>96.62</v>
      </c>
      <c r="AR275" s="8">
        <v>106.34</v>
      </c>
      <c r="AS275" s="8">
        <v>104.62</v>
      </c>
      <c r="AT275" s="8">
        <v>111.51</v>
      </c>
      <c r="AU275" s="8">
        <v>91.94</v>
      </c>
      <c r="AV275" s="8">
        <v>100.54</v>
      </c>
      <c r="AW275" s="8">
        <v>99.97</v>
      </c>
      <c r="AX275" s="8">
        <v>102.01</v>
      </c>
      <c r="AY275" s="8">
        <v>96.45</v>
      </c>
      <c r="AZ275" s="8">
        <v>74.150000000000006</v>
      </c>
      <c r="BA275" s="8">
        <v>75.150000000000006</v>
      </c>
      <c r="BB275" s="8">
        <v>67.819999999999993</v>
      </c>
      <c r="BC275" s="8">
        <v>70.12</v>
      </c>
      <c r="BD275" s="8">
        <v>79.22</v>
      </c>
      <c r="BE275" s="8">
        <v>79.22</v>
      </c>
      <c r="BF275" s="8">
        <v>63.08</v>
      </c>
      <c r="BG275" s="8">
        <v>63.08</v>
      </c>
      <c r="BH275" s="8">
        <v>68.55</v>
      </c>
      <c r="BI275" s="8">
        <v>71.290000000000006</v>
      </c>
      <c r="BJ275" s="8">
        <v>65.12</v>
      </c>
      <c r="BK275" s="8">
        <v>74.02</v>
      </c>
      <c r="BL275" s="8">
        <v>84.38</v>
      </c>
      <c r="BM275" s="8">
        <v>77.510000000000005</v>
      </c>
      <c r="BN275" s="8">
        <v>59.12</v>
      </c>
      <c r="BO275" s="8">
        <v>81.84</v>
      </c>
      <c r="BP275" s="8">
        <v>81.56</v>
      </c>
      <c r="BQ275" s="8">
        <v>83.34</v>
      </c>
      <c r="BR275" s="8">
        <v>73.09</v>
      </c>
      <c r="BS275" s="8">
        <v>99.82</v>
      </c>
      <c r="BT275" s="8">
        <v>99.82</v>
      </c>
      <c r="BU275" s="8">
        <v>95.56</v>
      </c>
      <c r="BV275" s="8">
        <v>93.18</v>
      </c>
      <c r="BW275" s="8">
        <v>98.38</v>
      </c>
      <c r="BX275" s="8">
        <v>109.6</v>
      </c>
      <c r="BY275" s="8">
        <v>81.33</v>
      </c>
      <c r="BZ275" s="8">
        <v>87.15</v>
      </c>
      <c r="CA275" s="8">
        <v>86.84</v>
      </c>
      <c r="CB275" s="8">
        <v>97.53</v>
      </c>
      <c r="CC275" s="8">
        <v>80.41</v>
      </c>
      <c r="CD275" s="8">
        <v>69.400000000000006</v>
      </c>
      <c r="CE275" s="8">
        <v>71.55</v>
      </c>
      <c r="CF275" s="8">
        <v>69.2</v>
      </c>
      <c r="CG275" s="8">
        <v>68.45</v>
      </c>
      <c r="CH275" s="8">
        <v>66.38</v>
      </c>
      <c r="CI275" s="8">
        <v>90.98</v>
      </c>
      <c r="CJ275" s="8">
        <v>90.57</v>
      </c>
      <c r="CK275" s="8">
        <v>94.2</v>
      </c>
      <c r="CL275" s="8">
        <v>61.51</v>
      </c>
      <c r="CM275" s="8">
        <v>59.48</v>
      </c>
      <c r="CN275" s="8">
        <v>78.98</v>
      </c>
      <c r="CO275" s="8">
        <v>79.11</v>
      </c>
      <c r="CP275" s="8">
        <v>78.650000000000006</v>
      </c>
      <c r="CQ275" s="8">
        <v>86.54</v>
      </c>
      <c r="CR275" s="8">
        <v>72.069999999999993</v>
      </c>
      <c r="CS275" s="8">
        <v>79.58</v>
      </c>
      <c r="CT275" s="8">
        <v>71.33</v>
      </c>
      <c r="CU275" s="8">
        <v>76.52</v>
      </c>
      <c r="CV275" s="8">
        <v>90.06</v>
      </c>
      <c r="CW275" s="8">
        <v>90.06</v>
      </c>
      <c r="CX275" s="8">
        <v>125.51</v>
      </c>
      <c r="CY275" s="8">
        <v>125.51</v>
      </c>
      <c r="CZ275" s="8">
        <v>64.180000000000007</v>
      </c>
      <c r="DA275" s="8">
        <v>129.41999999999999</v>
      </c>
      <c r="DB275" s="8">
        <v>80.06</v>
      </c>
      <c r="DC275" s="8">
        <v>112.95</v>
      </c>
      <c r="DD275" s="8">
        <v>155.99</v>
      </c>
      <c r="DE275" s="8">
        <v>74.53</v>
      </c>
      <c r="DF275" s="8">
        <v>78.69</v>
      </c>
      <c r="DG275" s="8">
        <v>99.69</v>
      </c>
      <c r="DH275" s="8">
        <v>71.010000000000005</v>
      </c>
      <c r="DI275" s="8">
        <v>69.47</v>
      </c>
      <c r="DJ275" s="8">
        <v>63.94</v>
      </c>
      <c r="DK275" s="8">
        <v>66.819999999999993</v>
      </c>
      <c r="DL275" s="8">
        <v>78.31</v>
      </c>
      <c r="DM275" s="8">
        <v>84.81</v>
      </c>
      <c r="DN275" s="8">
        <v>110.7</v>
      </c>
      <c r="DO275" s="8">
        <v>72.84</v>
      </c>
      <c r="DP275" s="8">
        <v>61.1</v>
      </c>
      <c r="DQ275" s="8">
        <v>74.55</v>
      </c>
      <c r="DR275" s="8">
        <v>74.39</v>
      </c>
      <c r="DS275" s="8">
        <v>66.760000000000005</v>
      </c>
      <c r="DT275" s="8">
        <v>66.760000000000005</v>
      </c>
      <c r="DU275" s="8">
        <v>71.48</v>
      </c>
      <c r="DV275" s="8">
        <v>63.56</v>
      </c>
      <c r="DW275" s="8">
        <v>67.55</v>
      </c>
      <c r="DX275" s="8">
        <v>72.39</v>
      </c>
      <c r="DY275" s="8">
        <v>55.68</v>
      </c>
      <c r="DZ275" s="8">
        <v>55.68</v>
      </c>
      <c r="EA275" s="8">
        <v>78.92</v>
      </c>
      <c r="EB275" s="8">
        <v>95.06</v>
      </c>
      <c r="EC275" s="8">
        <v>76.900000000000006</v>
      </c>
      <c r="ED275" s="9">
        <v>0.4</v>
      </c>
      <c r="EE275" s="9">
        <v>1.2</v>
      </c>
      <c r="EF275" s="9">
        <v>-2</v>
      </c>
      <c r="EG275" s="9">
        <v>-3</v>
      </c>
      <c r="EH275" s="9">
        <v>-1.3</v>
      </c>
      <c r="EI275" s="9">
        <v>-4.5</v>
      </c>
      <c r="EJ275" s="9">
        <v>0.9</v>
      </c>
      <c r="EK275" s="9">
        <v>0.4</v>
      </c>
      <c r="EL275" s="9">
        <v>2.1</v>
      </c>
      <c r="EM275" s="9">
        <v>-0.1</v>
      </c>
      <c r="EN275" s="9">
        <v>-2.2000000000000002</v>
      </c>
      <c r="EO275" s="9">
        <v>0.2</v>
      </c>
      <c r="EP275" s="9">
        <v>1.5</v>
      </c>
      <c r="EQ275" s="9">
        <v>-0.4</v>
      </c>
      <c r="ER275" s="9">
        <v>0.9</v>
      </c>
      <c r="ES275" s="9">
        <v>-0.2</v>
      </c>
      <c r="ET275" s="9">
        <v>3.1</v>
      </c>
      <c r="EU275" s="9">
        <v>0.2</v>
      </c>
      <c r="EV275" s="9">
        <v>6.8</v>
      </c>
      <c r="EW275" s="9">
        <v>14.6</v>
      </c>
      <c r="EX275" s="9">
        <v>0.9</v>
      </c>
      <c r="EY275" s="9">
        <v>0.1</v>
      </c>
      <c r="EZ275" s="9">
        <v>0.4</v>
      </c>
      <c r="FA275" s="9">
        <v>3.9</v>
      </c>
      <c r="FB275" s="9">
        <v>0.3</v>
      </c>
      <c r="FC275" s="9">
        <v>-0.8</v>
      </c>
      <c r="FD275" s="9">
        <v>-0.6</v>
      </c>
      <c r="FE275" s="9">
        <v>0.5</v>
      </c>
      <c r="FF275" s="9">
        <v>1</v>
      </c>
      <c r="FG275" s="9">
        <v>5.3</v>
      </c>
      <c r="FH275" s="9">
        <v>-0.4</v>
      </c>
      <c r="FI275" s="9">
        <v>0.4</v>
      </c>
      <c r="FJ275" s="9">
        <v>0.7</v>
      </c>
      <c r="FK275" s="9">
        <v>0.2</v>
      </c>
      <c r="FL275" s="9">
        <v>1.1000000000000001</v>
      </c>
      <c r="FM275" s="9">
        <v>0.3</v>
      </c>
      <c r="FN275" s="9">
        <v>0.5</v>
      </c>
      <c r="FO275" s="9">
        <v>-0.4</v>
      </c>
      <c r="FP275" s="9">
        <v>0.8</v>
      </c>
      <c r="FQ275" s="9">
        <v>2.2999999999999998</v>
      </c>
      <c r="FR275" s="9">
        <v>2.2999999999999998</v>
      </c>
      <c r="FS275" s="9">
        <v>-1</v>
      </c>
      <c r="FT275" s="9">
        <v>-1.6</v>
      </c>
      <c r="FU275" s="9">
        <v>-3.6</v>
      </c>
      <c r="FV275" s="9">
        <v>-0.4</v>
      </c>
      <c r="FW275" s="9">
        <v>-1.5</v>
      </c>
      <c r="FX275" s="9">
        <v>-1.1000000000000001</v>
      </c>
      <c r="FY275" s="9">
        <v>-2.9</v>
      </c>
      <c r="FZ275" s="9">
        <v>0.5</v>
      </c>
      <c r="GA275" s="9">
        <v>-3.3</v>
      </c>
      <c r="GB275" s="9">
        <v>0.6</v>
      </c>
      <c r="GC275" s="9">
        <v>0.5</v>
      </c>
      <c r="GD275" s="9">
        <v>1.5</v>
      </c>
      <c r="GE275" s="9">
        <v>0.5</v>
      </c>
      <c r="GF275" s="9">
        <v>0.6</v>
      </c>
      <c r="GG275" s="9">
        <v>0.6</v>
      </c>
      <c r="GH275" s="9">
        <v>1.2</v>
      </c>
      <c r="GI275" s="9">
        <v>1.2</v>
      </c>
      <c r="GJ275" s="9">
        <v>3.1</v>
      </c>
      <c r="GK275" s="9">
        <v>0.8</v>
      </c>
      <c r="GL275" s="9">
        <v>6.3</v>
      </c>
      <c r="GM275" s="9">
        <v>-2.8</v>
      </c>
      <c r="GN275" s="9">
        <v>-0.6</v>
      </c>
      <c r="GO275" s="9">
        <v>-5.0999999999999996</v>
      </c>
      <c r="GP275" s="9">
        <v>1.2</v>
      </c>
      <c r="GQ275" s="9">
        <v>0.3</v>
      </c>
      <c r="GR275" s="9">
        <v>0.3</v>
      </c>
      <c r="GS275" s="9">
        <v>0.3</v>
      </c>
      <c r="GT275" s="9">
        <v>0.5</v>
      </c>
      <c r="GU275" s="9">
        <v>-3.4</v>
      </c>
      <c r="GV275" s="9">
        <v>-3.4</v>
      </c>
      <c r="GW275" s="9">
        <v>1.3</v>
      </c>
      <c r="GX275" s="9">
        <v>0.5</v>
      </c>
      <c r="GY275" s="9">
        <v>0.2</v>
      </c>
      <c r="GZ275" s="9">
        <v>3.9</v>
      </c>
      <c r="HA275" s="9">
        <v>-0.2</v>
      </c>
      <c r="HB275" s="9">
        <v>-0.5</v>
      </c>
      <c r="HC275" s="9">
        <v>1.5</v>
      </c>
      <c r="HD275" s="9">
        <v>-1.1000000000000001</v>
      </c>
      <c r="HE275" s="9">
        <v>-0.5</v>
      </c>
      <c r="HF275" s="9">
        <v>1.6</v>
      </c>
      <c r="HG275" s="9">
        <v>3.1</v>
      </c>
      <c r="HH275" s="9">
        <v>0.7</v>
      </c>
      <c r="HI275" s="9">
        <v>0.8</v>
      </c>
      <c r="HJ275" s="9">
        <v>-0.2</v>
      </c>
      <c r="HK275" s="9">
        <v>-1.2</v>
      </c>
      <c r="HL275" s="9">
        <v>-1.4</v>
      </c>
      <c r="HM275" s="9">
        <v>0.3</v>
      </c>
      <c r="HN275" s="9">
        <v>0.1</v>
      </c>
      <c r="HO275" s="9">
        <v>0</v>
      </c>
      <c r="HP275" s="9">
        <v>1</v>
      </c>
      <c r="HQ275" s="9">
        <v>-0.1</v>
      </c>
      <c r="HR275" s="9">
        <v>-0.1</v>
      </c>
      <c r="HS275" s="9">
        <v>-0.4</v>
      </c>
      <c r="HT275" s="9">
        <v>0.1</v>
      </c>
      <c r="HU275" s="9">
        <v>-2.6</v>
      </c>
      <c r="HV275" s="9">
        <v>0.1</v>
      </c>
      <c r="HW275" s="9">
        <v>5.8</v>
      </c>
      <c r="HX275" s="9">
        <v>1.1000000000000001</v>
      </c>
      <c r="HY275" s="9">
        <v>1.1000000000000001</v>
      </c>
      <c r="HZ275" s="9">
        <v>-1.4</v>
      </c>
      <c r="IA275" s="9">
        <v>-1.4</v>
      </c>
      <c r="IB275" s="9">
        <v>0</v>
      </c>
      <c r="IC275" s="9">
        <v>-1.5</v>
      </c>
      <c r="ID275" s="9">
        <v>0.5</v>
      </c>
      <c r="IE275" s="9">
        <v>0.5</v>
      </c>
      <c r="IF275" s="9">
        <v>0.3</v>
      </c>
      <c r="IG275" s="9">
        <v>0.7</v>
      </c>
      <c r="IH275" s="9">
        <v>1.5</v>
      </c>
      <c r="II275" s="9">
        <v>1.8</v>
      </c>
      <c r="IJ275" s="9">
        <v>1.3</v>
      </c>
      <c r="IK275" s="9">
        <v>0.6</v>
      </c>
      <c r="IL275" s="9">
        <v>0</v>
      </c>
      <c r="IM275" s="9">
        <v>1.3</v>
      </c>
      <c r="IN275" s="9">
        <v>0.2</v>
      </c>
      <c r="IO275" s="9">
        <v>1.3</v>
      </c>
      <c r="IP275" s="9">
        <v>-1.2</v>
      </c>
      <c r="IQ275" s="9">
        <v>-1.7</v>
      </c>
    </row>
    <row r="276" spans="1:251" x14ac:dyDescent="0.2">
      <c r="A276" s="10">
        <v>41974</v>
      </c>
      <c r="B276" s="8">
        <v>74.02</v>
      </c>
      <c r="C276" s="8">
        <v>74.819999999999993</v>
      </c>
      <c r="D276" s="8">
        <v>78.16</v>
      </c>
      <c r="E276" s="8">
        <v>76.599999999999994</v>
      </c>
      <c r="F276" s="8">
        <v>77.459999999999994</v>
      </c>
      <c r="G276" s="8">
        <v>80.680000000000007</v>
      </c>
      <c r="H276" s="8">
        <v>84.75</v>
      </c>
      <c r="I276" s="8">
        <v>71.97</v>
      </c>
      <c r="J276" s="8">
        <v>59.75</v>
      </c>
      <c r="K276" s="8">
        <v>75.709999999999994</v>
      </c>
      <c r="L276" s="8">
        <v>59.35</v>
      </c>
      <c r="M276" s="8">
        <v>85.39</v>
      </c>
      <c r="N276" s="8">
        <v>72.819999999999993</v>
      </c>
      <c r="O276" s="8">
        <v>77.03</v>
      </c>
      <c r="P276" s="8">
        <v>75.73</v>
      </c>
      <c r="Q276" s="8">
        <v>71.92</v>
      </c>
      <c r="R276" s="8">
        <v>78.53</v>
      </c>
      <c r="S276" s="8">
        <v>77.540000000000006</v>
      </c>
      <c r="T276" s="8">
        <v>78.099999999999994</v>
      </c>
      <c r="U276" s="8">
        <v>79.540000000000006</v>
      </c>
      <c r="V276" s="8">
        <v>76.52</v>
      </c>
      <c r="W276" s="8">
        <v>76.77</v>
      </c>
      <c r="X276" s="8">
        <v>67.09</v>
      </c>
      <c r="Y276" s="8">
        <v>87.23</v>
      </c>
      <c r="Z276" s="8">
        <v>82.23</v>
      </c>
      <c r="AA276" s="8">
        <v>57.27</v>
      </c>
      <c r="AB276" s="8">
        <v>76</v>
      </c>
      <c r="AC276" s="8">
        <v>84.72</v>
      </c>
      <c r="AD276" s="8">
        <v>76.040000000000006</v>
      </c>
      <c r="AE276" s="8">
        <v>78.19</v>
      </c>
      <c r="AF276" s="8">
        <v>75.28</v>
      </c>
      <c r="AG276" s="8">
        <v>72.81</v>
      </c>
      <c r="AH276" s="8">
        <v>74.260000000000005</v>
      </c>
      <c r="AI276" s="8">
        <v>70.94</v>
      </c>
      <c r="AJ276" s="8">
        <v>53.55</v>
      </c>
      <c r="AK276" s="8">
        <v>78.27</v>
      </c>
      <c r="AL276" s="8">
        <v>72.86</v>
      </c>
      <c r="AM276" s="8">
        <v>94.78</v>
      </c>
      <c r="AN276" s="8">
        <v>69.489999999999995</v>
      </c>
      <c r="AO276" s="8">
        <v>29.68</v>
      </c>
      <c r="AP276" s="8">
        <v>29.68</v>
      </c>
      <c r="AQ276" s="8">
        <v>96.73</v>
      </c>
      <c r="AR276" s="8">
        <v>106.02</v>
      </c>
      <c r="AS276" s="8">
        <v>105.8</v>
      </c>
      <c r="AT276" s="8">
        <v>109.85</v>
      </c>
      <c r="AU276" s="8">
        <v>93.46</v>
      </c>
      <c r="AV276" s="8">
        <v>104.68</v>
      </c>
      <c r="AW276" s="8">
        <v>103.7</v>
      </c>
      <c r="AX276" s="8">
        <v>107.3</v>
      </c>
      <c r="AY276" s="8">
        <v>97.94</v>
      </c>
      <c r="AZ276" s="8">
        <v>73.05</v>
      </c>
      <c r="BA276" s="8">
        <v>73.77</v>
      </c>
      <c r="BB276" s="8">
        <v>68.25</v>
      </c>
      <c r="BC276" s="8">
        <v>70.5</v>
      </c>
      <c r="BD276" s="8">
        <v>79.63</v>
      </c>
      <c r="BE276" s="8">
        <v>79.63</v>
      </c>
      <c r="BF276" s="8">
        <v>63.75</v>
      </c>
      <c r="BG276" s="8">
        <v>63.75</v>
      </c>
      <c r="BH276" s="8">
        <v>68.78</v>
      </c>
      <c r="BI276" s="8">
        <v>71.709999999999994</v>
      </c>
      <c r="BJ276" s="8">
        <v>65.12</v>
      </c>
      <c r="BK276" s="8">
        <v>73.81</v>
      </c>
      <c r="BL276" s="8">
        <v>84.3</v>
      </c>
      <c r="BM276" s="8">
        <v>77.510000000000005</v>
      </c>
      <c r="BN276" s="8">
        <v>58.35</v>
      </c>
      <c r="BO276" s="8">
        <v>82.27</v>
      </c>
      <c r="BP276" s="8">
        <v>81.459999999999994</v>
      </c>
      <c r="BQ276" s="8">
        <v>83.18</v>
      </c>
      <c r="BR276" s="8">
        <v>73.31</v>
      </c>
      <c r="BS276" s="8">
        <v>102.96</v>
      </c>
      <c r="BT276" s="8">
        <v>102.96</v>
      </c>
      <c r="BU276" s="8">
        <v>93.22</v>
      </c>
      <c r="BV276" s="8">
        <v>90.9</v>
      </c>
      <c r="BW276" s="8">
        <v>97.23</v>
      </c>
      <c r="BX276" s="8">
        <v>104.67</v>
      </c>
      <c r="BY276" s="8">
        <v>81.13</v>
      </c>
      <c r="BZ276" s="8">
        <v>88.52</v>
      </c>
      <c r="CA276" s="8">
        <v>85.58</v>
      </c>
      <c r="CB276" s="8">
        <v>98.74</v>
      </c>
      <c r="CC276" s="8">
        <v>82.35</v>
      </c>
      <c r="CD276" s="8">
        <v>69.98</v>
      </c>
      <c r="CE276" s="8">
        <v>72.510000000000005</v>
      </c>
      <c r="CF276" s="8">
        <v>69.680000000000007</v>
      </c>
      <c r="CG276" s="8">
        <v>68.75</v>
      </c>
      <c r="CH276" s="8">
        <v>65.790000000000006</v>
      </c>
      <c r="CI276" s="8">
        <v>87.98</v>
      </c>
      <c r="CJ276" s="8">
        <v>87.18</v>
      </c>
      <c r="CK276" s="8">
        <v>94.4</v>
      </c>
      <c r="CL276" s="8">
        <v>61.37</v>
      </c>
      <c r="CM276" s="8">
        <v>59.3</v>
      </c>
      <c r="CN276" s="8">
        <v>79.22</v>
      </c>
      <c r="CO276" s="8">
        <v>77.349999999999994</v>
      </c>
      <c r="CP276" s="8">
        <v>76.87</v>
      </c>
      <c r="CQ276" s="8">
        <v>85.54</v>
      </c>
      <c r="CR276" s="8">
        <v>72.290000000000006</v>
      </c>
      <c r="CS276" s="8">
        <v>74.239999999999995</v>
      </c>
      <c r="CT276" s="8">
        <v>72.290000000000006</v>
      </c>
      <c r="CU276" s="8">
        <v>76.64</v>
      </c>
      <c r="CV276" s="8">
        <v>88.41</v>
      </c>
      <c r="CW276" s="8">
        <v>88.41</v>
      </c>
      <c r="CX276" s="8">
        <v>125.39</v>
      </c>
      <c r="CY276" s="8">
        <v>125.39</v>
      </c>
      <c r="CZ276" s="8">
        <v>64.87</v>
      </c>
      <c r="DA276" s="8">
        <v>129.22</v>
      </c>
      <c r="DB276" s="8">
        <v>80.88</v>
      </c>
      <c r="DC276" s="8">
        <v>107.79</v>
      </c>
      <c r="DD276" s="8">
        <v>147.85</v>
      </c>
      <c r="DE276" s="8">
        <v>71.67</v>
      </c>
      <c r="DF276" s="8">
        <v>79.489999999999995</v>
      </c>
      <c r="DG276" s="8">
        <v>100.72</v>
      </c>
      <c r="DH276" s="8">
        <v>71.73</v>
      </c>
      <c r="DI276" s="8">
        <v>72.17</v>
      </c>
      <c r="DJ276" s="8">
        <v>67.599999999999994</v>
      </c>
      <c r="DK276" s="8">
        <v>68.09</v>
      </c>
      <c r="DL276" s="8">
        <v>78.540000000000006</v>
      </c>
      <c r="DM276" s="8">
        <v>85.1</v>
      </c>
      <c r="DN276" s="8">
        <v>109.13</v>
      </c>
      <c r="DO276" s="8">
        <v>72.73</v>
      </c>
      <c r="DP276" s="8">
        <v>61.92</v>
      </c>
      <c r="DQ276" s="8">
        <v>75.03</v>
      </c>
      <c r="DR276" s="8">
        <v>74.94</v>
      </c>
      <c r="DS276" s="8">
        <v>66.78</v>
      </c>
      <c r="DT276" s="8">
        <v>66.78</v>
      </c>
      <c r="DU276" s="8">
        <v>71.63</v>
      </c>
      <c r="DV276" s="8">
        <v>63.56</v>
      </c>
      <c r="DW276" s="8">
        <v>67.55</v>
      </c>
      <c r="DX276" s="8">
        <v>73.17</v>
      </c>
      <c r="DY276" s="8">
        <v>56.39</v>
      </c>
      <c r="DZ276" s="8">
        <v>56.39</v>
      </c>
      <c r="EA276" s="8">
        <v>79.709999999999994</v>
      </c>
      <c r="EB276" s="8">
        <v>95.34</v>
      </c>
      <c r="EC276" s="8">
        <v>77.8</v>
      </c>
      <c r="ED276" s="9">
        <v>0.2</v>
      </c>
      <c r="EE276" s="9">
        <v>0.1</v>
      </c>
      <c r="EF276" s="9">
        <v>0.8</v>
      </c>
      <c r="EG276" s="9">
        <v>-0.6</v>
      </c>
      <c r="EH276" s="9">
        <v>2.5</v>
      </c>
      <c r="EI276" s="9">
        <v>-1.5</v>
      </c>
      <c r="EJ276" s="9">
        <v>0.8</v>
      </c>
      <c r="EK276" s="9">
        <v>1</v>
      </c>
      <c r="EL276" s="9">
        <v>1.6</v>
      </c>
      <c r="EM276" s="9">
        <v>1.7</v>
      </c>
      <c r="EN276" s="9">
        <v>-3.7</v>
      </c>
      <c r="EO276" s="9">
        <v>0.4</v>
      </c>
      <c r="EP276" s="9">
        <v>2.2000000000000002</v>
      </c>
      <c r="EQ276" s="9">
        <v>1.8</v>
      </c>
      <c r="ER276" s="9">
        <v>-0.7</v>
      </c>
      <c r="ES276" s="9">
        <v>0.1</v>
      </c>
      <c r="ET276" s="9">
        <v>-0.5</v>
      </c>
      <c r="EU276" s="9">
        <v>-1.8</v>
      </c>
      <c r="EV276" s="9">
        <v>-2.2000000000000002</v>
      </c>
      <c r="EW276" s="9">
        <v>-2.7</v>
      </c>
      <c r="EX276" s="9">
        <v>-1.8</v>
      </c>
      <c r="EY276" s="9">
        <v>0.6</v>
      </c>
      <c r="EZ276" s="9">
        <v>-2.6</v>
      </c>
      <c r="FA276" s="9">
        <v>1.8</v>
      </c>
      <c r="FB276" s="9">
        <v>-1.8</v>
      </c>
      <c r="FC276" s="9">
        <v>-1</v>
      </c>
      <c r="FD276" s="9">
        <v>0.3</v>
      </c>
      <c r="FE276" s="9">
        <v>4</v>
      </c>
      <c r="FF276" s="9">
        <v>-0.7</v>
      </c>
      <c r="FG276" s="9">
        <v>-0.4</v>
      </c>
      <c r="FH276" s="9">
        <v>-0.8</v>
      </c>
      <c r="FI276" s="9">
        <v>0.7</v>
      </c>
      <c r="FJ276" s="9">
        <v>0.7</v>
      </c>
      <c r="FK276" s="9">
        <v>0.7</v>
      </c>
      <c r="FL276" s="9">
        <v>1.7</v>
      </c>
      <c r="FM276" s="9">
        <v>-0.2</v>
      </c>
      <c r="FN276" s="9">
        <v>-0.8</v>
      </c>
      <c r="FO276" s="9">
        <v>-0.9</v>
      </c>
      <c r="FP276" s="9">
        <v>0.4</v>
      </c>
      <c r="FQ276" s="9">
        <v>4.8</v>
      </c>
      <c r="FR276" s="9">
        <v>4.8</v>
      </c>
      <c r="FS276" s="9">
        <v>0.1</v>
      </c>
      <c r="FT276" s="9">
        <v>-0.3</v>
      </c>
      <c r="FU276" s="9">
        <v>1.1000000000000001</v>
      </c>
      <c r="FV276" s="9">
        <v>-1.5</v>
      </c>
      <c r="FW276" s="9">
        <v>1.7</v>
      </c>
      <c r="FX276" s="9">
        <v>4.0999999999999996</v>
      </c>
      <c r="FY276" s="9">
        <v>3.7</v>
      </c>
      <c r="FZ276" s="9">
        <v>5.2</v>
      </c>
      <c r="GA276" s="9">
        <v>1.5</v>
      </c>
      <c r="GB276" s="9">
        <v>-1.5</v>
      </c>
      <c r="GC276" s="9">
        <v>-1.8</v>
      </c>
      <c r="GD276" s="9">
        <v>0.6</v>
      </c>
      <c r="GE276" s="9">
        <v>0.5</v>
      </c>
      <c r="GF276" s="9">
        <v>0.5</v>
      </c>
      <c r="GG276" s="9">
        <v>0.5</v>
      </c>
      <c r="GH276" s="9">
        <v>1.1000000000000001</v>
      </c>
      <c r="GI276" s="9">
        <v>1.1000000000000001</v>
      </c>
      <c r="GJ276" s="9">
        <v>0.3</v>
      </c>
      <c r="GK276" s="9">
        <v>0.6</v>
      </c>
      <c r="GL276" s="9">
        <v>0</v>
      </c>
      <c r="GM276" s="9">
        <v>-0.3</v>
      </c>
      <c r="GN276" s="9">
        <v>-0.1</v>
      </c>
      <c r="GO276" s="9">
        <v>0</v>
      </c>
      <c r="GP276" s="9">
        <v>-1.3</v>
      </c>
      <c r="GQ276" s="9">
        <v>0.5</v>
      </c>
      <c r="GR276" s="9">
        <v>-0.1</v>
      </c>
      <c r="GS276" s="9">
        <v>-0.2</v>
      </c>
      <c r="GT276" s="9">
        <v>0.3</v>
      </c>
      <c r="GU276" s="9">
        <v>3.1</v>
      </c>
      <c r="GV276" s="9">
        <v>3.1</v>
      </c>
      <c r="GW276" s="9">
        <v>-2.4</v>
      </c>
      <c r="GX276" s="9">
        <v>-2.4</v>
      </c>
      <c r="GY276" s="9">
        <v>-1.2</v>
      </c>
      <c r="GZ276" s="9">
        <v>-4.5</v>
      </c>
      <c r="HA276" s="9">
        <v>-0.2</v>
      </c>
      <c r="HB276" s="9">
        <v>1.6</v>
      </c>
      <c r="HC276" s="9">
        <v>-1.5</v>
      </c>
      <c r="HD276" s="9">
        <v>1.2</v>
      </c>
      <c r="HE276" s="9">
        <v>2.4</v>
      </c>
      <c r="HF276" s="9">
        <v>0.8</v>
      </c>
      <c r="HG276" s="9">
        <v>1.3</v>
      </c>
      <c r="HH276" s="9">
        <v>0.7</v>
      </c>
      <c r="HI276" s="9">
        <v>0.4</v>
      </c>
      <c r="HJ276" s="9">
        <v>-0.9</v>
      </c>
      <c r="HK276" s="9">
        <v>-3.3</v>
      </c>
      <c r="HL276" s="9">
        <v>-3.7</v>
      </c>
      <c r="HM276" s="9">
        <v>0.2</v>
      </c>
      <c r="HN276" s="9">
        <v>-0.2</v>
      </c>
      <c r="HO276" s="9">
        <v>-0.3</v>
      </c>
      <c r="HP276" s="9">
        <v>0.3</v>
      </c>
      <c r="HQ276" s="9">
        <v>-2.2000000000000002</v>
      </c>
      <c r="HR276" s="9">
        <v>-2.2999999999999998</v>
      </c>
      <c r="HS276" s="9">
        <v>-1.2</v>
      </c>
      <c r="HT276" s="9">
        <v>0.3</v>
      </c>
      <c r="HU276" s="9">
        <v>-6.7</v>
      </c>
      <c r="HV276" s="9">
        <v>1.3</v>
      </c>
      <c r="HW276" s="9">
        <v>0.2</v>
      </c>
      <c r="HX276" s="9">
        <v>-1.8</v>
      </c>
      <c r="HY276" s="9">
        <v>-1.8</v>
      </c>
      <c r="HZ276" s="9">
        <v>-0.1</v>
      </c>
      <c r="IA276" s="9">
        <v>-0.1</v>
      </c>
      <c r="IB276" s="9">
        <v>1.1000000000000001</v>
      </c>
      <c r="IC276" s="9">
        <v>-0.2</v>
      </c>
      <c r="ID276" s="9">
        <v>1</v>
      </c>
      <c r="IE276" s="9">
        <v>-4.5999999999999996</v>
      </c>
      <c r="IF276" s="9">
        <v>-5.2</v>
      </c>
      <c r="IG276" s="9">
        <v>-3.8</v>
      </c>
      <c r="IH276" s="9">
        <v>1</v>
      </c>
      <c r="II276" s="9">
        <v>1</v>
      </c>
      <c r="IJ276" s="9">
        <v>1</v>
      </c>
      <c r="IK276" s="9">
        <v>3.9</v>
      </c>
      <c r="IL276" s="9">
        <v>5.7</v>
      </c>
      <c r="IM276" s="9">
        <v>1.9</v>
      </c>
      <c r="IN276" s="9">
        <v>0.3</v>
      </c>
      <c r="IO276" s="9">
        <v>0.3</v>
      </c>
      <c r="IP276" s="9">
        <v>-1.4</v>
      </c>
      <c r="IQ276" s="9">
        <v>-0.2</v>
      </c>
    </row>
    <row r="277" spans="1:251" x14ac:dyDescent="0.2">
      <c r="A277" s="10">
        <v>42064</v>
      </c>
      <c r="B277" s="8">
        <v>74.16</v>
      </c>
      <c r="C277" s="8">
        <v>74.989999999999995</v>
      </c>
      <c r="D277" s="8">
        <v>77.8</v>
      </c>
      <c r="E277" s="8">
        <v>74.16</v>
      </c>
      <c r="F277" s="8">
        <v>77.98</v>
      </c>
      <c r="G277" s="8">
        <v>83.8</v>
      </c>
      <c r="H277" s="8">
        <v>84.17</v>
      </c>
      <c r="I277" s="8">
        <v>73.08</v>
      </c>
      <c r="J277" s="8">
        <v>60.99</v>
      </c>
      <c r="K277" s="8">
        <v>77.8</v>
      </c>
      <c r="L277" s="8">
        <v>62.01</v>
      </c>
      <c r="M277" s="8">
        <v>85.56</v>
      </c>
      <c r="N277" s="8">
        <v>75.11</v>
      </c>
      <c r="O277" s="8">
        <v>75.84</v>
      </c>
      <c r="P277" s="8">
        <v>76.47</v>
      </c>
      <c r="Q277" s="8">
        <v>71.88</v>
      </c>
      <c r="R277" s="8">
        <v>78.849999999999994</v>
      </c>
      <c r="S277" s="8">
        <v>79.62</v>
      </c>
      <c r="T277" s="8">
        <v>76.53</v>
      </c>
      <c r="U277" s="8">
        <v>73.17</v>
      </c>
      <c r="V277" s="8">
        <v>78.91</v>
      </c>
      <c r="W277" s="8">
        <v>77.3</v>
      </c>
      <c r="X277" s="8">
        <v>66.64</v>
      </c>
      <c r="Y277" s="8">
        <v>86.56</v>
      </c>
      <c r="Z277" s="8">
        <v>82.94</v>
      </c>
      <c r="AA277" s="8">
        <v>58.58</v>
      </c>
      <c r="AB277" s="8">
        <v>77.099999999999994</v>
      </c>
      <c r="AC277" s="8">
        <v>84.15</v>
      </c>
      <c r="AD277" s="8">
        <v>76.3</v>
      </c>
      <c r="AE277" s="8">
        <v>79.73</v>
      </c>
      <c r="AF277" s="8">
        <v>75.12</v>
      </c>
      <c r="AG277" s="8">
        <v>73.2</v>
      </c>
      <c r="AH277" s="8">
        <v>74.599999999999994</v>
      </c>
      <c r="AI277" s="8">
        <v>71.38</v>
      </c>
      <c r="AJ277" s="8">
        <v>53.96</v>
      </c>
      <c r="AK277" s="8">
        <v>78.8</v>
      </c>
      <c r="AL277" s="8">
        <v>73.64</v>
      </c>
      <c r="AM277" s="8">
        <v>94.59</v>
      </c>
      <c r="AN277" s="8">
        <v>70.27</v>
      </c>
      <c r="AO277" s="8">
        <v>29.95</v>
      </c>
      <c r="AP277" s="8">
        <v>29.95</v>
      </c>
      <c r="AQ277" s="8">
        <v>95.4</v>
      </c>
      <c r="AR277" s="8">
        <v>103.75</v>
      </c>
      <c r="AS277" s="8">
        <v>103.26</v>
      </c>
      <c r="AT277" s="8">
        <v>108.15</v>
      </c>
      <c r="AU277" s="8">
        <v>89.53</v>
      </c>
      <c r="AV277" s="8">
        <v>100.8</v>
      </c>
      <c r="AW277" s="8">
        <v>101.99</v>
      </c>
      <c r="AX277" s="8">
        <v>101.86</v>
      </c>
      <c r="AY277" s="8">
        <v>95.88</v>
      </c>
      <c r="AZ277" s="8">
        <v>74.849999999999994</v>
      </c>
      <c r="BA277" s="8">
        <v>75.790000000000006</v>
      </c>
      <c r="BB277" s="8">
        <v>68.84</v>
      </c>
      <c r="BC277" s="8">
        <v>71.03</v>
      </c>
      <c r="BD277" s="8">
        <v>79.87</v>
      </c>
      <c r="BE277" s="8">
        <v>79.87</v>
      </c>
      <c r="BF277" s="8">
        <v>64.34</v>
      </c>
      <c r="BG277" s="8">
        <v>64.34</v>
      </c>
      <c r="BH277" s="8">
        <v>68.92</v>
      </c>
      <c r="BI277" s="8">
        <v>71.95</v>
      </c>
      <c r="BJ277" s="8">
        <v>65.12</v>
      </c>
      <c r="BK277" s="8">
        <v>74.98</v>
      </c>
      <c r="BL277" s="8">
        <v>84.08</v>
      </c>
      <c r="BM277" s="8">
        <v>79.03</v>
      </c>
      <c r="BN277" s="8">
        <v>59.94</v>
      </c>
      <c r="BO277" s="8">
        <v>81.86</v>
      </c>
      <c r="BP277" s="8">
        <v>79.06</v>
      </c>
      <c r="BQ277" s="8">
        <v>80.47</v>
      </c>
      <c r="BR277" s="8">
        <v>72.459999999999994</v>
      </c>
      <c r="BS277" s="8">
        <v>97.46</v>
      </c>
      <c r="BT277" s="8">
        <v>97.46</v>
      </c>
      <c r="BU277" s="8">
        <v>92.6</v>
      </c>
      <c r="BV277" s="8">
        <v>89.56</v>
      </c>
      <c r="BW277" s="8">
        <v>95.28</v>
      </c>
      <c r="BX277" s="8">
        <v>105.09</v>
      </c>
      <c r="BY277" s="8">
        <v>81.349999999999994</v>
      </c>
      <c r="BZ277" s="8">
        <v>88.59</v>
      </c>
      <c r="CA277" s="8">
        <v>87.32</v>
      </c>
      <c r="CB277" s="8">
        <v>98.56</v>
      </c>
      <c r="CC277" s="8">
        <v>82.26</v>
      </c>
      <c r="CD277" s="8">
        <v>71.19</v>
      </c>
      <c r="CE277" s="8">
        <v>74.739999999999995</v>
      </c>
      <c r="CF277" s="8">
        <v>70.209999999999994</v>
      </c>
      <c r="CG277" s="8">
        <v>69.66</v>
      </c>
      <c r="CH277" s="8">
        <v>67.510000000000005</v>
      </c>
      <c r="CI277" s="8">
        <v>92.55</v>
      </c>
      <c r="CJ277" s="8">
        <v>92.22</v>
      </c>
      <c r="CK277" s="8">
        <v>95.16</v>
      </c>
      <c r="CL277" s="8">
        <v>62.55</v>
      </c>
      <c r="CM277" s="8">
        <v>60.56</v>
      </c>
      <c r="CN277" s="8">
        <v>79.680000000000007</v>
      </c>
      <c r="CO277" s="8">
        <v>74.760000000000005</v>
      </c>
      <c r="CP277" s="8">
        <v>74.3</v>
      </c>
      <c r="CQ277" s="8">
        <v>85.94</v>
      </c>
      <c r="CR277" s="8">
        <v>74.13</v>
      </c>
      <c r="CS277" s="8">
        <v>65.16</v>
      </c>
      <c r="CT277" s="8">
        <v>72.38</v>
      </c>
      <c r="CU277" s="8">
        <v>77.16</v>
      </c>
      <c r="CV277" s="8">
        <v>85.5</v>
      </c>
      <c r="CW277" s="8">
        <v>85.5</v>
      </c>
      <c r="CX277" s="8">
        <v>123.71</v>
      </c>
      <c r="CY277" s="8">
        <v>123.71</v>
      </c>
      <c r="CZ277" s="8">
        <v>64.31</v>
      </c>
      <c r="DA277" s="8">
        <v>127.46</v>
      </c>
      <c r="DB277" s="8">
        <v>81.400000000000006</v>
      </c>
      <c r="DC277" s="8">
        <v>106.73</v>
      </c>
      <c r="DD277" s="8">
        <v>143.85</v>
      </c>
      <c r="DE277" s="8">
        <v>72.3</v>
      </c>
      <c r="DF277" s="8">
        <v>80.14</v>
      </c>
      <c r="DG277" s="8">
        <v>101.19</v>
      </c>
      <c r="DH277" s="8">
        <v>72.44</v>
      </c>
      <c r="DI277" s="8">
        <v>72.48</v>
      </c>
      <c r="DJ277" s="8">
        <v>69.989999999999995</v>
      </c>
      <c r="DK277" s="8">
        <v>66.040000000000006</v>
      </c>
      <c r="DL277" s="8">
        <v>79.760000000000005</v>
      </c>
      <c r="DM277" s="8">
        <v>85.92</v>
      </c>
      <c r="DN277" s="8">
        <v>108.64</v>
      </c>
      <c r="DO277" s="8">
        <v>74.569999999999993</v>
      </c>
      <c r="DP277" s="8">
        <v>62.67</v>
      </c>
      <c r="DQ277" s="8">
        <v>75.680000000000007</v>
      </c>
      <c r="DR277" s="8">
        <v>77.489999999999995</v>
      </c>
      <c r="DS277" s="8">
        <v>70.33</v>
      </c>
      <c r="DT277" s="8">
        <v>70.33</v>
      </c>
      <c r="DU277" s="8">
        <v>75.69</v>
      </c>
      <c r="DV277" s="8">
        <v>66.569999999999993</v>
      </c>
      <c r="DW277" s="8">
        <v>71.39</v>
      </c>
      <c r="DX277" s="8">
        <v>73.260000000000005</v>
      </c>
      <c r="DY277" s="8">
        <v>56.62</v>
      </c>
      <c r="DZ277" s="8">
        <v>56.62</v>
      </c>
      <c r="EA277" s="8">
        <v>79.72</v>
      </c>
      <c r="EB277" s="8">
        <v>95.16</v>
      </c>
      <c r="EC277" s="8">
        <v>77.849999999999994</v>
      </c>
      <c r="ED277" s="9">
        <v>0.2</v>
      </c>
      <c r="EE277" s="9">
        <v>0.2</v>
      </c>
      <c r="EF277" s="9">
        <v>-0.5</v>
      </c>
      <c r="EG277" s="9">
        <v>-3.2</v>
      </c>
      <c r="EH277" s="9">
        <v>0.7</v>
      </c>
      <c r="EI277" s="9">
        <v>3.9</v>
      </c>
      <c r="EJ277" s="9">
        <v>-0.7</v>
      </c>
      <c r="EK277" s="9">
        <v>1.5</v>
      </c>
      <c r="EL277" s="9">
        <v>2.1</v>
      </c>
      <c r="EM277" s="9">
        <v>2.8</v>
      </c>
      <c r="EN277" s="9">
        <v>4.5</v>
      </c>
      <c r="EO277" s="9">
        <v>0.2</v>
      </c>
      <c r="EP277" s="9">
        <v>3.1</v>
      </c>
      <c r="EQ277" s="9">
        <v>-1.5</v>
      </c>
      <c r="ER277" s="9">
        <v>1</v>
      </c>
      <c r="ES277" s="9">
        <v>-0.1</v>
      </c>
      <c r="ET277" s="9">
        <v>0.4</v>
      </c>
      <c r="EU277" s="9">
        <v>2.7</v>
      </c>
      <c r="EV277" s="9">
        <v>-2</v>
      </c>
      <c r="EW277" s="9">
        <v>-8</v>
      </c>
      <c r="EX277" s="9">
        <v>3.1</v>
      </c>
      <c r="EY277" s="9">
        <v>0.7</v>
      </c>
      <c r="EZ277" s="9">
        <v>-0.7</v>
      </c>
      <c r="FA277" s="9">
        <v>-0.8</v>
      </c>
      <c r="FB277" s="9">
        <v>0.9</v>
      </c>
      <c r="FC277" s="9">
        <v>2.2999999999999998</v>
      </c>
      <c r="FD277" s="9">
        <v>1.4</v>
      </c>
      <c r="FE277" s="9">
        <v>-0.7</v>
      </c>
      <c r="FF277" s="9">
        <v>0.3</v>
      </c>
      <c r="FG277" s="9">
        <v>2</v>
      </c>
      <c r="FH277" s="9">
        <v>-0.2</v>
      </c>
      <c r="FI277" s="9">
        <v>0.5</v>
      </c>
      <c r="FJ277" s="9">
        <v>0.5</v>
      </c>
      <c r="FK277" s="9">
        <v>0.6</v>
      </c>
      <c r="FL277" s="9">
        <v>0.8</v>
      </c>
      <c r="FM277" s="9">
        <v>0.7</v>
      </c>
      <c r="FN277" s="9">
        <v>1.1000000000000001</v>
      </c>
      <c r="FO277" s="9">
        <v>-0.2</v>
      </c>
      <c r="FP277" s="9">
        <v>1.1000000000000001</v>
      </c>
      <c r="FQ277" s="9">
        <v>0.9</v>
      </c>
      <c r="FR277" s="9">
        <v>0.9</v>
      </c>
      <c r="FS277" s="9">
        <v>-1.4</v>
      </c>
      <c r="FT277" s="9">
        <v>-2.1</v>
      </c>
      <c r="FU277" s="9">
        <v>-2.4</v>
      </c>
      <c r="FV277" s="9">
        <v>-1.5</v>
      </c>
      <c r="FW277" s="9">
        <v>-4.2</v>
      </c>
      <c r="FX277" s="9">
        <v>-3.7</v>
      </c>
      <c r="FY277" s="9">
        <v>-1.6</v>
      </c>
      <c r="FZ277" s="9">
        <v>-5.0999999999999996</v>
      </c>
      <c r="GA277" s="9">
        <v>-2.1</v>
      </c>
      <c r="GB277" s="9">
        <v>2.5</v>
      </c>
      <c r="GC277" s="9">
        <v>2.7</v>
      </c>
      <c r="GD277" s="9">
        <v>0.9</v>
      </c>
      <c r="GE277" s="9">
        <v>0.8</v>
      </c>
      <c r="GF277" s="9">
        <v>0.3</v>
      </c>
      <c r="GG277" s="9">
        <v>0.3</v>
      </c>
      <c r="GH277" s="9">
        <v>0.9</v>
      </c>
      <c r="GI277" s="9">
        <v>0.9</v>
      </c>
      <c r="GJ277" s="9">
        <v>0.2</v>
      </c>
      <c r="GK277" s="9">
        <v>0.3</v>
      </c>
      <c r="GL277" s="9">
        <v>0</v>
      </c>
      <c r="GM277" s="9">
        <v>1.6</v>
      </c>
      <c r="GN277" s="9">
        <v>-0.3</v>
      </c>
      <c r="GO277" s="9">
        <v>2</v>
      </c>
      <c r="GP277" s="9">
        <v>2.7</v>
      </c>
      <c r="GQ277" s="9">
        <v>-0.5</v>
      </c>
      <c r="GR277" s="9">
        <v>-2.9</v>
      </c>
      <c r="GS277" s="9">
        <v>-3.3</v>
      </c>
      <c r="GT277" s="9">
        <v>-1.2</v>
      </c>
      <c r="GU277" s="9">
        <v>-5.3</v>
      </c>
      <c r="GV277" s="9">
        <v>-5.3</v>
      </c>
      <c r="GW277" s="9">
        <v>-0.7</v>
      </c>
      <c r="GX277" s="9">
        <v>-1.5</v>
      </c>
      <c r="GY277" s="9">
        <v>-2</v>
      </c>
      <c r="GZ277" s="9">
        <v>0.4</v>
      </c>
      <c r="HA277" s="9">
        <v>0.3</v>
      </c>
      <c r="HB277" s="9">
        <v>0.1</v>
      </c>
      <c r="HC277" s="9">
        <v>2</v>
      </c>
      <c r="HD277" s="9">
        <v>-0.2</v>
      </c>
      <c r="HE277" s="9">
        <v>-0.1</v>
      </c>
      <c r="HF277" s="9">
        <v>1.7</v>
      </c>
      <c r="HG277" s="9">
        <v>3.1</v>
      </c>
      <c r="HH277" s="9">
        <v>0.8</v>
      </c>
      <c r="HI277" s="9">
        <v>1.3</v>
      </c>
      <c r="HJ277" s="9">
        <v>2.6</v>
      </c>
      <c r="HK277" s="9">
        <v>5.2</v>
      </c>
      <c r="HL277" s="9">
        <v>5.8</v>
      </c>
      <c r="HM277" s="9">
        <v>0.8</v>
      </c>
      <c r="HN277" s="9">
        <v>1.9</v>
      </c>
      <c r="HO277" s="9">
        <v>2.1</v>
      </c>
      <c r="HP277" s="9">
        <v>0.6</v>
      </c>
      <c r="HQ277" s="9">
        <v>-3.3</v>
      </c>
      <c r="HR277" s="9">
        <v>-3.3</v>
      </c>
      <c r="HS277" s="9">
        <v>0.5</v>
      </c>
      <c r="HT277" s="9">
        <v>2.5</v>
      </c>
      <c r="HU277" s="9">
        <v>-12.2</v>
      </c>
      <c r="HV277" s="9">
        <v>0.1</v>
      </c>
      <c r="HW277" s="9">
        <v>0.7</v>
      </c>
      <c r="HX277" s="9">
        <v>-3.3</v>
      </c>
      <c r="HY277" s="9">
        <v>-3.3</v>
      </c>
      <c r="HZ277" s="9">
        <v>-1.3</v>
      </c>
      <c r="IA277" s="9">
        <v>-1.3</v>
      </c>
      <c r="IB277" s="9">
        <v>-0.9</v>
      </c>
      <c r="IC277" s="9">
        <v>-1.4</v>
      </c>
      <c r="ID277" s="9">
        <v>0.6</v>
      </c>
      <c r="IE277" s="9">
        <v>-1</v>
      </c>
      <c r="IF277" s="9">
        <v>-2.7</v>
      </c>
      <c r="IG277" s="9">
        <v>0.9</v>
      </c>
      <c r="IH277" s="9">
        <v>0.8</v>
      </c>
      <c r="II277" s="9">
        <v>0.5</v>
      </c>
      <c r="IJ277" s="9">
        <v>1</v>
      </c>
      <c r="IK277" s="9">
        <v>0.4</v>
      </c>
      <c r="IL277" s="9">
        <v>3.5</v>
      </c>
      <c r="IM277" s="9">
        <v>-3</v>
      </c>
      <c r="IN277" s="9">
        <v>1.6</v>
      </c>
      <c r="IO277" s="9">
        <v>1</v>
      </c>
      <c r="IP277" s="9">
        <v>-0.4</v>
      </c>
      <c r="IQ277" s="9">
        <v>2.5</v>
      </c>
    </row>
    <row r="278" spans="1:251" x14ac:dyDescent="0.2">
      <c r="A278" s="10">
        <v>42156</v>
      </c>
      <c r="B278" s="8">
        <v>74.69</v>
      </c>
      <c r="C278" s="8">
        <v>74.84</v>
      </c>
      <c r="D278" s="8">
        <v>77.260000000000005</v>
      </c>
      <c r="E278" s="8">
        <v>73.39</v>
      </c>
      <c r="F278" s="8">
        <v>77.5</v>
      </c>
      <c r="G278" s="8">
        <v>85.65</v>
      </c>
      <c r="H278" s="8">
        <v>81.96</v>
      </c>
      <c r="I278" s="8">
        <v>73.83</v>
      </c>
      <c r="J278" s="8">
        <v>62.2</v>
      </c>
      <c r="K278" s="8">
        <v>77.91</v>
      </c>
      <c r="L278" s="8">
        <v>63.47</v>
      </c>
      <c r="M278" s="8">
        <v>85.39</v>
      </c>
      <c r="N278" s="8">
        <v>74.95</v>
      </c>
      <c r="O278" s="8">
        <v>77.989999999999995</v>
      </c>
      <c r="P278" s="8">
        <v>75.78</v>
      </c>
      <c r="Q278" s="8">
        <v>71.55</v>
      </c>
      <c r="R278" s="8">
        <v>77.59</v>
      </c>
      <c r="S278" s="8">
        <v>79.010000000000005</v>
      </c>
      <c r="T278" s="8">
        <v>75.58</v>
      </c>
      <c r="U278" s="8">
        <v>72.64</v>
      </c>
      <c r="V278" s="8">
        <v>77.61</v>
      </c>
      <c r="W278" s="8">
        <v>76.33</v>
      </c>
      <c r="X278" s="8">
        <v>66.94</v>
      </c>
      <c r="Y278" s="8">
        <v>85.65</v>
      </c>
      <c r="Z278" s="8">
        <v>81.95</v>
      </c>
      <c r="AA278" s="8">
        <v>58.5</v>
      </c>
      <c r="AB278" s="8">
        <v>76.73</v>
      </c>
      <c r="AC278" s="8">
        <v>80.900000000000006</v>
      </c>
      <c r="AD278" s="8">
        <v>76.709999999999994</v>
      </c>
      <c r="AE278" s="8">
        <v>79.19</v>
      </c>
      <c r="AF278" s="8">
        <v>75.84</v>
      </c>
      <c r="AG278" s="8">
        <v>73.41</v>
      </c>
      <c r="AH278" s="8">
        <v>74.87</v>
      </c>
      <c r="AI278" s="8">
        <v>71.53</v>
      </c>
      <c r="AJ278" s="8">
        <v>54.61</v>
      </c>
      <c r="AK278" s="8">
        <v>79.12</v>
      </c>
      <c r="AL278" s="8">
        <v>73.78</v>
      </c>
      <c r="AM278" s="8">
        <v>95.2</v>
      </c>
      <c r="AN278" s="8">
        <v>70.5</v>
      </c>
      <c r="AO278" s="8">
        <v>30.68</v>
      </c>
      <c r="AP278" s="8">
        <v>30.68</v>
      </c>
      <c r="AQ278" s="8">
        <v>96.73</v>
      </c>
      <c r="AR278" s="8">
        <v>105.94</v>
      </c>
      <c r="AS278" s="8">
        <v>106.91</v>
      </c>
      <c r="AT278" s="8">
        <v>109.46</v>
      </c>
      <c r="AU278" s="8">
        <v>92.02</v>
      </c>
      <c r="AV278" s="8">
        <v>99.5</v>
      </c>
      <c r="AW278" s="8">
        <v>102.67</v>
      </c>
      <c r="AX278" s="8">
        <v>98.79</v>
      </c>
      <c r="AY278" s="8">
        <v>97.2</v>
      </c>
      <c r="AZ278" s="8">
        <v>75.790000000000006</v>
      </c>
      <c r="BA278" s="8">
        <v>76.81</v>
      </c>
      <c r="BB278" s="8">
        <v>69.37</v>
      </c>
      <c r="BC278" s="8">
        <v>71.540000000000006</v>
      </c>
      <c r="BD278" s="8">
        <v>80.17</v>
      </c>
      <c r="BE278" s="8">
        <v>80.17</v>
      </c>
      <c r="BF278" s="8">
        <v>65.349999999999994</v>
      </c>
      <c r="BG278" s="8">
        <v>65.349999999999994</v>
      </c>
      <c r="BH278" s="8">
        <v>69.14</v>
      </c>
      <c r="BI278" s="8">
        <v>72.349999999999994</v>
      </c>
      <c r="BJ278" s="8">
        <v>65.12</v>
      </c>
      <c r="BK278" s="8">
        <v>74.87</v>
      </c>
      <c r="BL278" s="8">
        <v>84.08</v>
      </c>
      <c r="BM278" s="8">
        <v>78.58</v>
      </c>
      <c r="BN278" s="8">
        <v>60.44</v>
      </c>
      <c r="BO278" s="8">
        <v>82.71</v>
      </c>
      <c r="BP278" s="8">
        <v>81.739999999999995</v>
      </c>
      <c r="BQ278" s="8">
        <v>83.25</v>
      </c>
      <c r="BR278" s="8">
        <v>74.63</v>
      </c>
      <c r="BS278" s="8">
        <v>97.34</v>
      </c>
      <c r="BT278" s="8">
        <v>97.34</v>
      </c>
      <c r="BU278" s="8">
        <v>94.13</v>
      </c>
      <c r="BV278" s="8">
        <v>93.19</v>
      </c>
      <c r="BW278" s="8">
        <v>96.68</v>
      </c>
      <c r="BX278" s="8">
        <v>104.63</v>
      </c>
      <c r="BY278" s="8">
        <v>82.03</v>
      </c>
      <c r="BZ278" s="8">
        <v>88.42</v>
      </c>
      <c r="CA278" s="8">
        <v>85.54</v>
      </c>
      <c r="CB278" s="8">
        <v>97.63</v>
      </c>
      <c r="CC278" s="8">
        <v>82.83</v>
      </c>
      <c r="CD278" s="8">
        <v>71.680000000000007</v>
      </c>
      <c r="CE278" s="8">
        <v>75.28</v>
      </c>
      <c r="CF278" s="8">
        <v>70.59</v>
      </c>
      <c r="CG278" s="8">
        <v>70.260000000000005</v>
      </c>
      <c r="CH278" s="8">
        <v>69.34</v>
      </c>
      <c r="CI278" s="8">
        <v>90.95</v>
      </c>
      <c r="CJ278" s="8">
        <v>90.54</v>
      </c>
      <c r="CK278" s="8">
        <v>94.16</v>
      </c>
      <c r="CL278" s="8">
        <v>65.010000000000005</v>
      </c>
      <c r="CM278" s="8">
        <v>63.27</v>
      </c>
      <c r="CN278" s="8">
        <v>79.88</v>
      </c>
      <c r="CO278" s="8">
        <v>77.23</v>
      </c>
      <c r="CP278" s="8">
        <v>76.930000000000007</v>
      </c>
      <c r="CQ278" s="8">
        <v>85.66</v>
      </c>
      <c r="CR278" s="8">
        <v>74.69</v>
      </c>
      <c r="CS278" s="8">
        <v>73.099999999999994</v>
      </c>
      <c r="CT278" s="8">
        <v>72.69</v>
      </c>
      <c r="CU278" s="8">
        <v>77.239999999999995</v>
      </c>
      <c r="CV278" s="8">
        <v>85.5</v>
      </c>
      <c r="CW278" s="8">
        <v>85.5</v>
      </c>
      <c r="CX278" s="8">
        <v>122.91</v>
      </c>
      <c r="CY278" s="8">
        <v>122.91</v>
      </c>
      <c r="CZ278" s="8">
        <v>64.88</v>
      </c>
      <c r="DA278" s="8">
        <v>126.55</v>
      </c>
      <c r="DB278" s="8">
        <v>80.290000000000006</v>
      </c>
      <c r="DC278" s="8">
        <v>106.65</v>
      </c>
      <c r="DD278" s="8">
        <v>145.85</v>
      </c>
      <c r="DE278" s="8">
        <v>71.13</v>
      </c>
      <c r="DF278" s="8">
        <v>80.17</v>
      </c>
      <c r="DG278" s="8">
        <v>100.68</v>
      </c>
      <c r="DH278" s="8">
        <v>72.67</v>
      </c>
      <c r="DI278" s="8">
        <v>69.91</v>
      </c>
      <c r="DJ278" s="8">
        <v>66.180000000000007</v>
      </c>
      <c r="DK278" s="8">
        <v>65.2</v>
      </c>
      <c r="DL278" s="8">
        <v>80.010000000000005</v>
      </c>
      <c r="DM278" s="8">
        <v>87.03</v>
      </c>
      <c r="DN278" s="8">
        <v>108.23</v>
      </c>
      <c r="DO278" s="8">
        <v>74.069999999999993</v>
      </c>
      <c r="DP278" s="8">
        <v>62.82</v>
      </c>
      <c r="DQ278" s="8">
        <v>75.88</v>
      </c>
      <c r="DR278" s="8">
        <v>77.94</v>
      </c>
      <c r="DS278" s="8">
        <v>70.33</v>
      </c>
      <c r="DT278" s="8">
        <v>70.33</v>
      </c>
      <c r="DU278" s="8">
        <v>75.75</v>
      </c>
      <c r="DV278" s="8">
        <v>66.569999999999993</v>
      </c>
      <c r="DW278" s="8">
        <v>71.39</v>
      </c>
      <c r="DX278" s="8">
        <v>73.5</v>
      </c>
      <c r="DY278" s="8">
        <v>56.77</v>
      </c>
      <c r="DZ278" s="8">
        <v>56.77</v>
      </c>
      <c r="EA278" s="8">
        <v>79.989999999999995</v>
      </c>
      <c r="EB278" s="8">
        <v>94.84</v>
      </c>
      <c r="EC278" s="8">
        <v>78.239999999999995</v>
      </c>
      <c r="ED278" s="9">
        <v>0.7</v>
      </c>
      <c r="EE278" s="9">
        <v>-0.2</v>
      </c>
      <c r="EF278" s="9">
        <v>-0.7</v>
      </c>
      <c r="EG278" s="9">
        <v>-1</v>
      </c>
      <c r="EH278" s="9">
        <v>-0.6</v>
      </c>
      <c r="EI278" s="9">
        <v>2.2000000000000002</v>
      </c>
      <c r="EJ278" s="9">
        <v>-2.6</v>
      </c>
      <c r="EK278" s="9">
        <v>1</v>
      </c>
      <c r="EL278" s="9">
        <v>2</v>
      </c>
      <c r="EM278" s="9">
        <v>0.1</v>
      </c>
      <c r="EN278" s="9">
        <v>2.4</v>
      </c>
      <c r="EO278" s="9">
        <v>-0.2</v>
      </c>
      <c r="EP278" s="9">
        <v>-0.2</v>
      </c>
      <c r="EQ278" s="9">
        <v>2.8</v>
      </c>
      <c r="ER278" s="9">
        <v>-0.9</v>
      </c>
      <c r="ES278" s="9">
        <v>-0.5</v>
      </c>
      <c r="ET278" s="9">
        <v>-1.6</v>
      </c>
      <c r="EU278" s="9">
        <v>-0.8</v>
      </c>
      <c r="EV278" s="9">
        <v>-1.2</v>
      </c>
      <c r="EW278" s="9">
        <v>-0.7</v>
      </c>
      <c r="EX278" s="9">
        <v>-1.6</v>
      </c>
      <c r="EY278" s="9">
        <v>-1.3</v>
      </c>
      <c r="EZ278" s="9">
        <v>0.5</v>
      </c>
      <c r="FA278" s="9">
        <v>-1.1000000000000001</v>
      </c>
      <c r="FB278" s="9">
        <v>-1.2</v>
      </c>
      <c r="FC278" s="9">
        <v>-0.1</v>
      </c>
      <c r="FD278" s="9">
        <v>-0.5</v>
      </c>
      <c r="FE278" s="9">
        <v>-3.9</v>
      </c>
      <c r="FF278" s="9">
        <v>0.5</v>
      </c>
      <c r="FG278" s="9">
        <v>-0.7</v>
      </c>
      <c r="FH278" s="9">
        <v>1</v>
      </c>
      <c r="FI278" s="9">
        <v>0.3</v>
      </c>
      <c r="FJ278" s="9">
        <v>0.4</v>
      </c>
      <c r="FK278" s="9">
        <v>0.2</v>
      </c>
      <c r="FL278" s="9">
        <v>1.2</v>
      </c>
      <c r="FM278" s="9">
        <v>0.4</v>
      </c>
      <c r="FN278" s="9">
        <v>0.2</v>
      </c>
      <c r="FO278" s="9">
        <v>0.6</v>
      </c>
      <c r="FP278" s="9">
        <v>0.3</v>
      </c>
      <c r="FQ278" s="9">
        <v>2.4</v>
      </c>
      <c r="FR278" s="9">
        <v>2.4</v>
      </c>
      <c r="FS278" s="9">
        <v>1.4</v>
      </c>
      <c r="FT278" s="9">
        <v>2.1</v>
      </c>
      <c r="FU278" s="9">
        <v>3.5</v>
      </c>
      <c r="FV278" s="9">
        <v>1.2</v>
      </c>
      <c r="FW278" s="9">
        <v>2.8</v>
      </c>
      <c r="FX278" s="9">
        <v>-1.3</v>
      </c>
      <c r="FY278" s="9">
        <v>0.7</v>
      </c>
      <c r="FZ278" s="9">
        <v>-3</v>
      </c>
      <c r="GA278" s="9">
        <v>1.4</v>
      </c>
      <c r="GB278" s="9">
        <v>1.3</v>
      </c>
      <c r="GC278" s="9">
        <v>1.3</v>
      </c>
      <c r="GD278" s="9">
        <v>0.8</v>
      </c>
      <c r="GE278" s="9">
        <v>0.7</v>
      </c>
      <c r="GF278" s="9">
        <v>0.4</v>
      </c>
      <c r="GG278" s="9">
        <v>0.4</v>
      </c>
      <c r="GH278" s="9">
        <v>1.6</v>
      </c>
      <c r="GI278" s="9">
        <v>1.6</v>
      </c>
      <c r="GJ278" s="9">
        <v>0.3</v>
      </c>
      <c r="GK278" s="9">
        <v>0.6</v>
      </c>
      <c r="GL278" s="9">
        <v>0</v>
      </c>
      <c r="GM278" s="9">
        <v>-0.1</v>
      </c>
      <c r="GN278" s="9">
        <v>0</v>
      </c>
      <c r="GO278" s="9">
        <v>-0.6</v>
      </c>
      <c r="GP278" s="9">
        <v>0.8</v>
      </c>
      <c r="GQ278" s="9">
        <v>1</v>
      </c>
      <c r="GR278" s="9">
        <v>3.4</v>
      </c>
      <c r="GS278" s="9">
        <v>3.5</v>
      </c>
      <c r="GT278" s="9">
        <v>3</v>
      </c>
      <c r="GU278" s="9">
        <v>-0.1</v>
      </c>
      <c r="GV278" s="9">
        <v>-0.1</v>
      </c>
      <c r="GW278" s="9">
        <v>1.7</v>
      </c>
      <c r="GX278" s="9">
        <v>4.0999999999999996</v>
      </c>
      <c r="GY278" s="9">
        <v>1.5</v>
      </c>
      <c r="GZ278" s="9">
        <v>-0.4</v>
      </c>
      <c r="HA278" s="9">
        <v>0.8</v>
      </c>
      <c r="HB278" s="9">
        <v>-0.2</v>
      </c>
      <c r="HC278" s="9">
        <v>-2</v>
      </c>
      <c r="HD278" s="9">
        <v>-0.9</v>
      </c>
      <c r="HE278" s="9">
        <v>0.7</v>
      </c>
      <c r="HF278" s="9">
        <v>0.7</v>
      </c>
      <c r="HG278" s="9">
        <v>0.7</v>
      </c>
      <c r="HH278" s="9">
        <v>0.5</v>
      </c>
      <c r="HI278" s="9">
        <v>0.9</v>
      </c>
      <c r="HJ278" s="9">
        <v>2.7</v>
      </c>
      <c r="HK278" s="9">
        <v>-1.7</v>
      </c>
      <c r="HL278" s="9">
        <v>-1.8</v>
      </c>
      <c r="HM278" s="9">
        <v>-1.1000000000000001</v>
      </c>
      <c r="HN278" s="9">
        <v>3.9</v>
      </c>
      <c r="HO278" s="9">
        <v>4.5</v>
      </c>
      <c r="HP278" s="9">
        <v>0.3</v>
      </c>
      <c r="HQ278" s="9">
        <v>3.3</v>
      </c>
      <c r="HR278" s="9">
        <v>3.5</v>
      </c>
      <c r="HS278" s="9">
        <v>-0.3</v>
      </c>
      <c r="HT278" s="9">
        <v>0.8</v>
      </c>
      <c r="HU278" s="9">
        <v>12.2</v>
      </c>
      <c r="HV278" s="9">
        <v>0.4</v>
      </c>
      <c r="HW278" s="9">
        <v>0.1</v>
      </c>
      <c r="HX278" s="9">
        <v>0</v>
      </c>
      <c r="HY278" s="9">
        <v>0</v>
      </c>
      <c r="HZ278" s="9">
        <v>-0.6</v>
      </c>
      <c r="IA278" s="9">
        <v>-0.6</v>
      </c>
      <c r="IB278" s="9">
        <v>0.9</v>
      </c>
      <c r="IC278" s="9">
        <v>-0.7</v>
      </c>
      <c r="ID278" s="9">
        <v>-1.4</v>
      </c>
      <c r="IE278" s="9">
        <v>-0.1</v>
      </c>
      <c r="IF278" s="9">
        <v>1.4</v>
      </c>
      <c r="IG278" s="9">
        <v>-1.6</v>
      </c>
      <c r="IH278" s="9">
        <v>0</v>
      </c>
      <c r="II278" s="9">
        <v>-0.5</v>
      </c>
      <c r="IJ278" s="9">
        <v>0.3</v>
      </c>
      <c r="IK278" s="9">
        <v>-3.5</v>
      </c>
      <c r="IL278" s="9">
        <v>-5.4</v>
      </c>
      <c r="IM278" s="9">
        <v>-1.3</v>
      </c>
      <c r="IN278" s="9">
        <v>0.3</v>
      </c>
      <c r="IO278" s="9">
        <v>1.3</v>
      </c>
      <c r="IP278" s="9">
        <v>-0.4</v>
      </c>
      <c r="IQ278" s="9">
        <v>-0.7</v>
      </c>
    </row>
    <row r="279" spans="1:251" x14ac:dyDescent="0.2">
      <c r="A279" s="10">
        <v>42248</v>
      </c>
      <c r="B279" s="8">
        <v>74.98</v>
      </c>
      <c r="C279" s="8">
        <v>74.88</v>
      </c>
      <c r="D279" s="8">
        <v>76.680000000000007</v>
      </c>
      <c r="E279" s="8">
        <v>72.69</v>
      </c>
      <c r="F279" s="8">
        <v>76.819999999999993</v>
      </c>
      <c r="G279" s="8">
        <v>84.55</v>
      </c>
      <c r="H279" s="8">
        <v>82.64</v>
      </c>
      <c r="I279" s="8">
        <v>73.86</v>
      </c>
      <c r="J279" s="8">
        <v>64</v>
      </c>
      <c r="K279" s="8">
        <v>78.239999999999995</v>
      </c>
      <c r="L279" s="8">
        <v>64.03</v>
      </c>
      <c r="M279" s="8">
        <v>83.77</v>
      </c>
      <c r="N279" s="8">
        <v>75.47</v>
      </c>
      <c r="O279" s="8">
        <v>76.400000000000006</v>
      </c>
      <c r="P279" s="8">
        <v>75.459999999999994</v>
      </c>
      <c r="Q279" s="8">
        <v>71.37</v>
      </c>
      <c r="R279" s="8">
        <v>77.09</v>
      </c>
      <c r="S279" s="8">
        <v>78.7</v>
      </c>
      <c r="T279" s="8">
        <v>75.77</v>
      </c>
      <c r="U279" s="8">
        <v>78.64</v>
      </c>
      <c r="V279" s="8">
        <v>73.03</v>
      </c>
      <c r="W279" s="8">
        <v>76.05</v>
      </c>
      <c r="X279" s="8">
        <v>66.89</v>
      </c>
      <c r="Y279" s="8">
        <v>84.7</v>
      </c>
      <c r="Z279" s="8">
        <v>82.58</v>
      </c>
      <c r="AA279" s="8">
        <v>57.81</v>
      </c>
      <c r="AB279" s="8">
        <v>76.22</v>
      </c>
      <c r="AC279" s="8">
        <v>80.959999999999994</v>
      </c>
      <c r="AD279" s="8">
        <v>76.239999999999995</v>
      </c>
      <c r="AE279" s="8">
        <v>78.09</v>
      </c>
      <c r="AF279" s="8">
        <v>75.569999999999993</v>
      </c>
      <c r="AG279" s="8">
        <v>73.83</v>
      </c>
      <c r="AH279" s="8">
        <v>75.28</v>
      </c>
      <c r="AI279" s="8">
        <v>71.959999999999994</v>
      </c>
      <c r="AJ279" s="8">
        <v>55.29</v>
      </c>
      <c r="AK279" s="8">
        <v>79.61</v>
      </c>
      <c r="AL279" s="8">
        <v>74.010000000000005</v>
      </c>
      <c r="AM279" s="8">
        <v>94.78</v>
      </c>
      <c r="AN279" s="8">
        <v>71.56</v>
      </c>
      <c r="AO279" s="8">
        <v>31.35</v>
      </c>
      <c r="AP279" s="8">
        <v>31.35</v>
      </c>
      <c r="AQ279" s="8">
        <v>95.61</v>
      </c>
      <c r="AR279" s="8">
        <v>105.09</v>
      </c>
      <c r="AS279" s="8">
        <v>106.85</v>
      </c>
      <c r="AT279" s="8">
        <v>108.74</v>
      </c>
      <c r="AU279" s="8">
        <v>88.91</v>
      </c>
      <c r="AV279" s="8">
        <v>98.71</v>
      </c>
      <c r="AW279" s="8">
        <v>100.97</v>
      </c>
      <c r="AX279" s="8">
        <v>99.04</v>
      </c>
      <c r="AY279" s="8">
        <v>94.62</v>
      </c>
      <c r="AZ279" s="8">
        <v>74.02</v>
      </c>
      <c r="BA279" s="8">
        <v>74.650000000000006</v>
      </c>
      <c r="BB279" s="8">
        <v>69.62</v>
      </c>
      <c r="BC279" s="8">
        <v>72.02</v>
      </c>
      <c r="BD279" s="8">
        <v>80.42</v>
      </c>
      <c r="BE279" s="8">
        <v>80.42</v>
      </c>
      <c r="BF279" s="8">
        <v>65.819999999999993</v>
      </c>
      <c r="BG279" s="8">
        <v>65.819999999999993</v>
      </c>
      <c r="BH279" s="8">
        <v>70.95</v>
      </c>
      <c r="BI279" s="8">
        <v>73.23</v>
      </c>
      <c r="BJ279" s="8">
        <v>68.09</v>
      </c>
      <c r="BK279" s="8">
        <v>74.510000000000005</v>
      </c>
      <c r="BL279" s="8">
        <v>86.23</v>
      </c>
      <c r="BM279" s="8">
        <v>77.45</v>
      </c>
      <c r="BN279" s="8">
        <v>59.65</v>
      </c>
      <c r="BO279" s="8">
        <v>83.33</v>
      </c>
      <c r="BP279" s="8">
        <v>82.25</v>
      </c>
      <c r="BQ279" s="8">
        <v>83.73</v>
      </c>
      <c r="BR279" s="8">
        <v>75.3</v>
      </c>
      <c r="BS279" s="8">
        <v>102.57</v>
      </c>
      <c r="BT279" s="8">
        <v>102.57</v>
      </c>
      <c r="BU279" s="8">
        <v>95.82</v>
      </c>
      <c r="BV279" s="8">
        <v>94.19</v>
      </c>
      <c r="BW279" s="8">
        <v>100.42</v>
      </c>
      <c r="BX279" s="8">
        <v>106.29</v>
      </c>
      <c r="BY279" s="8">
        <v>83.41</v>
      </c>
      <c r="BZ279" s="8">
        <v>87.29</v>
      </c>
      <c r="CA279" s="8">
        <v>84.44</v>
      </c>
      <c r="CB279" s="8">
        <v>96.1</v>
      </c>
      <c r="CC279" s="8">
        <v>81.95</v>
      </c>
      <c r="CD279" s="8">
        <v>72.77</v>
      </c>
      <c r="CE279" s="8">
        <v>78.290000000000006</v>
      </c>
      <c r="CF279" s="8">
        <v>70.78</v>
      </c>
      <c r="CG279" s="8">
        <v>70.34</v>
      </c>
      <c r="CH279" s="8">
        <v>69.53</v>
      </c>
      <c r="CI279" s="8">
        <v>91.3</v>
      </c>
      <c r="CJ279" s="8">
        <v>91.14</v>
      </c>
      <c r="CK279" s="8">
        <v>92.51</v>
      </c>
      <c r="CL279" s="8">
        <v>65.17</v>
      </c>
      <c r="CM279" s="8">
        <v>63.4</v>
      </c>
      <c r="CN279" s="8">
        <v>80.260000000000005</v>
      </c>
      <c r="CO279" s="8">
        <v>77.33</v>
      </c>
      <c r="CP279" s="8">
        <v>77.02</v>
      </c>
      <c r="CQ279" s="8">
        <v>86.51</v>
      </c>
      <c r="CR279" s="8">
        <v>74.56</v>
      </c>
      <c r="CS279" s="8">
        <v>71.8</v>
      </c>
      <c r="CT279" s="8">
        <v>73.39</v>
      </c>
      <c r="CU279" s="8">
        <v>78.510000000000005</v>
      </c>
      <c r="CV279" s="8">
        <v>85.7</v>
      </c>
      <c r="CW279" s="8">
        <v>85.7</v>
      </c>
      <c r="CX279" s="8">
        <v>120.49</v>
      </c>
      <c r="CY279" s="8">
        <v>120.49</v>
      </c>
      <c r="CZ279" s="8">
        <v>64.989999999999995</v>
      </c>
      <c r="DA279" s="8">
        <v>123.93</v>
      </c>
      <c r="DB279" s="8">
        <v>80.91</v>
      </c>
      <c r="DC279" s="8">
        <v>106.65</v>
      </c>
      <c r="DD279" s="8">
        <v>143.75</v>
      </c>
      <c r="DE279" s="8">
        <v>72.25</v>
      </c>
      <c r="DF279" s="8">
        <v>80.5</v>
      </c>
      <c r="DG279" s="8">
        <v>99.89</v>
      </c>
      <c r="DH279" s="8">
        <v>73.41</v>
      </c>
      <c r="DI279" s="8">
        <v>71.08</v>
      </c>
      <c r="DJ279" s="8">
        <v>65.56</v>
      </c>
      <c r="DK279" s="8">
        <v>68.209999999999994</v>
      </c>
      <c r="DL279" s="8">
        <v>80.16</v>
      </c>
      <c r="DM279" s="8">
        <v>86.83</v>
      </c>
      <c r="DN279" s="8">
        <v>107.29</v>
      </c>
      <c r="DO279" s="8">
        <v>71.97</v>
      </c>
      <c r="DP279" s="8">
        <v>63.4</v>
      </c>
      <c r="DQ279" s="8">
        <v>76.73</v>
      </c>
      <c r="DR279" s="8">
        <v>78.58</v>
      </c>
      <c r="DS279" s="8">
        <v>70.42</v>
      </c>
      <c r="DT279" s="8">
        <v>70.42</v>
      </c>
      <c r="DU279" s="8">
        <v>76.17</v>
      </c>
      <c r="DV279" s="8">
        <v>66.569999999999993</v>
      </c>
      <c r="DW279" s="8">
        <v>71.430000000000007</v>
      </c>
      <c r="DX279" s="8">
        <v>73.86</v>
      </c>
      <c r="DY279" s="8">
        <v>57.4</v>
      </c>
      <c r="DZ279" s="8">
        <v>57.4</v>
      </c>
      <c r="EA279" s="8">
        <v>80.180000000000007</v>
      </c>
      <c r="EB279" s="8">
        <v>94.95</v>
      </c>
      <c r="EC279" s="8">
        <v>78.459999999999994</v>
      </c>
      <c r="ED279" s="9">
        <v>0.4</v>
      </c>
      <c r="EE279" s="9">
        <v>0.1</v>
      </c>
      <c r="EF279" s="9">
        <v>-0.8</v>
      </c>
      <c r="EG279" s="9">
        <v>-1</v>
      </c>
      <c r="EH279" s="9">
        <v>-0.9</v>
      </c>
      <c r="EI279" s="9">
        <v>-1.3</v>
      </c>
      <c r="EJ279" s="9">
        <v>0.8</v>
      </c>
      <c r="EK279" s="9">
        <v>0</v>
      </c>
      <c r="EL279" s="9">
        <v>2.9</v>
      </c>
      <c r="EM279" s="9">
        <v>0.4</v>
      </c>
      <c r="EN279" s="9">
        <v>0.9</v>
      </c>
      <c r="EO279" s="9">
        <v>-1.9</v>
      </c>
      <c r="EP279" s="9">
        <v>0.7</v>
      </c>
      <c r="EQ279" s="9">
        <v>-2</v>
      </c>
      <c r="ER279" s="9">
        <v>-0.4</v>
      </c>
      <c r="ES279" s="9">
        <v>-0.3</v>
      </c>
      <c r="ET279" s="9">
        <v>-0.6</v>
      </c>
      <c r="EU279" s="9">
        <v>-0.4</v>
      </c>
      <c r="EV279" s="9">
        <v>0.3</v>
      </c>
      <c r="EW279" s="9">
        <v>8.3000000000000007</v>
      </c>
      <c r="EX279" s="9">
        <v>-5.9</v>
      </c>
      <c r="EY279" s="9">
        <v>-0.4</v>
      </c>
      <c r="EZ279" s="9">
        <v>-0.1</v>
      </c>
      <c r="FA279" s="9">
        <v>-1.1000000000000001</v>
      </c>
      <c r="FB279" s="9">
        <v>0.8</v>
      </c>
      <c r="FC279" s="9">
        <v>-1.2</v>
      </c>
      <c r="FD279" s="9">
        <v>-0.7</v>
      </c>
      <c r="FE279" s="9">
        <v>0.1</v>
      </c>
      <c r="FF279" s="9">
        <v>-0.6</v>
      </c>
      <c r="FG279" s="9">
        <v>-1.4</v>
      </c>
      <c r="FH279" s="9">
        <v>-0.4</v>
      </c>
      <c r="FI279" s="9">
        <v>0.6</v>
      </c>
      <c r="FJ279" s="9">
        <v>0.5</v>
      </c>
      <c r="FK279" s="9">
        <v>0.6</v>
      </c>
      <c r="FL279" s="9">
        <v>1.2</v>
      </c>
      <c r="FM279" s="9">
        <v>0.6</v>
      </c>
      <c r="FN279" s="9">
        <v>0.3</v>
      </c>
      <c r="FO279" s="9">
        <v>-0.4</v>
      </c>
      <c r="FP279" s="9">
        <v>1.5</v>
      </c>
      <c r="FQ279" s="9">
        <v>2.2000000000000002</v>
      </c>
      <c r="FR279" s="9">
        <v>2.2000000000000002</v>
      </c>
      <c r="FS279" s="9">
        <v>-1.2</v>
      </c>
      <c r="FT279" s="9">
        <v>-0.8</v>
      </c>
      <c r="FU279" s="9">
        <v>-0.1</v>
      </c>
      <c r="FV279" s="9">
        <v>-0.7</v>
      </c>
      <c r="FW279" s="9">
        <v>-3.4</v>
      </c>
      <c r="FX279" s="9">
        <v>-0.8</v>
      </c>
      <c r="FY279" s="9">
        <v>-1.7</v>
      </c>
      <c r="FZ279" s="9">
        <v>0.3</v>
      </c>
      <c r="GA279" s="9">
        <v>-2.7</v>
      </c>
      <c r="GB279" s="9">
        <v>-2.2999999999999998</v>
      </c>
      <c r="GC279" s="9">
        <v>-2.8</v>
      </c>
      <c r="GD279" s="9">
        <v>0.4</v>
      </c>
      <c r="GE279" s="9">
        <v>0.7</v>
      </c>
      <c r="GF279" s="9">
        <v>0.3</v>
      </c>
      <c r="GG279" s="9">
        <v>0.3</v>
      </c>
      <c r="GH279" s="9">
        <v>0.7</v>
      </c>
      <c r="GI279" s="9">
        <v>0.7</v>
      </c>
      <c r="GJ279" s="9">
        <v>2.6</v>
      </c>
      <c r="GK279" s="9">
        <v>1.2</v>
      </c>
      <c r="GL279" s="9">
        <v>4.5999999999999996</v>
      </c>
      <c r="GM279" s="9">
        <v>-0.5</v>
      </c>
      <c r="GN279" s="9">
        <v>2.6</v>
      </c>
      <c r="GO279" s="9">
        <v>-1.4</v>
      </c>
      <c r="GP279" s="9">
        <v>-1.3</v>
      </c>
      <c r="GQ279" s="9">
        <v>0.7</v>
      </c>
      <c r="GR279" s="9">
        <v>0.6</v>
      </c>
      <c r="GS279" s="9">
        <v>0.6</v>
      </c>
      <c r="GT279" s="9">
        <v>0.9</v>
      </c>
      <c r="GU279" s="9">
        <v>5.4</v>
      </c>
      <c r="GV279" s="9">
        <v>5.4</v>
      </c>
      <c r="GW279" s="9">
        <v>1.8</v>
      </c>
      <c r="GX279" s="9">
        <v>1.1000000000000001</v>
      </c>
      <c r="GY279" s="9">
        <v>3.9</v>
      </c>
      <c r="GZ279" s="9">
        <v>1.6</v>
      </c>
      <c r="HA279" s="9">
        <v>1.7</v>
      </c>
      <c r="HB279" s="9">
        <v>-1.3</v>
      </c>
      <c r="HC279" s="9">
        <v>-1.3</v>
      </c>
      <c r="HD279" s="9">
        <v>-1.6</v>
      </c>
      <c r="HE279" s="9">
        <v>-1.1000000000000001</v>
      </c>
      <c r="HF279" s="9">
        <v>1.5</v>
      </c>
      <c r="HG279" s="9">
        <v>4</v>
      </c>
      <c r="HH279" s="9">
        <v>0.3</v>
      </c>
      <c r="HI279" s="9">
        <v>0.1</v>
      </c>
      <c r="HJ279" s="9">
        <v>0.3</v>
      </c>
      <c r="HK279" s="9">
        <v>0.4</v>
      </c>
      <c r="HL279" s="9">
        <v>0.7</v>
      </c>
      <c r="HM279" s="9">
        <v>-1.8</v>
      </c>
      <c r="HN279" s="9">
        <v>0.2</v>
      </c>
      <c r="HO279" s="9">
        <v>0.2</v>
      </c>
      <c r="HP279" s="9">
        <v>0.5</v>
      </c>
      <c r="HQ279" s="9">
        <v>0.1</v>
      </c>
      <c r="HR279" s="9">
        <v>0.1</v>
      </c>
      <c r="HS279" s="9">
        <v>1</v>
      </c>
      <c r="HT279" s="9">
        <v>-0.2</v>
      </c>
      <c r="HU279" s="9">
        <v>-1.8</v>
      </c>
      <c r="HV279" s="9">
        <v>1</v>
      </c>
      <c r="HW279" s="9">
        <v>1.6</v>
      </c>
      <c r="HX279" s="9">
        <v>0.2</v>
      </c>
      <c r="HY279" s="9">
        <v>0.2</v>
      </c>
      <c r="HZ279" s="9">
        <v>-2</v>
      </c>
      <c r="IA279" s="9">
        <v>-2</v>
      </c>
      <c r="IB279" s="9">
        <v>0.2</v>
      </c>
      <c r="IC279" s="9">
        <v>-2.1</v>
      </c>
      <c r="ID279" s="9">
        <v>0.8</v>
      </c>
      <c r="IE279" s="9">
        <v>0</v>
      </c>
      <c r="IF279" s="9">
        <v>-1.4</v>
      </c>
      <c r="IG279" s="9">
        <v>1.6</v>
      </c>
      <c r="IH279" s="9">
        <v>0.4</v>
      </c>
      <c r="II279" s="9">
        <v>-0.8</v>
      </c>
      <c r="IJ279" s="9">
        <v>1</v>
      </c>
      <c r="IK279" s="9">
        <v>1.7</v>
      </c>
      <c r="IL279" s="9">
        <v>-0.9</v>
      </c>
      <c r="IM279" s="9">
        <v>4.5999999999999996</v>
      </c>
      <c r="IN279" s="9">
        <v>0.2</v>
      </c>
      <c r="IO279" s="9">
        <v>-0.2</v>
      </c>
      <c r="IP279" s="9">
        <v>-0.9</v>
      </c>
      <c r="IQ279" s="9">
        <v>-2.8</v>
      </c>
    </row>
    <row r="280" spans="1:251" x14ac:dyDescent="0.2">
      <c r="A280" s="10">
        <v>42339</v>
      </c>
      <c r="B280" s="8">
        <v>75.27</v>
      </c>
      <c r="C280" s="8">
        <v>75.099999999999994</v>
      </c>
      <c r="D280" s="8">
        <v>76.959999999999994</v>
      </c>
      <c r="E280" s="8">
        <v>73.33</v>
      </c>
      <c r="F280" s="8">
        <v>77.63</v>
      </c>
      <c r="G280" s="8">
        <v>81.23</v>
      </c>
      <c r="H280" s="8">
        <v>82.86</v>
      </c>
      <c r="I280" s="8">
        <v>74.95</v>
      </c>
      <c r="J280" s="8">
        <v>66.66</v>
      </c>
      <c r="K280" s="8">
        <v>79.33</v>
      </c>
      <c r="L280" s="8">
        <v>66.48</v>
      </c>
      <c r="M280" s="8">
        <v>82.26</v>
      </c>
      <c r="N280" s="8">
        <v>75.88</v>
      </c>
      <c r="O280" s="8">
        <v>78.03</v>
      </c>
      <c r="P280" s="8">
        <v>74.58</v>
      </c>
      <c r="Q280" s="8">
        <v>71.03</v>
      </c>
      <c r="R280" s="8">
        <v>77.14</v>
      </c>
      <c r="S280" s="8">
        <v>76.3</v>
      </c>
      <c r="T280" s="8">
        <v>75.63</v>
      </c>
      <c r="U280" s="8">
        <v>76.61</v>
      </c>
      <c r="V280" s="8">
        <v>74.430000000000007</v>
      </c>
      <c r="W280" s="8">
        <v>76.5</v>
      </c>
      <c r="X280" s="8">
        <v>65.73</v>
      </c>
      <c r="Y280" s="8">
        <v>85.97</v>
      </c>
      <c r="Z280" s="8">
        <v>80.97</v>
      </c>
      <c r="AA280" s="8">
        <v>57.37</v>
      </c>
      <c r="AB280" s="8">
        <v>76.569999999999993</v>
      </c>
      <c r="AC280" s="8">
        <v>83.68</v>
      </c>
      <c r="AD280" s="8">
        <v>74.63</v>
      </c>
      <c r="AE280" s="8">
        <v>76.650000000000006</v>
      </c>
      <c r="AF280" s="8">
        <v>73.91</v>
      </c>
      <c r="AG280" s="8">
        <v>74.31</v>
      </c>
      <c r="AH280" s="8">
        <v>75.319999999999993</v>
      </c>
      <c r="AI280" s="8">
        <v>72.87</v>
      </c>
      <c r="AJ280" s="8">
        <v>56.78</v>
      </c>
      <c r="AK280" s="8">
        <v>79.31</v>
      </c>
      <c r="AL280" s="8">
        <v>74.2</v>
      </c>
      <c r="AM280" s="8">
        <v>92.68</v>
      </c>
      <c r="AN280" s="8">
        <v>72.02</v>
      </c>
      <c r="AO280" s="8">
        <v>33.65</v>
      </c>
      <c r="AP280" s="8">
        <v>33.65</v>
      </c>
      <c r="AQ280" s="8">
        <v>97.15</v>
      </c>
      <c r="AR280" s="8">
        <v>105.83</v>
      </c>
      <c r="AS280" s="8">
        <v>107.2</v>
      </c>
      <c r="AT280" s="8">
        <v>109.05</v>
      </c>
      <c r="AU280" s="8">
        <v>92.17</v>
      </c>
      <c r="AV280" s="8">
        <v>100.49</v>
      </c>
      <c r="AW280" s="8">
        <v>100.49</v>
      </c>
      <c r="AX280" s="8">
        <v>101.21</v>
      </c>
      <c r="AY280" s="8">
        <v>97.81</v>
      </c>
      <c r="AZ280" s="8">
        <v>76.95</v>
      </c>
      <c r="BA280" s="8">
        <v>78.02</v>
      </c>
      <c r="BB280" s="8">
        <v>70.25</v>
      </c>
      <c r="BC280" s="8">
        <v>72.08</v>
      </c>
      <c r="BD280" s="8">
        <v>80.58</v>
      </c>
      <c r="BE280" s="8">
        <v>80.58</v>
      </c>
      <c r="BF280" s="8">
        <v>65.89</v>
      </c>
      <c r="BG280" s="8">
        <v>65.89</v>
      </c>
      <c r="BH280" s="8">
        <v>71.12</v>
      </c>
      <c r="BI280" s="8">
        <v>73.52</v>
      </c>
      <c r="BJ280" s="8">
        <v>68.09</v>
      </c>
      <c r="BK280" s="8">
        <v>74.319999999999993</v>
      </c>
      <c r="BL280" s="8">
        <v>86.23</v>
      </c>
      <c r="BM280" s="8">
        <v>77.45</v>
      </c>
      <c r="BN280" s="8">
        <v>58.92</v>
      </c>
      <c r="BO280" s="8">
        <v>83.79</v>
      </c>
      <c r="BP280" s="8">
        <v>83.05</v>
      </c>
      <c r="BQ280" s="8">
        <v>84.53</v>
      </c>
      <c r="BR280" s="8">
        <v>76.13</v>
      </c>
      <c r="BS280" s="8">
        <v>104.74</v>
      </c>
      <c r="BT280" s="8">
        <v>104.74</v>
      </c>
      <c r="BU280" s="8">
        <v>95.89</v>
      </c>
      <c r="BV280" s="8">
        <v>93.45</v>
      </c>
      <c r="BW280" s="8">
        <v>100.8</v>
      </c>
      <c r="BX280" s="8">
        <v>106.96</v>
      </c>
      <c r="BY280" s="8">
        <v>83.82</v>
      </c>
      <c r="BZ280" s="8">
        <v>87.58</v>
      </c>
      <c r="CA280" s="8">
        <v>85.58</v>
      </c>
      <c r="CB280" s="8">
        <v>97.04</v>
      </c>
      <c r="CC280" s="8">
        <v>81.7</v>
      </c>
      <c r="CD280" s="8">
        <v>73.069999999999993</v>
      </c>
      <c r="CE280" s="8">
        <v>78.47</v>
      </c>
      <c r="CF280" s="8">
        <v>71.06</v>
      </c>
      <c r="CG280" s="8">
        <v>70.8</v>
      </c>
      <c r="CH280" s="8">
        <v>69.239999999999995</v>
      </c>
      <c r="CI280" s="8">
        <v>89.66</v>
      </c>
      <c r="CJ280" s="8">
        <v>89.12</v>
      </c>
      <c r="CK280" s="8">
        <v>93.96</v>
      </c>
      <c r="CL280" s="8">
        <v>65.14</v>
      </c>
      <c r="CM280" s="8">
        <v>63.34</v>
      </c>
      <c r="CN280" s="8">
        <v>80.5</v>
      </c>
      <c r="CO280" s="8">
        <v>76.290000000000006</v>
      </c>
      <c r="CP280" s="8">
        <v>75.930000000000007</v>
      </c>
      <c r="CQ280" s="8">
        <v>86.27</v>
      </c>
      <c r="CR280" s="8">
        <v>74.63</v>
      </c>
      <c r="CS280" s="8">
        <v>67.739999999999995</v>
      </c>
      <c r="CT280" s="8">
        <v>74.66</v>
      </c>
      <c r="CU280" s="8">
        <v>78.91</v>
      </c>
      <c r="CV280" s="8">
        <v>85.4</v>
      </c>
      <c r="CW280" s="8">
        <v>85.4</v>
      </c>
      <c r="CX280" s="8">
        <v>117.6</v>
      </c>
      <c r="CY280" s="8">
        <v>117.6</v>
      </c>
      <c r="CZ280" s="8">
        <v>63.63</v>
      </c>
      <c r="DA280" s="8">
        <v>120.94</v>
      </c>
      <c r="DB280" s="8">
        <v>82.28</v>
      </c>
      <c r="DC280" s="8">
        <v>105.78</v>
      </c>
      <c r="DD280" s="8">
        <v>141.15</v>
      </c>
      <c r="DE280" s="8">
        <v>72.41</v>
      </c>
      <c r="DF280" s="8">
        <v>80</v>
      </c>
      <c r="DG280" s="8">
        <v>97.29</v>
      </c>
      <c r="DH280" s="8">
        <v>73.67</v>
      </c>
      <c r="DI280" s="8">
        <v>74.069999999999993</v>
      </c>
      <c r="DJ280" s="8">
        <v>69.47</v>
      </c>
      <c r="DK280" s="8">
        <v>69.78</v>
      </c>
      <c r="DL280" s="8">
        <v>80.489999999999995</v>
      </c>
      <c r="DM280" s="8">
        <v>88.34</v>
      </c>
      <c r="DN280" s="8">
        <v>106.9</v>
      </c>
      <c r="DO280" s="8">
        <v>70.14</v>
      </c>
      <c r="DP280" s="8">
        <v>63.93</v>
      </c>
      <c r="DQ280" s="8">
        <v>77.239999999999995</v>
      </c>
      <c r="DR280" s="8">
        <v>79.13</v>
      </c>
      <c r="DS280" s="8">
        <v>70.42</v>
      </c>
      <c r="DT280" s="8">
        <v>70.42</v>
      </c>
      <c r="DU280" s="8">
        <v>76.19</v>
      </c>
      <c r="DV280" s="8">
        <v>66.569999999999993</v>
      </c>
      <c r="DW280" s="8">
        <v>71.430000000000007</v>
      </c>
      <c r="DX280" s="8">
        <v>74.44</v>
      </c>
      <c r="DY280" s="8">
        <v>58.56</v>
      </c>
      <c r="DZ280" s="8">
        <v>58.56</v>
      </c>
      <c r="EA280" s="8">
        <v>80.39</v>
      </c>
      <c r="EB280" s="8">
        <v>95</v>
      </c>
      <c r="EC280" s="8">
        <v>78.7</v>
      </c>
      <c r="ED280" s="9">
        <v>0.4</v>
      </c>
      <c r="EE280" s="9">
        <v>0.3</v>
      </c>
      <c r="EF280" s="9">
        <v>0.4</v>
      </c>
      <c r="EG280" s="9">
        <v>0.9</v>
      </c>
      <c r="EH280" s="9">
        <v>1.1000000000000001</v>
      </c>
      <c r="EI280" s="9">
        <v>-3.9</v>
      </c>
      <c r="EJ280" s="9">
        <v>0.3</v>
      </c>
      <c r="EK280" s="9">
        <v>1.5</v>
      </c>
      <c r="EL280" s="9">
        <v>4.2</v>
      </c>
      <c r="EM280" s="9">
        <v>1.4</v>
      </c>
      <c r="EN280" s="9">
        <v>3.8</v>
      </c>
      <c r="EO280" s="9">
        <v>-1.8</v>
      </c>
      <c r="EP280" s="9">
        <v>0.5</v>
      </c>
      <c r="EQ280" s="9">
        <v>2.1</v>
      </c>
      <c r="ER280" s="9">
        <v>-1.2</v>
      </c>
      <c r="ES280" s="9">
        <v>-0.5</v>
      </c>
      <c r="ET280" s="9">
        <v>0.1</v>
      </c>
      <c r="EU280" s="9">
        <v>-3</v>
      </c>
      <c r="EV280" s="9">
        <v>-0.2</v>
      </c>
      <c r="EW280" s="9">
        <v>-2.6</v>
      </c>
      <c r="EX280" s="9">
        <v>1.9</v>
      </c>
      <c r="EY280" s="9">
        <v>0.6</v>
      </c>
      <c r="EZ280" s="9">
        <v>-1.7</v>
      </c>
      <c r="FA280" s="9">
        <v>1.5</v>
      </c>
      <c r="FB280" s="9">
        <v>-1.9</v>
      </c>
      <c r="FC280" s="9">
        <v>-0.8</v>
      </c>
      <c r="FD280" s="9">
        <v>0.5</v>
      </c>
      <c r="FE280" s="9">
        <v>3.4</v>
      </c>
      <c r="FF280" s="9">
        <v>-2.1</v>
      </c>
      <c r="FG280" s="9">
        <v>-1.8</v>
      </c>
      <c r="FH280" s="9">
        <v>-2.2000000000000002</v>
      </c>
      <c r="FI280" s="9">
        <v>0.7</v>
      </c>
      <c r="FJ280" s="9">
        <v>0.1</v>
      </c>
      <c r="FK280" s="9">
        <v>1.3</v>
      </c>
      <c r="FL280" s="9">
        <v>2.7</v>
      </c>
      <c r="FM280" s="9">
        <v>-0.4</v>
      </c>
      <c r="FN280" s="9">
        <v>0.3</v>
      </c>
      <c r="FO280" s="9">
        <v>-2.2000000000000002</v>
      </c>
      <c r="FP280" s="9">
        <v>0.6</v>
      </c>
      <c r="FQ280" s="9">
        <v>7.3</v>
      </c>
      <c r="FR280" s="9">
        <v>7.3</v>
      </c>
      <c r="FS280" s="9">
        <v>1.6</v>
      </c>
      <c r="FT280" s="9">
        <v>0.7</v>
      </c>
      <c r="FU280" s="9">
        <v>0.3</v>
      </c>
      <c r="FV280" s="9">
        <v>0.3</v>
      </c>
      <c r="FW280" s="9">
        <v>3.7</v>
      </c>
      <c r="FX280" s="9">
        <v>1.8</v>
      </c>
      <c r="FY280" s="9">
        <v>-0.5</v>
      </c>
      <c r="FZ280" s="9">
        <v>2.2000000000000002</v>
      </c>
      <c r="GA280" s="9">
        <v>3.4</v>
      </c>
      <c r="GB280" s="9">
        <v>4</v>
      </c>
      <c r="GC280" s="9">
        <v>4.5</v>
      </c>
      <c r="GD280" s="9">
        <v>0.9</v>
      </c>
      <c r="GE280" s="9">
        <v>0.1</v>
      </c>
      <c r="GF280" s="9">
        <v>0.2</v>
      </c>
      <c r="GG280" s="9">
        <v>0.2</v>
      </c>
      <c r="GH280" s="9">
        <v>0.1</v>
      </c>
      <c r="GI280" s="9">
        <v>0.1</v>
      </c>
      <c r="GJ280" s="9">
        <v>0.2</v>
      </c>
      <c r="GK280" s="9">
        <v>0.4</v>
      </c>
      <c r="GL280" s="9">
        <v>0</v>
      </c>
      <c r="GM280" s="9">
        <v>-0.3</v>
      </c>
      <c r="GN280" s="9">
        <v>0</v>
      </c>
      <c r="GO280" s="9">
        <v>0</v>
      </c>
      <c r="GP280" s="9">
        <v>-1.2</v>
      </c>
      <c r="GQ280" s="9">
        <v>0.6</v>
      </c>
      <c r="GR280" s="9">
        <v>1</v>
      </c>
      <c r="GS280" s="9">
        <v>1</v>
      </c>
      <c r="GT280" s="9">
        <v>1.1000000000000001</v>
      </c>
      <c r="GU280" s="9">
        <v>2.1</v>
      </c>
      <c r="GV280" s="9">
        <v>2.1</v>
      </c>
      <c r="GW280" s="9">
        <v>0.1</v>
      </c>
      <c r="GX280" s="9">
        <v>-0.8</v>
      </c>
      <c r="GY280" s="9">
        <v>0.4</v>
      </c>
      <c r="GZ280" s="9">
        <v>0.6</v>
      </c>
      <c r="HA280" s="9">
        <v>0.5</v>
      </c>
      <c r="HB280" s="9">
        <v>0.3</v>
      </c>
      <c r="HC280" s="9">
        <v>1.4</v>
      </c>
      <c r="HD280" s="9">
        <v>1</v>
      </c>
      <c r="HE280" s="9">
        <v>-0.3</v>
      </c>
      <c r="HF280" s="9">
        <v>0.4</v>
      </c>
      <c r="HG280" s="9">
        <v>0.2</v>
      </c>
      <c r="HH280" s="9">
        <v>0.4</v>
      </c>
      <c r="HI280" s="9">
        <v>0.7</v>
      </c>
      <c r="HJ280" s="9">
        <v>-0.4</v>
      </c>
      <c r="HK280" s="9">
        <v>-1.8</v>
      </c>
      <c r="HL280" s="9">
        <v>-2.2000000000000002</v>
      </c>
      <c r="HM280" s="9">
        <v>1.6</v>
      </c>
      <c r="HN280" s="9">
        <v>0</v>
      </c>
      <c r="HO280" s="9">
        <v>-0.1</v>
      </c>
      <c r="HP280" s="9">
        <v>0.3</v>
      </c>
      <c r="HQ280" s="9">
        <v>-1.3</v>
      </c>
      <c r="HR280" s="9">
        <v>-1.4</v>
      </c>
      <c r="HS280" s="9">
        <v>-0.3</v>
      </c>
      <c r="HT280" s="9">
        <v>0.1</v>
      </c>
      <c r="HU280" s="9">
        <v>-5.7</v>
      </c>
      <c r="HV280" s="9">
        <v>1.7</v>
      </c>
      <c r="HW280" s="9">
        <v>0.5</v>
      </c>
      <c r="HX280" s="9">
        <v>-0.4</v>
      </c>
      <c r="HY280" s="9">
        <v>-0.4</v>
      </c>
      <c r="HZ280" s="9">
        <v>-2.4</v>
      </c>
      <c r="IA280" s="9">
        <v>-2.4</v>
      </c>
      <c r="IB280" s="9">
        <v>-2.1</v>
      </c>
      <c r="IC280" s="9">
        <v>-2.4</v>
      </c>
      <c r="ID280" s="9">
        <v>1.7</v>
      </c>
      <c r="IE280" s="9">
        <v>-0.8</v>
      </c>
      <c r="IF280" s="9">
        <v>-1.8</v>
      </c>
      <c r="IG280" s="9">
        <v>0.2</v>
      </c>
      <c r="IH280" s="9">
        <v>-0.6</v>
      </c>
      <c r="II280" s="9">
        <v>-2.6</v>
      </c>
      <c r="IJ280" s="9">
        <v>0.4</v>
      </c>
      <c r="IK280" s="9">
        <v>4.2</v>
      </c>
      <c r="IL280" s="9">
        <v>6</v>
      </c>
      <c r="IM280" s="9">
        <v>2.2999999999999998</v>
      </c>
      <c r="IN280" s="9">
        <v>0.4</v>
      </c>
      <c r="IO280" s="9">
        <v>1.7</v>
      </c>
      <c r="IP280" s="9">
        <v>-0.4</v>
      </c>
      <c r="IQ280" s="9">
        <v>-2.5</v>
      </c>
    </row>
    <row r="281" spans="1:251" x14ac:dyDescent="0.2">
      <c r="A281" s="10">
        <v>42430</v>
      </c>
      <c r="B281" s="8">
        <v>75.12</v>
      </c>
      <c r="C281" s="8">
        <v>74.95</v>
      </c>
      <c r="D281" s="8">
        <v>76.239999999999995</v>
      </c>
      <c r="E281" s="8">
        <v>73.319999999999993</v>
      </c>
      <c r="F281" s="8">
        <v>76.540000000000006</v>
      </c>
      <c r="G281" s="8">
        <v>80.290000000000006</v>
      </c>
      <c r="H281" s="8">
        <v>81.61</v>
      </c>
      <c r="I281" s="8">
        <v>75.84</v>
      </c>
      <c r="J281" s="8">
        <v>68.989999999999995</v>
      </c>
      <c r="K281" s="8">
        <v>80.36</v>
      </c>
      <c r="L281" s="8">
        <v>66.72</v>
      </c>
      <c r="M281" s="8">
        <v>83.09</v>
      </c>
      <c r="N281" s="8">
        <v>76.77</v>
      </c>
      <c r="O281" s="8">
        <v>77.489999999999995</v>
      </c>
      <c r="P281" s="8">
        <v>74.38</v>
      </c>
      <c r="Q281" s="8">
        <v>71.150000000000006</v>
      </c>
      <c r="R281" s="8">
        <v>75.59</v>
      </c>
      <c r="S281" s="8">
        <v>76.989999999999995</v>
      </c>
      <c r="T281" s="8">
        <v>72.349999999999994</v>
      </c>
      <c r="U281" s="8">
        <v>68.05</v>
      </c>
      <c r="V281" s="8">
        <v>75.53</v>
      </c>
      <c r="W281" s="8">
        <v>77.41</v>
      </c>
      <c r="X281" s="8">
        <v>65.959999999999994</v>
      </c>
      <c r="Y281" s="8">
        <v>85.58</v>
      </c>
      <c r="Z281" s="8">
        <v>82.31</v>
      </c>
      <c r="AA281" s="8">
        <v>58.34</v>
      </c>
      <c r="AB281" s="8">
        <v>77.84</v>
      </c>
      <c r="AC281" s="8">
        <v>84.05</v>
      </c>
      <c r="AD281" s="8">
        <v>75.78</v>
      </c>
      <c r="AE281" s="8">
        <v>79.73</v>
      </c>
      <c r="AF281" s="8">
        <v>74.430000000000007</v>
      </c>
      <c r="AG281" s="8">
        <v>74.58</v>
      </c>
      <c r="AH281" s="8">
        <v>75.760000000000005</v>
      </c>
      <c r="AI281" s="8">
        <v>72.959999999999994</v>
      </c>
      <c r="AJ281" s="8">
        <v>57.26</v>
      </c>
      <c r="AK281" s="8">
        <v>79.989999999999995</v>
      </c>
      <c r="AL281" s="8">
        <v>74.88</v>
      </c>
      <c r="AM281" s="8">
        <v>92.96</v>
      </c>
      <c r="AN281" s="8">
        <v>72.88</v>
      </c>
      <c r="AO281" s="8">
        <v>33.93</v>
      </c>
      <c r="AP281" s="8">
        <v>33.93</v>
      </c>
      <c r="AQ281" s="8">
        <v>94.63</v>
      </c>
      <c r="AR281" s="8">
        <v>103.7</v>
      </c>
      <c r="AS281" s="8">
        <v>104.24</v>
      </c>
      <c r="AT281" s="8">
        <v>107.65</v>
      </c>
      <c r="AU281" s="8">
        <v>89</v>
      </c>
      <c r="AV281" s="8">
        <v>96.92</v>
      </c>
      <c r="AW281" s="8">
        <v>98.14</v>
      </c>
      <c r="AX281" s="8">
        <v>96.67</v>
      </c>
      <c r="AY281" s="8">
        <v>95.54</v>
      </c>
      <c r="AZ281" s="8">
        <v>74.25</v>
      </c>
      <c r="BA281" s="8">
        <v>74.66</v>
      </c>
      <c r="BB281" s="8">
        <v>71</v>
      </c>
      <c r="BC281" s="8">
        <v>72.23</v>
      </c>
      <c r="BD281" s="8">
        <v>80.599999999999994</v>
      </c>
      <c r="BE281" s="8">
        <v>80.599999999999994</v>
      </c>
      <c r="BF281" s="8">
        <v>65.98</v>
      </c>
      <c r="BG281" s="8">
        <v>65.98</v>
      </c>
      <c r="BH281" s="8">
        <v>71.37</v>
      </c>
      <c r="BI281" s="8">
        <v>73.98</v>
      </c>
      <c r="BJ281" s="8">
        <v>68.09</v>
      </c>
      <c r="BK281" s="8">
        <v>74.709999999999994</v>
      </c>
      <c r="BL281" s="8">
        <v>86.23</v>
      </c>
      <c r="BM281" s="8">
        <v>77.319999999999993</v>
      </c>
      <c r="BN281" s="8">
        <v>60.68</v>
      </c>
      <c r="BO281" s="8">
        <v>83.46</v>
      </c>
      <c r="BP281" s="8">
        <v>82.06</v>
      </c>
      <c r="BQ281" s="8">
        <v>83.21</v>
      </c>
      <c r="BR281" s="8">
        <v>76.78</v>
      </c>
      <c r="BS281" s="8">
        <v>100.46</v>
      </c>
      <c r="BT281" s="8">
        <v>100.46</v>
      </c>
      <c r="BU281" s="8">
        <v>95.54</v>
      </c>
      <c r="BV281" s="8">
        <v>94.08</v>
      </c>
      <c r="BW281" s="8">
        <v>100.19</v>
      </c>
      <c r="BX281" s="8">
        <v>104.31</v>
      </c>
      <c r="BY281" s="8">
        <v>84.84</v>
      </c>
      <c r="BZ281" s="8">
        <v>86.79</v>
      </c>
      <c r="CA281" s="8">
        <v>84.37</v>
      </c>
      <c r="CB281" s="8">
        <v>95.53</v>
      </c>
      <c r="CC281" s="8">
        <v>81.41</v>
      </c>
      <c r="CD281" s="8">
        <v>74.12</v>
      </c>
      <c r="CE281" s="8">
        <v>80.98</v>
      </c>
      <c r="CF281" s="8">
        <v>71.569999999999993</v>
      </c>
      <c r="CG281" s="8">
        <v>70.94</v>
      </c>
      <c r="CH281" s="8">
        <v>70.62</v>
      </c>
      <c r="CI281" s="8">
        <v>93.45</v>
      </c>
      <c r="CJ281" s="8">
        <v>93.5</v>
      </c>
      <c r="CK281" s="8">
        <v>92.89</v>
      </c>
      <c r="CL281" s="8">
        <v>66.05</v>
      </c>
      <c r="CM281" s="8">
        <v>64.290000000000006</v>
      </c>
      <c r="CN281" s="8">
        <v>81.099999999999994</v>
      </c>
      <c r="CO281" s="8">
        <v>74.34</v>
      </c>
      <c r="CP281" s="8">
        <v>73.83</v>
      </c>
      <c r="CQ281" s="8">
        <v>86.92</v>
      </c>
      <c r="CR281" s="8">
        <v>74.84</v>
      </c>
      <c r="CS281" s="8">
        <v>60.99</v>
      </c>
      <c r="CT281" s="8">
        <v>74.28</v>
      </c>
      <c r="CU281" s="8">
        <v>78.77</v>
      </c>
      <c r="CV281" s="8">
        <v>85.63</v>
      </c>
      <c r="CW281" s="8">
        <v>85.63</v>
      </c>
      <c r="CX281" s="8">
        <v>115.79</v>
      </c>
      <c r="CY281" s="8">
        <v>115.79</v>
      </c>
      <c r="CZ281" s="8">
        <v>63.98</v>
      </c>
      <c r="DA281" s="8">
        <v>118.94</v>
      </c>
      <c r="DB281" s="8">
        <v>81.48</v>
      </c>
      <c r="DC281" s="8">
        <v>102.2</v>
      </c>
      <c r="DD281" s="8">
        <v>134.72999999999999</v>
      </c>
      <c r="DE281" s="8">
        <v>70.84</v>
      </c>
      <c r="DF281" s="8">
        <v>81.06</v>
      </c>
      <c r="DG281" s="8">
        <v>99.63</v>
      </c>
      <c r="DH281" s="8">
        <v>74.260000000000005</v>
      </c>
      <c r="DI281" s="8">
        <v>72.63</v>
      </c>
      <c r="DJ281" s="8">
        <v>68.150000000000006</v>
      </c>
      <c r="DK281" s="8">
        <v>68.38</v>
      </c>
      <c r="DL281" s="8">
        <v>81</v>
      </c>
      <c r="DM281" s="8">
        <v>88.78</v>
      </c>
      <c r="DN281" s="8">
        <v>104.7</v>
      </c>
      <c r="DO281" s="8">
        <v>70.459999999999994</v>
      </c>
      <c r="DP281" s="8">
        <v>64.760000000000005</v>
      </c>
      <c r="DQ281" s="8">
        <v>77.88</v>
      </c>
      <c r="DR281" s="8">
        <v>80.52</v>
      </c>
      <c r="DS281" s="8">
        <v>72.650000000000006</v>
      </c>
      <c r="DT281" s="8">
        <v>72.650000000000006</v>
      </c>
      <c r="DU281" s="8">
        <v>79.3</v>
      </c>
      <c r="DV281" s="8">
        <v>69.64</v>
      </c>
      <c r="DW281" s="8">
        <v>72.5</v>
      </c>
      <c r="DX281" s="8">
        <v>74.94</v>
      </c>
      <c r="DY281" s="8">
        <v>59.56</v>
      </c>
      <c r="DZ281" s="8">
        <v>59.56</v>
      </c>
      <c r="EA281" s="8">
        <v>80.569999999999993</v>
      </c>
      <c r="EB281" s="8">
        <v>95.06</v>
      </c>
      <c r="EC281" s="8">
        <v>78.91</v>
      </c>
      <c r="ED281" s="9">
        <v>-0.2</v>
      </c>
      <c r="EE281" s="9">
        <v>-0.2</v>
      </c>
      <c r="EF281" s="9">
        <v>-0.9</v>
      </c>
      <c r="EG281" s="9">
        <v>0</v>
      </c>
      <c r="EH281" s="9">
        <v>-1.4</v>
      </c>
      <c r="EI281" s="9">
        <v>-1.2</v>
      </c>
      <c r="EJ281" s="9">
        <v>-1.5</v>
      </c>
      <c r="EK281" s="9">
        <v>1.2</v>
      </c>
      <c r="EL281" s="9">
        <v>3.5</v>
      </c>
      <c r="EM281" s="9">
        <v>1.3</v>
      </c>
      <c r="EN281" s="9">
        <v>0.4</v>
      </c>
      <c r="EO281" s="9">
        <v>1</v>
      </c>
      <c r="EP281" s="9">
        <v>1.2</v>
      </c>
      <c r="EQ281" s="9">
        <v>-0.7</v>
      </c>
      <c r="ER281" s="9">
        <v>-0.3</v>
      </c>
      <c r="ES281" s="9">
        <v>0.2</v>
      </c>
      <c r="ET281" s="9">
        <v>-2</v>
      </c>
      <c r="EU281" s="9">
        <v>0.9</v>
      </c>
      <c r="EV281" s="9">
        <v>-4.3</v>
      </c>
      <c r="EW281" s="9">
        <v>-11.2</v>
      </c>
      <c r="EX281" s="9">
        <v>1.5</v>
      </c>
      <c r="EY281" s="9">
        <v>1.2</v>
      </c>
      <c r="EZ281" s="9">
        <v>0.3</v>
      </c>
      <c r="FA281" s="9">
        <v>-0.5</v>
      </c>
      <c r="FB281" s="9">
        <v>1.7</v>
      </c>
      <c r="FC281" s="9">
        <v>1.7</v>
      </c>
      <c r="FD281" s="9">
        <v>1.7</v>
      </c>
      <c r="FE281" s="9">
        <v>0.4</v>
      </c>
      <c r="FF281" s="9">
        <v>1.5</v>
      </c>
      <c r="FG281" s="9">
        <v>4</v>
      </c>
      <c r="FH281" s="9">
        <v>0.7</v>
      </c>
      <c r="FI281" s="9">
        <v>0.4</v>
      </c>
      <c r="FJ281" s="9">
        <v>0.6</v>
      </c>
      <c r="FK281" s="9">
        <v>0.1</v>
      </c>
      <c r="FL281" s="9">
        <v>0.8</v>
      </c>
      <c r="FM281" s="9">
        <v>0.9</v>
      </c>
      <c r="FN281" s="9">
        <v>0.9</v>
      </c>
      <c r="FO281" s="9">
        <v>0.3</v>
      </c>
      <c r="FP281" s="9">
        <v>1.2</v>
      </c>
      <c r="FQ281" s="9">
        <v>0.8</v>
      </c>
      <c r="FR281" s="9">
        <v>0.8</v>
      </c>
      <c r="FS281" s="9">
        <v>-2.6</v>
      </c>
      <c r="FT281" s="9">
        <v>-2</v>
      </c>
      <c r="FU281" s="9">
        <v>-2.8</v>
      </c>
      <c r="FV281" s="9">
        <v>-1.3</v>
      </c>
      <c r="FW281" s="9">
        <v>-3.4</v>
      </c>
      <c r="FX281" s="9">
        <v>-3.6</v>
      </c>
      <c r="FY281" s="9">
        <v>-2.2999999999999998</v>
      </c>
      <c r="FZ281" s="9">
        <v>-4.5</v>
      </c>
      <c r="GA281" s="9">
        <v>-2.2999999999999998</v>
      </c>
      <c r="GB281" s="9">
        <v>-3.5</v>
      </c>
      <c r="GC281" s="9">
        <v>-4.3</v>
      </c>
      <c r="GD281" s="9">
        <v>1.1000000000000001</v>
      </c>
      <c r="GE281" s="9">
        <v>0.2</v>
      </c>
      <c r="GF281" s="9">
        <v>0</v>
      </c>
      <c r="GG281" s="9">
        <v>0</v>
      </c>
      <c r="GH281" s="9">
        <v>0.1</v>
      </c>
      <c r="GI281" s="9">
        <v>0.1</v>
      </c>
      <c r="GJ281" s="9">
        <v>0.4</v>
      </c>
      <c r="GK281" s="9">
        <v>0.6</v>
      </c>
      <c r="GL281" s="9">
        <v>0</v>
      </c>
      <c r="GM281" s="9">
        <v>0.5</v>
      </c>
      <c r="GN281" s="9">
        <v>0</v>
      </c>
      <c r="GO281" s="9">
        <v>-0.2</v>
      </c>
      <c r="GP281" s="9">
        <v>3</v>
      </c>
      <c r="GQ281" s="9">
        <v>-0.4</v>
      </c>
      <c r="GR281" s="9">
        <v>-1.2</v>
      </c>
      <c r="GS281" s="9">
        <v>-1.6</v>
      </c>
      <c r="GT281" s="9">
        <v>0.9</v>
      </c>
      <c r="GU281" s="9">
        <v>-4.0999999999999996</v>
      </c>
      <c r="GV281" s="9">
        <v>-4.0999999999999996</v>
      </c>
      <c r="GW281" s="9">
        <v>-0.4</v>
      </c>
      <c r="GX281" s="9">
        <v>0.7</v>
      </c>
      <c r="GY281" s="9">
        <v>-0.6</v>
      </c>
      <c r="GZ281" s="9">
        <v>-2.5</v>
      </c>
      <c r="HA281" s="9">
        <v>1.2</v>
      </c>
      <c r="HB281" s="9">
        <v>-0.9</v>
      </c>
      <c r="HC281" s="9">
        <v>-1.4</v>
      </c>
      <c r="HD281" s="9">
        <v>-1.6</v>
      </c>
      <c r="HE281" s="9">
        <v>-0.4</v>
      </c>
      <c r="HF281" s="9">
        <v>1.4</v>
      </c>
      <c r="HG281" s="9">
        <v>3.2</v>
      </c>
      <c r="HH281" s="9">
        <v>0.7</v>
      </c>
      <c r="HI281" s="9">
        <v>0.2</v>
      </c>
      <c r="HJ281" s="9">
        <v>2</v>
      </c>
      <c r="HK281" s="9">
        <v>4.2</v>
      </c>
      <c r="HL281" s="9">
        <v>4.9000000000000004</v>
      </c>
      <c r="HM281" s="9">
        <v>-1.1000000000000001</v>
      </c>
      <c r="HN281" s="9">
        <v>1.4</v>
      </c>
      <c r="HO281" s="9">
        <v>1.5</v>
      </c>
      <c r="HP281" s="9">
        <v>0.7</v>
      </c>
      <c r="HQ281" s="9">
        <v>-2.6</v>
      </c>
      <c r="HR281" s="9">
        <v>-2.8</v>
      </c>
      <c r="HS281" s="9">
        <v>0.8</v>
      </c>
      <c r="HT281" s="9">
        <v>0.3</v>
      </c>
      <c r="HU281" s="9">
        <v>-10</v>
      </c>
      <c r="HV281" s="9">
        <v>-0.5</v>
      </c>
      <c r="HW281" s="9">
        <v>-0.2</v>
      </c>
      <c r="HX281" s="9">
        <v>0.3</v>
      </c>
      <c r="HY281" s="9">
        <v>0.3</v>
      </c>
      <c r="HZ281" s="9">
        <v>-1.5</v>
      </c>
      <c r="IA281" s="9">
        <v>-1.5</v>
      </c>
      <c r="IB281" s="9">
        <v>0.6</v>
      </c>
      <c r="IC281" s="9">
        <v>-1.7</v>
      </c>
      <c r="ID281" s="9">
        <v>-1</v>
      </c>
      <c r="IE281" s="9">
        <v>-3.4</v>
      </c>
      <c r="IF281" s="9">
        <v>-4.5</v>
      </c>
      <c r="IG281" s="9">
        <v>-2.2000000000000002</v>
      </c>
      <c r="IH281" s="9">
        <v>1.3</v>
      </c>
      <c r="II281" s="9">
        <v>2.4</v>
      </c>
      <c r="IJ281" s="9">
        <v>0.8</v>
      </c>
      <c r="IK281" s="9">
        <v>-1.9</v>
      </c>
      <c r="IL281" s="9">
        <v>-1.9</v>
      </c>
      <c r="IM281" s="9">
        <v>-2</v>
      </c>
      <c r="IN281" s="9">
        <v>0.6</v>
      </c>
      <c r="IO281" s="9">
        <v>0.5</v>
      </c>
      <c r="IP281" s="9">
        <v>-2.1</v>
      </c>
      <c r="IQ281" s="9">
        <v>0.5</v>
      </c>
    </row>
    <row r="282" spans="1:251" x14ac:dyDescent="0.2">
      <c r="A282" s="10">
        <v>42522</v>
      </c>
      <c r="B282" s="8">
        <v>75.45</v>
      </c>
      <c r="C282" s="8">
        <v>74.77</v>
      </c>
      <c r="D282" s="8">
        <v>75.760000000000005</v>
      </c>
      <c r="E282" s="8">
        <v>73.7</v>
      </c>
      <c r="F282" s="8">
        <v>76.180000000000007</v>
      </c>
      <c r="G282" s="8">
        <v>78.83</v>
      </c>
      <c r="H282" s="8">
        <v>78.89</v>
      </c>
      <c r="I282" s="8">
        <v>75.63</v>
      </c>
      <c r="J282" s="8">
        <v>68.989999999999995</v>
      </c>
      <c r="K282" s="8">
        <v>79.7</v>
      </c>
      <c r="L282" s="8">
        <v>67.290000000000006</v>
      </c>
      <c r="M282" s="8">
        <v>81.17</v>
      </c>
      <c r="N282" s="8">
        <v>76.52</v>
      </c>
      <c r="O282" s="8">
        <v>78.739999999999995</v>
      </c>
      <c r="P282" s="8">
        <v>74.77</v>
      </c>
      <c r="Q282" s="8">
        <v>71.16</v>
      </c>
      <c r="R282" s="8">
        <v>75.52</v>
      </c>
      <c r="S282" s="8">
        <v>78.260000000000005</v>
      </c>
      <c r="T282" s="8">
        <v>73.55</v>
      </c>
      <c r="U282" s="8">
        <v>68.69</v>
      </c>
      <c r="V282" s="8">
        <v>77.19</v>
      </c>
      <c r="W282" s="8">
        <v>75.09</v>
      </c>
      <c r="X282" s="8">
        <v>66.61</v>
      </c>
      <c r="Y282" s="8">
        <v>83.29</v>
      </c>
      <c r="Z282" s="8">
        <v>81.08</v>
      </c>
      <c r="AA282" s="8">
        <v>59.08</v>
      </c>
      <c r="AB282" s="8">
        <v>75.53</v>
      </c>
      <c r="AC282" s="8">
        <v>78.47</v>
      </c>
      <c r="AD282" s="8">
        <v>75.239999999999995</v>
      </c>
      <c r="AE282" s="8">
        <v>75.56</v>
      </c>
      <c r="AF282" s="8">
        <v>75.069999999999993</v>
      </c>
      <c r="AG282" s="8">
        <v>74.64</v>
      </c>
      <c r="AH282" s="8">
        <v>75.89</v>
      </c>
      <c r="AI282" s="8">
        <v>72.959999999999994</v>
      </c>
      <c r="AJ282" s="8">
        <v>57.81</v>
      </c>
      <c r="AK282" s="8">
        <v>80.09</v>
      </c>
      <c r="AL282" s="8">
        <v>75.34</v>
      </c>
      <c r="AM282" s="8">
        <v>92.67</v>
      </c>
      <c r="AN282" s="8">
        <v>73.05</v>
      </c>
      <c r="AO282" s="8">
        <v>34.65</v>
      </c>
      <c r="AP282" s="8">
        <v>34.65</v>
      </c>
      <c r="AQ282" s="8">
        <v>96.51</v>
      </c>
      <c r="AR282" s="8">
        <v>105.68</v>
      </c>
      <c r="AS282" s="8">
        <v>105.83</v>
      </c>
      <c r="AT282" s="8">
        <v>109.49</v>
      </c>
      <c r="AU282" s="8">
        <v>92.39</v>
      </c>
      <c r="AV282" s="8">
        <v>101.05</v>
      </c>
      <c r="AW282" s="8">
        <v>100.08</v>
      </c>
      <c r="AX282" s="8">
        <v>101.05</v>
      </c>
      <c r="AY282" s="8">
        <v>101.37</v>
      </c>
      <c r="AZ282" s="8">
        <v>74.78</v>
      </c>
      <c r="BA282" s="8">
        <v>75.27</v>
      </c>
      <c r="BB282" s="8">
        <v>71.14</v>
      </c>
      <c r="BC282" s="8">
        <v>72.53</v>
      </c>
      <c r="BD282" s="8">
        <v>80.760000000000005</v>
      </c>
      <c r="BE282" s="8">
        <v>80.760000000000005</v>
      </c>
      <c r="BF282" s="8">
        <v>66.59</v>
      </c>
      <c r="BG282" s="8">
        <v>66.59</v>
      </c>
      <c r="BH282" s="8">
        <v>71.540000000000006</v>
      </c>
      <c r="BI282" s="8">
        <v>74.28</v>
      </c>
      <c r="BJ282" s="8">
        <v>68.09</v>
      </c>
      <c r="BK282" s="8">
        <v>74.59</v>
      </c>
      <c r="BL282" s="8">
        <v>86.23</v>
      </c>
      <c r="BM282" s="8">
        <v>76.989999999999995</v>
      </c>
      <c r="BN282" s="8">
        <v>60.88</v>
      </c>
      <c r="BO282" s="8">
        <v>84</v>
      </c>
      <c r="BP282" s="8">
        <v>83.82</v>
      </c>
      <c r="BQ282" s="8">
        <v>85.23</v>
      </c>
      <c r="BR282" s="8">
        <v>77.23</v>
      </c>
      <c r="BS282" s="8">
        <v>99.15</v>
      </c>
      <c r="BT282" s="8">
        <v>99.15</v>
      </c>
      <c r="BU282" s="8">
        <v>96.5</v>
      </c>
      <c r="BV282" s="8">
        <v>95.41</v>
      </c>
      <c r="BW282" s="8">
        <v>98.92</v>
      </c>
      <c r="BX282" s="8">
        <v>106.12</v>
      </c>
      <c r="BY282" s="8">
        <v>85.77</v>
      </c>
      <c r="BZ282" s="8">
        <v>86.74</v>
      </c>
      <c r="CA282" s="8">
        <v>84.83</v>
      </c>
      <c r="CB282" s="8">
        <v>94.63</v>
      </c>
      <c r="CC282" s="8">
        <v>81.78</v>
      </c>
      <c r="CD282" s="8">
        <v>74.510000000000005</v>
      </c>
      <c r="CE282" s="8">
        <v>81.62</v>
      </c>
      <c r="CF282" s="8">
        <v>71.8</v>
      </c>
      <c r="CG282" s="8">
        <v>71.25</v>
      </c>
      <c r="CH282" s="8">
        <v>72.459999999999994</v>
      </c>
      <c r="CI282" s="8">
        <v>91.88</v>
      </c>
      <c r="CJ282" s="8">
        <v>91.74</v>
      </c>
      <c r="CK282" s="8">
        <v>92.89</v>
      </c>
      <c r="CL282" s="8">
        <v>68.52</v>
      </c>
      <c r="CM282" s="8">
        <v>67.010000000000005</v>
      </c>
      <c r="CN282" s="8">
        <v>81.239999999999995</v>
      </c>
      <c r="CO282" s="8">
        <v>75.150000000000006</v>
      </c>
      <c r="CP282" s="8">
        <v>74.7</v>
      </c>
      <c r="CQ282" s="8">
        <v>85.7</v>
      </c>
      <c r="CR282" s="8">
        <v>74.75</v>
      </c>
      <c r="CS282" s="8">
        <v>64.63</v>
      </c>
      <c r="CT282" s="8">
        <v>74.209999999999994</v>
      </c>
      <c r="CU282" s="8">
        <v>78.8</v>
      </c>
      <c r="CV282" s="8">
        <v>85.63</v>
      </c>
      <c r="CW282" s="8">
        <v>85.63</v>
      </c>
      <c r="CX282" s="8">
        <v>114.11</v>
      </c>
      <c r="CY282" s="8">
        <v>114.11</v>
      </c>
      <c r="CZ282" s="8">
        <v>64.3</v>
      </c>
      <c r="DA282" s="8">
        <v>117.1</v>
      </c>
      <c r="DB282" s="8">
        <v>80.98</v>
      </c>
      <c r="DC282" s="8">
        <v>102.28</v>
      </c>
      <c r="DD282" s="8">
        <v>133.31</v>
      </c>
      <c r="DE282" s="8">
        <v>71.7</v>
      </c>
      <c r="DF282" s="8">
        <v>81.11</v>
      </c>
      <c r="DG282" s="8">
        <v>99.36</v>
      </c>
      <c r="DH282" s="8">
        <v>74.44</v>
      </c>
      <c r="DI282" s="8">
        <v>71.31</v>
      </c>
      <c r="DJ282" s="8">
        <v>65.62</v>
      </c>
      <c r="DK282" s="8">
        <v>68.599999999999994</v>
      </c>
      <c r="DL282" s="8">
        <v>81.290000000000006</v>
      </c>
      <c r="DM282" s="8">
        <v>88.14</v>
      </c>
      <c r="DN282" s="8">
        <v>103.05</v>
      </c>
      <c r="DO282" s="8">
        <v>73.34</v>
      </c>
      <c r="DP282" s="8">
        <v>65.5</v>
      </c>
      <c r="DQ282" s="8">
        <v>78.040000000000006</v>
      </c>
      <c r="DR282" s="8">
        <v>81.040000000000006</v>
      </c>
      <c r="DS282" s="8">
        <v>72.66</v>
      </c>
      <c r="DT282" s="8">
        <v>72.66</v>
      </c>
      <c r="DU282" s="8">
        <v>79.36</v>
      </c>
      <c r="DV282" s="8">
        <v>69.64</v>
      </c>
      <c r="DW282" s="8">
        <v>72.5</v>
      </c>
      <c r="DX282" s="8">
        <v>75.25</v>
      </c>
      <c r="DY282" s="8">
        <v>60.34</v>
      </c>
      <c r="DZ282" s="8">
        <v>60.34</v>
      </c>
      <c r="EA282" s="8">
        <v>80.59</v>
      </c>
      <c r="EB282" s="8">
        <v>94.79</v>
      </c>
      <c r="EC282" s="8">
        <v>78.989999999999995</v>
      </c>
      <c r="ED282" s="9">
        <v>0.4</v>
      </c>
      <c r="EE282" s="9">
        <v>-0.2</v>
      </c>
      <c r="EF282" s="9">
        <v>-0.6</v>
      </c>
      <c r="EG282" s="9">
        <v>0.5</v>
      </c>
      <c r="EH282" s="9">
        <v>-0.5</v>
      </c>
      <c r="EI282" s="9">
        <v>-1.8</v>
      </c>
      <c r="EJ282" s="9">
        <v>-3.3</v>
      </c>
      <c r="EK282" s="9">
        <v>-0.3</v>
      </c>
      <c r="EL282" s="9">
        <v>0</v>
      </c>
      <c r="EM282" s="9">
        <v>-0.8</v>
      </c>
      <c r="EN282" s="9">
        <v>0.9</v>
      </c>
      <c r="EO282" s="9">
        <v>-2.2999999999999998</v>
      </c>
      <c r="EP282" s="9">
        <v>-0.3</v>
      </c>
      <c r="EQ282" s="9">
        <v>1.6</v>
      </c>
      <c r="ER282" s="9">
        <v>0.5</v>
      </c>
      <c r="ES282" s="9">
        <v>0</v>
      </c>
      <c r="ET282" s="9">
        <v>-0.1</v>
      </c>
      <c r="EU282" s="9">
        <v>1.6</v>
      </c>
      <c r="EV282" s="9">
        <v>1.7</v>
      </c>
      <c r="EW282" s="9">
        <v>0.9</v>
      </c>
      <c r="EX282" s="9">
        <v>2.2000000000000002</v>
      </c>
      <c r="EY282" s="9">
        <v>-3</v>
      </c>
      <c r="EZ282" s="9">
        <v>1</v>
      </c>
      <c r="FA282" s="9">
        <v>-2.7</v>
      </c>
      <c r="FB282" s="9">
        <v>-1.5</v>
      </c>
      <c r="FC282" s="9">
        <v>1.3</v>
      </c>
      <c r="FD282" s="9">
        <v>-3</v>
      </c>
      <c r="FE282" s="9">
        <v>-6.6</v>
      </c>
      <c r="FF282" s="9">
        <v>-0.7</v>
      </c>
      <c r="FG282" s="9">
        <v>-5.2</v>
      </c>
      <c r="FH282" s="9">
        <v>0.9</v>
      </c>
      <c r="FI282" s="9">
        <v>0.1</v>
      </c>
      <c r="FJ282" s="9">
        <v>0.2</v>
      </c>
      <c r="FK282" s="9">
        <v>0</v>
      </c>
      <c r="FL282" s="9">
        <v>1</v>
      </c>
      <c r="FM282" s="9">
        <v>0.1</v>
      </c>
      <c r="FN282" s="9">
        <v>0.6</v>
      </c>
      <c r="FO282" s="9">
        <v>-0.3</v>
      </c>
      <c r="FP282" s="9">
        <v>0.2</v>
      </c>
      <c r="FQ282" s="9">
        <v>2.1</v>
      </c>
      <c r="FR282" s="9">
        <v>2.1</v>
      </c>
      <c r="FS282" s="9">
        <v>2</v>
      </c>
      <c r="FT282" s="9">
        <v>1.9</v>
      </c>
      <c r="FU282" s="9">
        <v>1.5</v>
      </c>
      <c r="FV282" s="9">
        <v>1.7</v>
      </c>
      <c r="FW282" s="9">
        <v>3.8</v>
      </c>
      <c r="FX282" s="9">
        <v>4.3</v>
      </c>
      <c r="FY282" s="9">
        <v>2</v>
      </c>
      <c r="FZ282" s="9">
        <v>4.5</v>
      </c>
      <c r="GA282" s="9">
        <v>6.1</v>
      </c>
      <c r="GB282" s="9">
        <v>0.7</v>
      </c>
      <c r="GC282" s="9">
        <v>0.8</v>
      </c>
      <c r="GD282" s="9">
        <v>0.2</v>
      </c>
      <c r="GE282" s="9">
        <v>0.4</v>
      </c>
      <c r="GF282" s="9">
        <v>0.2</v>
      </c>
      <c r="GG282" s="9">
        <v>0.2</v>
      </c>
      <c r="GH282" s="9">
        <v>0.9</v>
      </c>
      <c r="GI282" s="9">
        <v>0.9</v>
      </c>
      <c r="GJ282" s="9">
        <v>0.2</v>
      </c>
      <c r="GK282" s="9">
        <v>0.4</v>
      </c>
      <c r="GL282" s="9">
        <v>0</v>
      </c>
      <c r="GM282" s="9">
        <v>-0.2</v>
      </c>
      <c r="GN282" s="9">
        <v>0</v>
      </c>
      <c r="GO282" s="9">
        <v>-0.4</v>
      </c>
      <c r="GP282" s="9">
        <v>0.3</v>
      </c>
      <c r="GQ282" s="9">
        <v>0.6</v>
      </c>
      <c r="GR282" s="9">
        <v>2.1</v>
      </c>
      <c r="GS282" s="9">
        <v>2.4</v>
      </c>
      <c r="GT282" s="9">
        <v>0.6</v>
      </c>
      <c r="GU282" s="9">
        <v>-1.3</v>
      </c>
      <c r="GV282" s="9">
        <v>-1.3</v>
      </c>
      <c r="GW282" s="9">
        <v>1</v>
      </c>
      <c r="GX282" s="9">
        <v>1.4</v>
      </c>
      <c r="GY282" s="9">
        <v>-1.3</v>
      </c>
      <c r="GZ282" s="9">
        <v>1.7</v>
      </c>
      <c r="HA282" s="9">
        <v>1.1000000000000001</v>
      </c>
      <c r="HB282" s="9">
        <v>-0.1</v>
      </c>
      <c r="HC282" s="9">
        <v>0.5</v>
      </c>
      <c r="HD282" s="9">
        <v>-0.9</v>
      </c>
      <c r="HE282" s="9">
        <v>0.5</v>
      </c>
      <c r="HF282" s="9">
        <v>0.5</v>
      </c>
      <c r="HG282" s="9">
        <v>0.8</v>
      </c>
      <c r="HH282" s="9">
        <v>0.3</v>
      </c>
      <c r="HI282" s="9">
        <v>0.4</v>
      </c>
      <c r="HJ282" s="9">
        <v>2.6</v>
      </c>
      <c r="HK282" s="9">
        <v>-1.7</v>
      </c>
      <c r="HL282" s="9">
        <v>-1.9</v>
      </c>
      <c r="HM282" s="9">
        <v>0</v>
      </c>
      <c r="HN282" s="9">
        <v>3.7</v>
      </c>
      <c r="HO282" s="9">
        <v>4.2</v>
      </c>
      <c r="HP282" s="9">
        <v>0.2</v>
      </c>
      <c r="HQ282" s="9">
        <v>1.1000000000000001</v>
      </c>
      <c r="HR282" s="9">
        <v>1.2</v>
      </c>
      <c r="HS282" s="9">
        <v>-1.4</v>
      </c>
      <c r="HT282" s="9">
        <v>-0.1</v>
      </c>
      <c r="HU282" s="9">
        <v>6</v>
      </c>
      <c r="HV282" s="9">
        <v>-0.1</v>
      </c>
      <c r="HW282" s="9">
        <v>0</v>
      </c>
      <c r="HX282" s="9">
        <v>0</v>
      </c>
      <c r="HY282" s="9">
        <v>0</v>
      </c>
      <c r="HZ282" s="9">
        <v>-1.5</v>
      </c>
      <c r="IA282" s="9">
        <v>-1.5</v>
      </c>
      <c r="IB282" s="9">
        <v>0.5</v>
      </c>
      <c r="IC282" s="9">
        <v>-1.5</v>
      </c>
      <c r="ID282" s="9">
        <v>-0.6</v>
      </c>
      <c r="IE282" s="9">
        <v>0.1</v>
      </c>
      <c r="IF282" s="9">
        <v>-1.1000000000000001</v>
      </c>
      <c r="IG282" s="9">
        <v>1.2</v>
      </c>
      <c r="IH282" s="9">
        <v>0.1</v>
      </c>
      <c r="II282" s="9">
        <v>-0.3</v>
      </c>
      <c r="IJ282" s="9">
        <v>0.2</v>
      </c>
      <c r="IK282" s="9">
        <v>-1.8</v>
      </c>
      <c r="IL282" s="9">
        <v>-3.7</v>
      </c>
      <c r="IM282" s="9">
        <v>0.3</v>
      </c>
      <c r="IN282" s="9">
        <v>0.4</v>
      </c>
      <c r="IO282" s="9">
        <v>-0.7</v>
      </c>
      <c r="IP282" s="9">
        <v>-1.6</v>
      </c>
      <c r="IQ282" s="9">
        <v>4.0999999999999996</v>
      </c>
    </row>
    <row r="283" spans="1:251" x14ac:dyDescent="0.2">
      <c r="A283" s="10">
        <v>42614</v>
      </c>
      <c r="B283" s="8">
        <v>75.98</v>
      </c>
      <c r="C283" s="8">
        <v>76.069999999999993</v>
      </c>
      <c r="D283" s="8">
        <v>75.73</v>
      </c>
      <c r="E283" s="8">
        <v>73.39</v>
      </c>
      <c r="F283" s="8">
        <v>76.22</v>
      </c>
      <c r="G283" s="8">
        <v>79.45</v>
      </c>
      <c r="H283" s="8">
        <v>78.8</v>
      </c>
      <c r="I283" s="8">
        <v>75.62</v>
      </c>
      <c r="J283" s="8">
        <v>69.680000000000007</v>
      </c>
      <c r="K283" s="8">
        <v>78.8</v>
      </c>
      <c r="L283" s="8">
        <v>69.209999999999994</v>
      </c>
      <c r="M283" s="8">
        <v>80.91</v>
      </c>
      <c r="N283" s="8">
        <v>75.540000000000006</v>
      </c>
      <c r="O283" s="8">
        <v>78.63</v>
      </c>
      <c r="P283" s="8">
        <v>74.180000000000007</v>
      </c>
      <c r="Q283" s="8">
        <v>71.14</v>
      </c>
      <c r="R283" s="8">
        <v>74.92</v>
      </c>
      <c r="S283" s="8">
        <v>77.02</v>
      </c>
      <c r="T283" s="8">
        <v>82.13</v>
      </c>
      <c r="U283" s="8">
        <v>82.11</v>
      </c>
      <c r="V283" s="8">
        <v>81.739999999999995</v>
      </c>
      <c r="W283" s="8">
        <v>75.400000000000006</v>
      </c>
      <c r="X283" s="8">
        <v>66.81</v>
      </c>
      <c r="Y283" s="8">
        <v>84.56</v>
      </c>
      <c r="Z283" s="8">
        <v>81.94</v>
      </c>
      <c r="AA283" s="8">
        <v>59.12</v>
      </c>
      <c r="AB283" s="8">
        <v>75.290000000000006</v>
      </c>
      <c r="AC283" s="8">
        <v>79.53</v>
      </c>
      <c r="AD283" s="8">
        <v>74.44</v>
      </c>
      <c r="AE283" s="8">
        <v>74.17</v>
      </c>
      <c r="AF283" s="8">
        <v>74.459999999999994</v>
      </c>
      <c r="AG283" s="8">
        <v>74.97</v>
      </c>
      <c r="AH283" s="8">
        <v>76.33</v>
      </c>
      <c r="AI283" s="8">
        <v>73.16</v>
      </c>
      <c r="AJ283" s="8">
        <v>58.49</v>
      </c>
      <c r="AK283" s="8">
        <v>80.349999999999994</v>
      </c>
      <c r="AL283" s="8">
        <v>75.349999999999994</v>
      </c>
      <c r="AM283" s="8">
        <v>92.57</v>
      </c>
      <c r="AN283" s="8">
        <v>73.58</v>
      </c>
      <c r="AO283" s="8">
        <v>35.450000000000003</v>
      </c>
      <c r="AP283" s="8">
        <v>35.450000000000003</v>
      </c>
      <c r="AQ283" s="8">
        <v>96.76</v>
      </c>
      <c r="AR283" s="8">
        <v>104.46</v>
      </c>
      <c r="AS283" s="8">
        <v>105.19</v>
      </c>
      <c r="AT283" s="8">
        <v>107.73</v>
      </c>
      <c r="AU283" s="8">
        <v>92.01</v>
      </c>
      <c r="AV283" s="8">
        <v>100.18</v>
      </c>
      <c r="AW283" s="8">
        <v>100.57</v>
      </c>
      <c r="AX283" s="8">
        <v>100.23</v>
      </c>
      <c r="AY283" s="8">
        <v>98.85</v>
      </c>
      <c r="AZ283" s="8">
        <v>78.42</v>
      </c>
      <c r="BA283" s="8">
        <v>79.510000000000005</v>
      </c>
      <c r="BB283" s="8">
        <v>71.55</v>
      </c>
      <c r="BC283" s="8">
        <v>73.239999999999995</v>
      </c>
      <c r="BD283" s="8">
        <v>81</v>
      </c>
      <c r="BE283" s="8">
        <v>81</v>
      </c>
      <c r="BF283" s="8">
        <v>66.849999999999994</v>
      </c>
      <c r="BG283" s="8">
        <v>66.849999999999994</v>
      </c>
      <c r="BH283" s="8">
        <v>72.94</v>
      </c>
      <c r="BI283" s="8">
        <v>74.61</v>
      </c>
      <c r="BJ283" s="8">
        <v>70.84</v>
      </c>
      <c r="BK283" s="8">
        <v>76.459999999999994</v>
      </c>
      <c r="BL283" s="8">
        <v>84.64</v>
      </c>
      <c r="BM283" s="8">
        <v>81.16</v>
      </c>
      <c r="BN283" s="8">
        <v>60.86</v>
      </c>
      <c r="BO283" s="8">
        <v>84.96</v>
      </c>
      <c r="BP283" s="8">
        <v>84.68</v>
      </c>
      <c r="BQ283" s="8">
        <v>86.28</v>
      </c>
      <c r="BR283" s="8">
        <v>77.19</v>
      </c>
      <c r="BS283" s="8">
        <v>105.03</v>
      </c>
      <c r="BT283" s="8">
        <v>105.03</v>
      </c>
      <c r="BU283" s="8">
        <v>97.05</v>
      </c>
      <c r="BV283" s="8">
        <v>94.5</v>
      </c>
      <c r="BW283" s="8">
        <v>98.9</v>
      </c>
      <c r="BX283" s="8">
        <v>108.58</v>
      </c>
      <c r="BY283" s="8">
        <v>86.75</v>
      </c>
      <c r="BZ283" s="8">
        <v>86.82</v>
      </c>
      <c r="CA283" s="8">
        <v>83.9</v>
      </c>
      <c r="CB283" s="8">
        <v>95.1</v>
      </c>
      <c r="CC283" s="8">
        <v>81.819999999999993</v>
      </c>
      <c r="CD283" s="8">
        <v>75.72</v>
      </c>
      <c r="CE283" s="8">
        <v>84.49</v>
      </c>
      <c r="CF283" s="8">
        <v>72.180000000000007</v>
      </c>
      <c r="CG283" s="8">
        <v>71.66</v>
      </c>
      <c r="CH283" s="8">
        <v>72.25</v>
      </c>
      <c r="CI283" s="8">
        <v>91.18</v>
      </c>
      <c r="CJ283" s="8">
        <v>90.95</v>
      </c>
      <c r="CK283" s="8">
        <v>92.95</v>
      </c>
      <c r="CL283" s="8">
        <v>68.41</v>
      </c>
      <c r="CM283" s="8">
        <v>66.88</v>
      </c>
      <c r="CN283" s="8">
        <v>81.27</v>
      </c>
      <c r="CO283" s="8">
        <v>74.709999999999994</v>
      </c>
      <c r="CP283" s="8">
        <v>74.22</v>
      </c>
      <c r="CQ283" s="8">
        <v>85.21</v>
      </c>
      <c r="CR283" s="8">
        <v>75.239999999999995</v>
      </c>
      <c r="CS283" s="8">
        <v>62.75</v>
      </c>
      <c r="CT283" s="8">
        <v>74.430000000000007</v>
      </c>
      <c r="CU283" s="8">
        <v>79.94</v>
      </c>
      <c r="CV283" s="8">
        <v>85.82</v>
      </c>
      <c r="CW283" s="8">
        <v>85.82</v>
      </c>
      <c r="CX283" s="8">
        <v>111.43</v>
      </c>
      <c r="CY283" s="8">
        <v>111.43</v>
      </c>
      <c r="CZ283" s="8">
        <v>64.91</v>
      </c>
      <c r="DA283" s="8">
        <v>114.15</v>
      </c>
      <c r="DB283" s="8">
        <v>81.42</v>
      </c>
      <c r="DC283" s="8">
        <v>101.22</v>
      </c>
      <c r="DD283" s="8">
        <v>130.99</v>
      </c>
      <c r="DE283" s="8">
        <v>71.45</v>
      </c>
      <c r="DF283" s="8">
        <v>81.7</v>
      </c>
      <c r="DG283" s="8">
        <v>101.77</v>
      </c>
      <c r="DH283" s="8">
        <v>74.349999999999994</v>
      </c>
      <c r="DI283" s="8">
        <v>72.09</v>
      </c>
      <c r="DJ283" s="8">
        <v>65.84</v>
      </c>
      <c r="DK283" s="8">
        <v>69.91</v>
      </c>
      <c r="DL283" s="8">
        <v>81.69</v>
      </c>
      <c r="DM283" s="8">
        <v>87.95</v>
      </c>
      <c r="DN283" s="8">
        <v>103.92</v>
      </c>
      <c r="DO283" s="8">
        <v>74.400000000000006</v>
      </c>
      <c r="DP283" s="8">
        <v>66.11</v>
      </c>
      <c r="DQ283" s="8">
        <v>78.31</v>
      </c>
      <c r="DR283" s="8">
        <v>81.33</v>
      </c>
      <c r="DS283" s="8">
        <v>72.790000000000006</v>
      </c>
      <c r="DT283" s="8">
        <v>72.790000000000006</v>
      </c>
      <c r="DU283" s="8">
        <v>79.66</v>
      </c>
      <c r="DV283" s="8">
        <v>69.64</v>
      </c>
      <c r="DW283" s="8">
        <v>72.7</v>
      </c>
      <c r="DX283" s="8">
        <v>75.95</v>
      </c>
      <c r="DY283" s="8">
        <v>61.83</v>
      </c>
      <c r="DZ283" s="8">
        <v>61.83</v>
      </c>
      <c r="EA283" s="8">
        <v>80.8</v>
      </c>
      <c r="EB283" s="8">
        <v>95.33</v>
      </c>
      <c r="EC283" s="8">
        <v>79.13</v>
      </c>
      <c r="ED283" s="9">
        <v>0.7</v>
      </c>
      <c r="EE283" s="9">
        <v>1.7</v>
      </c>
      <c r="EF283" s="9">
        <v>0</v>
      </c>
      <c r="EG283" s="9">
        <v>-0.4</v>
      </c>
      <c r="EH283" s="9">
        <v>0.1</v>
      </c>
      <c r="EI283" s="9">
        <v>0.8</v>
      </c>
      <c r="EJ283" s="9">
        <v>-0.1</v>
      </c>
      <c r="EK283" s="9">
        <v>0</v>
      </c>
      <c r="EL283" s="9">
        <v>1</v>
      </c>
      <c r="EM283" s="9">
        <v>-1.1000000000000001</v>
      </c>
      <c r="EN283" s="9">
        <v>2.9</v>
      </c>
      <c r="EO283" s="9">
        <v>-0.3</v>
      </c>
      <c r="EP283" s="9">
        <v>-1.3</v>
      </c>
      <c r="EQ283" s="9">
        <v>-0.1</v>
      </c>
      <c r="ER283" s="9">
        <v>-0.8</v>
      </c>
      <c r="ES283" s="9">
        <v>0</v>
      </c>
      <c r="ET283" s="9">
        <v>-0.8</v>
      </c>
      <c r="EU283" s="9">
        <v>-1.6</v>
      </c>
      <c r="EV283" s="9">
        <v>11.7</v>
      </c>
      <c r="EW283" s="9">
        <v>19.5</v>
      </c>
      <c r="EX283" s="9">
        <v>5.9</v>
      </c>
      <c r="EY283" s="9">
        <v>0.4</v>
      </c>
      <c r="EZ283" s="9">
        <v>0.3</v>
      </c>
      <c r="FA283" s="9">
        <v>1.5</v>
      </c>
      <c r="FB283" s="9">
        <v>1.1000000000000001</v>
      </c>
      <c r="FC283" s="9">
        <v>0.1</v>
      </c>
      <c r="FD283" s="9">
        <v>-0.3</v>
      </c>
      <c r="FE283" s="9">
        <v>1.4</v>
      </c>
      <c r="FF283" s="9">
        <v>-1.1000000000000001</v>
      </c>
      <c r="FG283" s="9">
        <v>-1.8</v>
      </c>
      <c r="FH283" s="9">
        <v>-0.8</v>
      </c>
      <c r="FI283" s="9">
        <v>0.4</v>
      </c>
      <c r="FJ283" s="9">
        <v>0.6</v>
      </c>
      <c r="FK283" s="9">
        <v>0.3</v>
      </c>
      <c r="FL283" s="9">
        <v>1.2</v>
      </c>
      <c r="FM283" s="9">
        <v>0.3</v>
      </c>
      <c r="FN283" s="9">
        <v>0</v>
      </c>
      <c r="FO283" s="9">
        <v>-0.1</v>
      </c>
      <c r="FP283" s="9">
        <v>0.7</v>
      </c>
      <c r="FQ283" s="9">
        <v>2.2999999999999998</v>
      </c>
      <c r="FR283" s="9">
        <v>2.2999999999999998</v>
      </c>
      <c r="FS283" s="9">
        <v>0.3</v>
      </c>
      <c r="FT283" s="9">
        <v>-1.2</v>
      </c>
      <c r="FU283" s="9">
        <v>-0.6</v>
      </c>
      <c r="FV283" s="9">
        <v>-1.6</v>
      </c>
      <c r="FW283" s="9">
        <v>-0.4</v>
      </c>
      <c r="FX283" s="9">
        <v>-0.9</v>
      </c>
      <c r="FY283" s="9">
        <v>0.5</v>
      </c>
      <c r="FZ283" s="9">
        <v>-0.8</v>
      </c>
      <c r="GA283" s="9">
        <v>-2.5</v>
      </c>
      <c r="GB283" s="9">
        <v>4.9000000000000004</v>
      </c>
      <c r="GC283" s="9">
        <v>5.6</v>
      </c>
      <c r="GD283" s="9">
        <v>0.6</v>
      </c>
      <c r="GE283" s="9">
        <v>1</v>
      </c>
      <c r="GF283" s="9">
        <v>0.3</v>
      </c>
      <c r="GG283" s="9">
        <v>0.3</v>
      </c>
      <c r="GH283" s="9">
        <v>0.4</v>
      </c>
      <c r="GI283" s="9">
        <v>0.4</v>
      </c>
      <c r="GJ283" s="9">
        <v>2</v>
      </c>
      <c r="GK283" s="9">
        <v>0.4</v>
      </c>
      <c r="GL283" s="9">
        <v>4</v>
      </c>
      <c r="GM283" s="9">
        <v>2.5</v>
      </c>
      <c r="GN283" s="9">
        <v>-1.8</v>
      </c>
      <c r="GO283" s="9">
        <v>5.4</v>
      </c>
      <c r="GP283" s="9">
        <v>0</v>
      </c>
      <c r="GQ283" s="9">
        <v>1.1000000000000001</v>
      </c>
      <c r="GR283" s="9">
        <v>1</v>
      </c>
      <c r="GS283" s="9">
        <v>1.2</v>
      </c>
      <c r="GT283" s="9">
        <v>-0.1</v>
      </c>
      <c r="GU283" s="9">
        <v>5.9</v>
      </c>
      <c r="GV283" s="9">
        <v>5.9</v>
      </c>
      <c r="GW283" s="9">
        <v>0.6</v>
      </c>
      <c r="GX283" s="9">
        <v>-1</v>
      </c>
      <c r="GY283" s="9">
        <v>0</v>
      </c>
      <c r="GZ283" s="9">
        <v>2.2999999999999998</v>
      </c>
      <c r="HA283" s="9">
        <v>1.1000000000000001</v>
      </c>
      <c r="HB283" s="9">
        <v>0.1</v>
      </c>
      <c r="HC283" s="9">
        <v>-1.1000000000000001</v>
      </c>
      <c r="HD283" s="9">
        <v>0.5</v>
      </c>
      <c r="HE283" s="9">
        <v>0</v>
      </c>
      <c r="HF283" s="9">
        <v>1.6</v>
      </c>
      <c r="HG283" s="9">
        <v>3.5</v>
      </c>
      <c r="HH283" s="9">
        <v>0.5</v>
      </c>
      <c r="HI283" s="9">
        <v>0.6</v>
      </c>
      <c r="HJ283" s="9">
        <v>-0.3</v>
      </c>
      <c r="HK283" s="9">
        <v>-0.8</v>
      </c>
      <c r="HL283" s="9">
        <v>-0.9</v>
      </c>
      <c r="HM283" s="9">
        <v>0.1</v>
      </c>
      <c r="HN283" s="9">
        <v>-0.2</v>
      </c>
      <c r="HO283" s="9">
        <v>-0.2</v>
      </c>
      <c r="HP283" s="9">
        <v>0</v>
      </c>
      <c r="HQ283" s="9">
        <v>-0.6</v>
      </c>
      <c r="HR283" s="9">
        <v>-0.6</v>
      </c>
      <c r="HS283" s="9">
        <v>-0.6</v>
      </c>
      <c r="HT283" s="9">
        <v>0.7</v>
      </c>
      <c r="HU283" s="9">
        <v>-2.9</v>
      </c>
      <c r="HV283" s="9">
        <v>0.3</v>
      </c>
      <c r="HW283" s="9">
        <v>1.4</v>
      </c>
      <c r="HX283" s="9">
        <v>0.2</v>
      </c>
      <c r="HY283" s="9">
        <v>0.2</v>
      </c>
      <c r="HZ283" s="9">
        <v>-2.2999999999999998</v>
      </c>
      <c r="IA283" s="9">
        <v>-2.2999999999999998</v>
      </c>
      <c r="IB283" s="9">
        <v>0.9</v>
      </c>
      <c r="IC283" s="9">
        <v>-2.5</v>
      </c>
      <c r="ID283" s="9">
        <v>0.5</v>
      </c>
      <c r="IE283" s="9">
        <v>-1</v>
      </c>
      <c r="IF283" s="9">
        <v>-1.7</v>
      </c>
      <c r="IG283" s="9">
        <v>-0.3</v>
      </c>
      <c r="IH283" s="9">
        <v>0.7</v>
      </c>
      <c r="II283" s="9">
        <v>2.4</v>
      </c>
      <c r="IJ283" s="9">
        <v>-0.1</v>
      </c>
      <c r="IK283" s="9">
        <v>1.1000000000000001</v>
      </c>
      <c r="IL283" s="9">
        <v>0.3</v>
      </c>
      <c r="IM283" s="9">
        <v>1.9</v>
      </c>
      <c r="IN283" s="9">
        <v>0.5</v>
      </c>
      <c r="IO283" s="9">
        <v>-0.2</v>
      </c>
      <c r="IP283" s="9">
        <v>0.8</v>
      </c>
      <c r="IQ283" s="9">
        <v>1.4</v>
      </c>
    </row>
    <row r="284" spans="1:251" x14ac:dyDescent="0.2">
      <c r="A284" s="10">
        <v>42705</v>
      </c>
      <c r="B284" s="8">
        <v>76.38</v>
      </c>
      <c r="C284" s="8">
        <v>76.5</v>
      </c>
      <c r="D284" s="8">
        <v>76.02</v>
      </c>
      <c r="E284" s="8">
        <v>73</v>
      </c>
      <c r="F284" s="8">
        <v>76.88</v>
      </c>
      <c r="G284" s="8">
        <v>80.84</v>
      </c>
      <c r="H284" s="8">
        <v>78.75</v>
      </c>
      <c r="I284" s="8">
        <v>75.94</v>
      </c>
      <c r="J284" s="8">
        <v>69.84</v>
      </c>
      <c r="K284" s="8">
        <v>80.06</v>
      </c>
      <c r="L284" s="8">
        <v>68.08</v>
      </c>
      <c r="M284" s="8">
        <v>81.319999999999993</v>
      </c>
      <c r="N284" s="8">
        <v>75.95</v>
      </c>
      <c r="O284" s="8">
        <v>79.06</v>
      </c>
      <c r="P284" s="8">
        <v>73.63</v>
      </c>
      <c r="Q284" s="8">
        <v>70.97</v>
      </c>
      <c r="R284" s="8">
        <v>73.97</v>
      </c>
      <c r="S284" s="8">
        <v>76.37</v>
      </c>
      <c r="T284" s="8">
        <v>83.16</v>
      </c>
      <c r="U284" s="8">
        <v>81.91</v>
      </c>
      <c r="V284" s="8">
        <v>83.77</v>
      </c>
      <c r="W284" s="8">
        <v>76.489999999999995</v>
      </c>
      <c r="X284" s="8">
        <v>66.42</v>
      </c>
      <c r="Y284" s="8">
        <v>84.99</v>
      </c>
      <c r="Z284" s="8">
        <v>80.66</v>
      </c>
      <c r="AA284" s="8">
        <v>58.92</v>
      </c>
      <c r="AB284" s="8">
        <v>76.23</v>
      </c>
      <c r="AC284" s="8">
        <v>83.83</v>
      </c>
      <c r="AD284" s="8">
        <v>73.040000000000006</v>
      </c>
      <c r="AE284" s="8">
        <v>75.989999999999995</v>
      </c>
      <c r="AF284" s="8">
        <v>72.02</v>
      </c>
      <c r="AG284" s="8">
        <v>75.55</v>
      </c>
      <c r="AH284" s="8">
        <v>77.17</v>
      </c>
      <c r="AI284" s="8">
        <v>73.489999999999995</v>
      </c>
      <c r="AJ284" s="8">
        <v>60.14</v>
      </c>
      <c r="AK284" s="8">
        <v>79.83</v>
      </c>
      <c r="AL284" s="8">
        <v>74.48</v>
      </c>
      <c r="AM284" s="8">
        <v>90.78</v>
      </c>
      <c r="AN284" s="8">
        <v>73.88</v>
      </c>
      <c r="AO284" s="8">
        <v>38.1</v>
      </c>
      <c r="AP284" s="8">
        <v>38.1</v>
      </c>
      <c r="AQ284" s="8">
        <v>96.32</v>
      </c>
      <c r="AR284" s="8">
        <v>105.29</v>
      </c>
      <c r="AS284" s="8">
        <v>107.84</v>
      </c>
      <c r="AT284" s="8">
        <v>107.05</v>
      </c>
      <c r="AU284" s="8">
        <v>94.63</v>
      </c>
      <c r="AV284" s="8">
        <v>100.6</v>
      </c>
      <c r="AW284" s="8">
        <v>101.68</v>
      </c>
      <c r="AX284" s="8">
        <v>101.13</v>
      </c>
      <c r="AY284" s="8">
        <v>97.24</v>
      </c>
      <c r="AZ284" s="8">
        <v>75.13</v>
      </c>
      <c r="BA284" s="8">
        <v>75.52</v>
      </c>
      <c r="BB284" s="8">
        <v>71.98</v>
      </c>
      <c r="BC284" s="8">
        <v>73.44</v>
      </c>
      <c r="BD284" s="8">
        <v>81.069999999999993</v>
      </c>
      <c r="BE284" s="8">
        <v>81.069999999999993</v>
      </c>
      <c r="BF284" s="8">
        <v>67.239999999999995</v>
      </c>
      <c r="BG284" s="8">
        <v>67.239999999999995</v>
      </c>
      <c r="BH284" s="8">
        <v>73.34</v>
      </c>
      <c r="BI284" s="8">
        <v>75.33</v>
      </c>
      <c r="BJ284" s="8">
        <v>70.84</v>
      </c>
      <c r="BK284" s="8">
        <v>76.25</v>
      </c>
      <c r="BL284" s="8">
        <v>84.64</v>
      </c>
      <c r="BM284" s="8">
        <v>81.150000000000006</v>
      </c>
      <c r="BN284" s="8">
        <v>60.06</v>
      </c>
      <c r="BO284" s="8">
        <v>84.25</v>
      </c>
      <c r="BP284" s="8">
        <v>83.52</v>
      </c>
      <c r="BQ284" s="8">
        <v>84.92</v>
      </c>
      <c r="BR284" s="8">
        <v>77.02</v>
      </c>
      <c r="BS284" s="8">
        <v>100.56</v>
      </c>
      <c r="BT284" s="8">
        <v>100.56</v>
      </c>
      <c r="BU284" s="8">
        <v>95.03</v>
      </c>
      <c r="BV284" s="8">
        <v>91.82</v>
      </c>
      <c r="BW284" s="8">
        <v>97.98</v>
      </c>
      <c r="BX284" s="8">
        <v>105.57</v>
      </c>
      <c r="BY284" s="8">
        <v>86.16</v>
      </c>
      <c r="BZ284" s="8">
        <v>86.12</v>
      </c>
      <c r="CA284" s="8">
        <v>83.5</v>
      </c>
      <c r="CB284" s="8">
        <v>93.11</v>
      </c>
      <c r="CC284" s="8">
        <v>81.83</v>
      </c>
      <c r="CD284" s="8">
        <v>76.3</v>
      </c>
      <c r="CE284" s="8">
        <v>84.86</v>
      </c>
      <c r="CF284" s="8">
        <v>72.88</v>
      </c>
      <c r="CG284" s="8">
        <v>72.34</v>
      </c>
      <c r="CH284" s="8">
        <v>71.8</v>
      </c>
      <c r="CI284" s="8">
        <v>89.09</v>
      </c>
      <c r="CJ284" s="8">
        <v>88.58</v>
      </c>
      <c r="CK284" s="8">
        <v>93.08</v>
      </c>
      <c r="CL284" s="8">
        <v>68.260000000000005</v>
      </c>
      <c r="CM284" s="8">
        <v>66.72</v>
      </c>
      <c r="CN284" s="8">
        <v>81.23</v>
      </c>
      <c r="CO284" s="8">
        <v>76.010000000000005</v>
      </c>
      <c r="CP284" s="8">
        <v>75.510000000000005</v>
      </c>
      <c r="CQ284" s="8">
        <v>84.7</v>
      </c>
      <c r="CR284" s="8">
        <v>75.09</v>
      </c>
      <c r="CS284" s="8">
        <v>67.02</v>
      </c>
      <c r="CT284" s="8">
        <v>74.569999999999993</v>
      </c>
      <c r="CU284" s="8">
        <v>80.03</v>
      </c>
      <c r="CV284" s="8">
        <v>87.42</v>
      </c>
      <c r="CW284" s="8">
        <v>87.42</v>
      </c>
      <c r="CX284" s="8">
        <v>110.65</v>
      </c>
      <c r="CY284" s="8">
        <v>110.65</v>
      </c>
      <c r="CZ284" s="8">
        <v>65.760000000000005</v>
      </c>
      <c r="DA284" s="8">
        <v>113.22</v>
      </c>
      <c r="DB284" s="8">
        <v>81.900000000000006</v>
      </c>
      <c r="DC284" s="8">
        <v>100.44</v>
      </c>
      <c r="DD284" s="8">
        <v>127.15</v>
      </c>
      <c r="DE284" s="8">
        <v>72.41</v>
      </c>
      <c r="DF284" s="8">
        <v>81.61</v>
      </c>
      <c r="DG284" s="8">
        <v>99.43</v>
      </c>
      <c r="DH284" s="8">
        <v>75.09</v>
      </c>
      <c r="DI284" s="8">
        <v>73.23</v>
      </c>
      <c r="DJ284" s="8">
        <v>69.510000000000005</v>
      </c>
      <c r="DK284" s="8">
        <v>68.08</v>
      </c>
      <c r="DL284" s="8">
        <v>81.819999999999993</v>
      </c>
      <c r="DM284" s="8">
        <v>87.7</v>
      </c>
      <c r="DN284" s="8">
        <v>103.75</v>
      </c>
      <c r="DO284" s="8">
        <v>73.959999999999994</v>
      </c>
      <c r="DP284" s="8">
        <v>66.540000000000006</v>
      </c>
      <c r="DQ284" s="8">
        <v>78.87</v>
      </c>
      <c r="DR284" s="8">
        <v>81.42</v>
      </c>
      <c r="DS284" s="8">
        <v>72.790000000000006</v>
      </c>
      <c r="DT284" s="8">
        <v>72.790000000000006</v>
      </c>
      <c r="DU284" s="8">
        <v>79.7</v>
      </c>
      <c r="DV284" s="8">
        <v>69.64</v>
      </c>
      <c r="DW284" s="8">
        <v>72.7</v>
      </c>
      <c r="DX284" s="8">
        <v>76.44</v>
      </c>
      <c r="DY284" s="8">
        <v>63.09</v>
      </c>
      <c r="DZ284" s="8">
        <v>63.09</v>
      </c>
      <c r="EA284" s="8">
        <v>80.819999999999993</v>
      </c>
      <c r="EB284" s="8">
        <v>94.86</v>
      </c>
      <c r="EC284" s="8">
        <v>79.25</v>
      </c>
      <c r="ED284" s="9">
        <v>0.5</v>
      </c>
      <c r="EE284" s="9">
        <v>0.6</v>
      </c>
      <c r="EF284" s="9">
        <v>0.4</v>
      </c>
      <c r="EG284" s="9">
        <v>-0.5</v>
      </c>
      <c r="EH284" s="9">
        <v>0.9</v>
      </c>
      <c r="EI284" s="9">
        <v>1.7</v>
      </c>
      <c r="EJ284" s="9">
        <v>-0.1</v>
      </c>
      <c r="EK284" s="9">
        <v>0.4</v>
      </c>
      <c r="EL284" s="9">
        <v>0.2</v>
      </c>
      <c r="EM284" s="9">
        <v>1.6</v>
      </c>
      <c r="EN284" s="9">
        <v>-1.6</v>
      </c>
      <c r="EO284" s="9">
        <v>0.5</v>
      </c>
      <c r="EP284" s="9">
        <v>0.5</v>
      </c>
      <c r="EQ284" s="9">
        <v>0.5</v>
      </c>
      <c r="ER284" s="9">
        <v>-0.7</v>
      </c>
      <c r="ES284" s="9">
        <v>-0.2</v>
      </c>
      <c r="ET284" s="9">
        <v>-1.3</v>
      </c>
      <c r="EU284" s="9">
        <v>-0.8</v>
      </c>
      <c r="EV284" s="9">
        <v>1.3</v>
      </c>
      <c r="EW284" s="9">
        <v>-0.2</v>
      </c>
      <c r="EX284" s="9">
        <v>2.5</v>
      </c>
      <c r="EY284" s="9">
        <v>1.4</v>
      </c>
      <c r="EZ284" s="9">
        <v>-0.6</v>
      </c>
      <c r="FA284" s="9">
        <v>0.5</v>
      </c>
      <c r="FB284" s="9">
        <v>-1.6</v>
      </c>
      <c r="FC284" s="9">
        <v>-0.3</v>
      </c>
      <c r="FD284" s="9">
        <v>1.2</v>
      </c>
      <c r="FE284" s="9">
        <v>5.4</v>
      </c>
      <c r="FF284" s="9">
        <v>-1.9</v>
      </c>
      <c r="FG284" s="9">
        <v>2.5</v>
      </c>
      <c r="FH284" s="9">
        <v>-3.3</v>
      </c>
      <c r="FI284" s="9">
        <v>0.8</v>
      </c>
      <c r="FJ284" s="9">
        <v>1.1000000000000001</v>
      </c>
      <c r="FK284" s="9">
        <v>0.5</v>
      </c>
      <c r="FL284" s="9">
        <v>2.8</v>
      </c>
      <c r="FM284" s="9">
        <v>-0.6</v>
      </c>
      <c r="FN284" s="9">
        <v>-1.2</v>
      </c>
      <c r="FO284" s="9">
        <v>-1.9</v>
      </c>
      <c r="FP284" s="9">
        <v>0.4</v>
      </c>
      <c r="FQ284" s="9">
        <v>7.5</v>
      </c>
      <c r="FR284" s="9">
        <v>7.5</v>
      </c>
      <c r="FS284" s="9">
        <v>-0.5</v>
      </c>
      <c r="FT284" s="9">
        <v>0.8</v>
      </c>
      <c r="FU284" s="9">
        <v>2.5</v>
      </c>
      <c r="FV284" s="9">
        <v>-0.6</v>
      </c>
      <c r="FW284" s="9">
        <v>2.8</v>
      </c>
      <c r="FX284" s="9">
        <v>0.4</v>
      </c>
      <c r="FY284" s="9">
        <v>1.1000000000000001</v>
      </c>
      <c r="FZ284" s="9">
        <v>0.9</v>
      </c>
      <c r="GA284" s="9">
        <v>-1.6</v>
      </c>
      <c r="GB284" s="9">
        <v>-4.2</v>
      </c>
      <c r="GC284" s="9">
        <v>-5</v>
      </c>
      <c r="GD284" s="9">
        <v>0.6</v>
      </c>
      <c r="GE284" s="9">
        <v>0.3</v>
      </c>
      <c r="GF284" s="9">
        <v>0.1</v>
      </c>
      <c r="GG284" s="9">
        <v>0.1</v>
      </c>
      <c r="GH284" s="9">
        <v>0.6</v>
      </c>
      <c r="GI284" s="9">
        <v>0.6</v>
      </c>
      <c r="GJ284" s="9">
        <v>0.5</v>
      </c>
      <c r="GK284" s="9">
        <v>1</v>
      </c>
      <c r="GL284" s="9">
        <v>0</v>
      </c>
      <c r="GM284" s="9">
        <v>-0.3</v>
      </c>
      <c r="GN284" s="9">
        <v>0</v>
      </c>
      <c r="GO284" s="9">
        <v>0</v>
      </c>
      <c r="GP284" s="9">
        <v>-1.3</v>
      </c>
      <c r="GQ284" s="9">
        <v>-0.8</v>
      </c>
      <c r="GR284" s="9">
        <v>-1.4</v>
      </c>
      <c r="GS284" s="9">
        <v>-1.6</v>
      </c>
      <c r="GT284" s="9">
        <v>-0.2</v>
      </c>
      <c r="GU284" s="9">
        <v>-4.3</v>
      </c>
      <c r="GV284" s="9">
        <v>-4.3</v>
      </c>
      <c r="GW284" s="9">
        <v>-2.1</v>
      </c>
      <c r="GX284" s="9">
        <v>-2.8</v>
      </c>
      <c r="GY284" s="9">
        <v>-0.9</v>
      </c>
      <c r="GZ284" s="9">
        <v>-2.8</v>
      </c>
      <c r="HA284" s="9">
        <v>-0.7</v>
      </c>
      <c r="HB284" s="9">
        <v>-0.8</v>
      </c>
      <c r="HC284" s="9">
        <v>-0.5</v>
      </c>
      <c r="HD284" s="9">
        <v>-2.1</v>
      </c>
      <c r="HE284" s="9">
        <v>0</v>
      </c>
      <c r="HF284" s="9">
        <v>0.8</v>
      </c>
      <c r="HG284" s="9">
        <v>0.4</v>
      </c>
      <c r="HH284" s="9">
        <v>1</v>
      </c>
      <c r="HI284" s="9">
        <v>0.9</v>
      </c>
      <c r="HJ284" s="9">
        <v>-0.6</v>
      </c>
      <c r="HK284" s="9">
        <v>-2.2999999999999998</v>
      </c>
      <c r="HL284" s="9">
        <v>-2.6</v>
      </c>
      <c r="HM284" s="9">
        <v>0.1</v>
      </c>
      <c r="HN284" s="9">
        <v>-0.2</v>
      </c>
      <c r="HO284" s="9">
        <v>-0.2</v>
      </c>
      <c r="HP284" s="9">
        <v>0</v>
      </c>
      <c r="HQ284" s="9">
        <v>1.7</v>
      </c>
      <c r="HR284" s="9">
        <v>1.7</v>
      </c>
      <c r="HS284" s="9">
        <v>-0.6</v>
      </c>
      <c r="HT284" s="9">
        <v>-0.2</v>
      </c>
      <c r="HU284" s="9">
        <v>6.8</v>
      </c>
      <c r="HV284" s="9">
        <v>0.2</v>
      </c>
      <c r="HW284" s="9">
        <v>0.1</v>
      </c>
      <c r="HX284" s="9">
        <v>1.9</v>
      </c>
      <c r="HY284" s="9">
        <v>1.9</v>
      </c>
      <c r="HZ284" s="9">
        <v>-0.7</v>
      </c>
      <c r="IA284" s="9">
        <v>-0.7</v>
      </c>
      <c r="IB284" s="9">
        <v>1.3</v>
      </c>
      <c r="IC284" s="9">
        <v>-0.8</v>
      </c>
      <c r="ID284" s="9">
        <v>0.6</v>
      </c>
      <c r="IE284" s="9">
        <v>-0.8</v>
      </c>
      <c r="IF284" s="9">
        <v>-2.9</v>
      </c>
      <c r="IG284" s="9">
        <v>1.3</v>
      </c>
      <c r="IH284" s="9">
        <v>-0.1</v>
      </c>
      <c r="II284" s="9">
        <v>-2.2999999999999998</v>
      </c>
      <c r="IJ284" s="9">
        <v>1</v>
      </c>
      <c r="IK284" s="9">
        <v>1.6</v>
      </c>
      <c r="IL284" s="9">
        <v>5.6</v>
      </c>
      <c r="IM284" s="9">
        <v>-2.6</v>
      </c>
      <c r="IN284" s="9">
        <v>0.2</v>
      </c>
      <c r="IO284" s="9">
        <v>-0.3</v>
      </c>
      <c r="IP284" s="9">
        <v>-0.2</v>
      </c>
      <c r="IQ284" s="9">
        <v>-0.6</v>
      </c>
    </row>
    <row r="285" spans="1:251" x14ac:dyDescent="0.2">
      <c r="A285" s="10">
        <v>42795</v>
      </c>
      <c r="B285" s="8">
        <v>76.73</v>
      </c>
      <c r="C285" s="8">
        <v>76.36</v>
      </c>
      <c r="D285" s="8">
        <v>75.930000000000007</v>
      </c>
      <c r="E285" s="8">
        <v>72.849999999999994</v>
      </c>
      <c r="F285" s="8">
        <v>77.430000000000007</v>
      </c>
      <c r="G285" s="8">
        <v>78.73</v>
      </c>
      <c r="H285" s="8">
        <v>78.010000000000005</v>
      </c>
      <c r="I285" s="8">
        <v>75.89</v>
      </c>
      <c r="J285" s="8">
        <v>69.16</v>
      </c>
      <c r="K285" s="8">
        <v>79.900000000000006</v>
      </c>
      <c r="L285" s="8">
        <v>67.66</v>
      </c>
      <c r="M285" s="8">
        <v>82.11</v>
      </c>
      <c r="N285" s="8">
        <v>75.930000000000007</v>
      </c>
      <c r="O285" s="8">
        <v>79.23</v>
      </c>
      <c r="P285" s="8">
        <v>73.38</v>
      </c>
      <c r="Q285" s="8">
        <v>71.239999999999995</v>
      </c>
      <c r="R285" s="8">
        <v>73.34</v>
      </c>
      <c r="S285" s="8">
        <v>75.87</v>
      </c>
      <c r="T285" s="8">
        <v>81.58</v>
      </c>
      <c r="U285" s="8">
        <v>76.400000000000006</v>
      </c>
      <c r="V285" s="8">
        <v>85.43</v>
      </c>
      <c r="W285" s="8">
        <v>76.319999999999993</v>
      </c>
      <c r="X285" s="8">
        <v>66.55</v>
      </c>
      <c r="Y285" s="8">
        <v>83.9</v>
      </c>
      <c r="Z285" s="8">
        <v>81.83</v>
      </c>
      <c r="AA285" s="8">
        <v>60.02</v>
      </c>
      <c r="AB285" s="8">
        <v>76.98</v>
      </c>
      <c r="AC285" s="8">
        <v>80.27</v>
      </c>
      <c r="AD285" s="8">
        <v>73.73</v>
      </c>
      <c r="AE285" s="8">
        <v>77.53</v>
      </c>
      <c r="AF285" s="8">
        <v>72.430000000000007</v>
      </c>
      <c r="AG285" s="8">
        <v>75.819999999999993</v>
      </c>
      <c r="AH285" s="8">
        <v>77.459999999999994</v>
      </c>
      <c r="AI285" s="8">
        <v>73.739999999999995</v>
      </c>
      <c r="AJ285" s="8">
        <v>60.79</v>
      </c>
      <c r="AK285" s="8">
        <v>80.790000000000006</v>
      </c>
      <c r="AL285" s="8">
        <v>75.400000000000006</v>
      </c>
      <c r="AM285" s="8">
        <v>92.23</v>
      </c>
      <c r="AN285" s="8">
        <v>74.56</v>
      </c>
      <c r="AO285" s="8">
        <v>38.47</v>
      </c>
      <c r="AP285" s="8">
        <v>38.47</v>
      </c>
      <c r="AQ285" s="8">
        <v>94.89</v>
      </c>
      <c r="AR285" s="8">
        <v>102.42</v>
      </c>
      <c r="AS285" s="8">
        <v>103.61</v>
      </c>
      <c r="AT285" s="8">
        <v>105.14</v>
      </c>
      <c r="AU285" s="8">
        <v>91</v>
      </c>
      <c r="AV285" s="8">
        <v>97.54</v>
      </c>
      <c r="AW285" s="8">
        <v>97.97</v>
      </c>
      <c r="AX285" s="8">
        <v>98.22</v>
      </c>
      <c r="AY285" s="8">
        <v>94.5</v>
      </c>
      <c r="AZ285" s="8">
        <v>77.33</v>
      </c>
      <c r="BA285" s="8">
        <v>77.989999999999995</v>
      </c>
      <c r="BB285" s="8">
        <v>72.8</v>
      </c>
      <c r="BC285" s="8">
        <v>74.02</v>
      </c>
      <c r="BD285" s="8">
        <v>81.13</v>
      </c>
      <c r="BE285" s="8">
        <v>81.13</v>
      </c>
      <c r="BF285" s="8">
        <v>67.849999999999994</v>
      </c>
      <c r="BG285" s="8">
        <v>67.849999999999994</v>
      </c>
      <c r="BH285" s="8">
        <v>73.42</v>
      </c>
      <c r="BI285" s="8">
        <v>75.47</v>
      </c>
      <c r="BJ285" s="8">
        <v>70.84</v>
      </c>
      <c r="BK285" s="8">
        <v>77.92</v>
      </c>
      <c r="BL285" s="8">
        <v>84.64</v>
      </c>
      <c r="BM285" s="8">
        <v>83.19</v>
      </c>
      <c r="BN285" s="8">
        <v>62.34</v>
      </c>
      <c r="BO285" s="8">
        <v>83.41</v>
      </c>
      <c r="BP285" s="8">
        <v>80.989999999999995</v>
      </c>
      <c r="BQ285" s="8">
        <v>81.99</v>
      </c>
      <c r="BR285" s="8">
        <v>76.47</v>
      </c>
      <c r="BS285" s="8">
        <v>94.95</v>
      </c>
      <c r="BT285" s="8">
        <v>94.95</v>
      </c>
      <c r="BU285" s="8">
        <v>93.38</v>
      </c>
      <c r="BV285" s="8">
        <v>90.75</v>
      </c>
      <c r="BW285" s="8">
        <v>95.23</v>
      </c>
      <c r="BX285" s="8">
        <v>101.92</v>
      </c>
      <c r="BY285" s="8">
        <v>86.73</v>
      </c>
      <c r="BZ285" s="8">
        <v>86.1</v>
      </c>
      <c r="CA285" s="8">
        <v>82.71</v>
      </c>
      <c r="CB285" s="8">
        <v>93.63</v>
      </c>
      <c r="CC285" s="8">
        <v>81.63</v>
      </c>
      <c r="CD285" s="8">
        <v>76.790000000000006</v>
      </c>
      <c r="CE285" s="8">
        <v>85.85</v>
      </c>
      <c r="CF285" s="8">
        <v>73.11</v>
      </c>
      <c r="CG285" s="8">
        <v>72.599999999999994</v>
      </c>
      <c r="CH285" s="8">
        <v>73.25</v>
      </c>
      <c r="CI285" s="8">
        <v>92.88</v>
      </c>
      <c r="CJ285" s="8">
        <v>92.87</v>
      </c>
      <c r="CK285" s="8">
        <v>92.85</v>
      </c>
      <c r="CL285" s="8">
        <v>69.27</v>
      </c>
      <c r="CM285" s="8">
        <v>67.819999999999993</v>
      </c>
      <c r="CN285" s="8">
        <v>81.47</v>
      </c>
      <c r="CO285" s="8">
        <v>77.180000000000007</v>
      </c>
      <c r="CP285" s="8">
        <v>76.8</v>
      </c>
      <c r="CQ285" s="8">
        <v>84.36</v>
      </c>
      <c r="CR285" s="8">
        <v>75.77</v>
      </c>
      <c r="CS285" s="8">
        <v>70.86</v>
      </c>
      <c r="CT285" s="8">
        <v>74.69</v>
      </c>
      <c r="CU285" s="8">
        <v>80.3</v>
      </c>
      <c r="CV285" s="8">
        <v>86.63</v>
      </c>
      <c r="CW285" s="8">
        <v>86.63</v>
      </c>
      <c r="CX285" s="8">
        <v>110.25</v>
      </c>
      <c r="CY285" s="8">
        <v>110.25</v>
      </c>
      <c r="CZ285" s="8">
        <v>66.62</v>
      </c>
      <c r="DA285" s="8">
        <v>112.71</v>
      </c>
      <c r="DB285" s="8">
        <v>81.349999999999994</v>
      </c>
      <c r="DC285" s="8">
        <v>98.7</v>
      </c>
      <c r="DD285" s="8">
        <v>125.02</v>
      </c>
      <c r="DE285" s="8">
        <v>71.12</v>
      </c>
      <c r="DF285" s="8">
        <v>82.62</v>
      </c>
      <c r="DG285" s="8">
        <v>101.96</v>
      </c>
      <c r="DH285" s="8">
        <v>75.55</v>
      </c>
      <c r="DI285" s="8">
        <v>71.819999999999993</v>
      </c>
      <c r="DJ285" s="8">
        <v>69.319999999999993</v>
      </c>
      <c r="DK285" s="8">
        <v>65.47</v>
      </c>
      <c r="DL285" s="8">
        <v>82.42</v>
      </c>
      <c r="DM285" s="8">
        <v>88.16</v>
      </c>
      <c r="DN285" s="8">
        <v>105.46</v>
      </c>
      <c r="DO285" s="8">
        <v>74.61</v>
      </c>
      <c r="DP285" s="8">
        <v>66.8</v>
      </c>
      <c r="DQ285" s="8">
        <v>79.23</v>
      </c>
      <c r="DR285" s="8">
        <v>81.98</v>
      </c>
      <c r="DS285" s="8">
        <v>75.02</v>
      </c>
      <c r="DT285" s="8">
        <v>75.02</v>
      </c>
      <c r="DU285" s="8">
        <v>81.56</v>
      </c>
      <c r="DV285" s="8">
        <v>72.47</v>
      </c>
      <c r="DW285" s="8">
        <v>74.430000000000007</v>
      </c>
      <c r="DX285" s="8">
        <v>76.959999999999994</v>
      </c>
      <c r="DY285" s="8">
        <v>63.6</v>
      </c>
      <c r="DZ285" s="8">
        <v>63.6</v>
      </c>
      <c r="EA285" s="8">
        <v>81.319999999999993</v>
      </c>
      <c r="EB285" s="8">
        <v>95.62</v>
      </c>
      <c r="EC285" s="8">
        <v>79.7</v>
      </c>
      <c r="ED285" s="9">
        <v>0.5</v>
      </c>
      <c r="EE285" s="9">
        <v>-0.2</v>
      </c>
      <c r="EF285" s="9">
        <v>-0.1</v>
      </c>
      <c r="EG285" s="9">
        <v>-0.2</v>
      </c>
      <c r="EH285" s="9">
        <v>0.7</v>
      </c>
      <c r="EI285" s="9">
        <v>-2.6</v>
      </c>
      <c r="EJ285" s="9">
        <v>-0.9</v>
      </c>
      <c r="EK285" s="9">
        <v>-0.1</v>
      </c>
      <c r="EL285" s="9">
        <v>-1</v>
      </c>
      <c r="EM285" s="9">
        <v>-0.2</v>
      </c>
      <c r="EN285" s="9">
        <v>-0.6</v>
      </c>
      <c r="EO285" s="9">
        <v>1</v>
      </c>
      <c r="EP285" s="9">
        <v>0</v>
      </c>
      <c r="EQ285" s="9">
        <v>0.2</v>
      </c>
      <c r="ER285" s="9">
        <v>-0.3</v>
      </c>
      <c r="ES285" s="9">
        <v>0.4</v>
      </c>
      <c r="ET285" s="9">
        <v>-0.9</v>
      </c>
      <c r="EU285" s="9">
        <v>-0.7</v>
      </c>
      <c r="EV285" s="9">
        <v>-1.9</v>
      </c>
      <c r="EW285" s="9">
        <v>-6.7</v>
      </c>
      <c r="EX285" s="9">
        <v>2</v>
      </c>
      <c r="EY285" s="9">
        <v>-0.2</v>
      </c>
      <c r="EZ285" s="9">
        <v>0.2</v>
      </c>
      <c r="FA285" s="9">
        <v>-1.3</v>
      </c>
      <c r="FB285" s="9">
        <v>1.5</v>
      </c>
      <c r="FC285" s="9">
        <v>1.9</v>
      </c>
      <c r="FD285" s="9">
        <v>1</v>
      </c>
      <c r="FE285" s="9">
        <v>-4.2</v>
      </c>
      <c r="FF285" s="9">
        <v>0.9</v>
      </c>
      <c r="FG285" s="9">
        <v>2</v>
      </c>
      <c r="FH285" s="9">
        <v>0.6</v>
      </c>
      <c r="FI285" s="9">
        <v>0.4</v>
      </c>
      <c r="FJ285" s="9">
        <v>0.4</v>
      </c>
      <c r="FK285" s="9">
        <v>0.3</v>
      </c>
      <c r="FL285" s="9">
        <v>1.1000000000000001</v>
      </c>
      <c r="FM285" s="9">
        <v>1.2</v>
      </c>
      <c r="FN285" s="9">
        <v>1.2</v>
      </c>
      <c r="FO285" s="9">
        <v>1.6</v>
      </c>
      <c r="FP285" s="9">
        <v>0.9</v>
      </c>
      <c r="FQ285" s="9">
        <v>1</v>
      </c>
      <c r="FR285" s="9">
        <v>1</v>
      </c>
      <c r="FS285" s="9">
        <v>-1.5</v>
      </c>
      <c r="FT285" s="9">
        <v>-2.7</v>
      </c>
      <c r="FU285" s="9">
        <v>-3.9</v>
      </c>
      <c r="FV285" s="9">
        <v>-1.8</v>
      </c>
      <c r="FW285" s="9">
        <v>-3.8</v>
      </c>
      <c r="FX285" s="9">
        <v>-3</v>
      </c>
      <c r="FY285" s="9">
        <v>-3.6</v>
      </c>
      <c r="FZ285" s="9">
        <v>-2.9</v>
      </c>
      <c r="GA285" s="9">
        <v>-2.8</v>
      </c>
      <c r="GB285" s="9">
        <v>2.9</v>
      </c>
      <c r="GC285" s="9">
        <v>3.3</v>
      </c>
      <c r="GD285" s="9">
        <v>1.1000000000000001</v>
      </c>
      <c r="GE285" s="9">
        <v>0.8</v>
      </c>
      <c r="GF285" s="9">
        <v>0.1</v>
      </c>
      <c r="GG285" s="9">
        <v>0.1</v>
      </c>
      <c r="GH285" s="9">
        <v>0.9</v>
      </c>
      <c r="GI285" s="9">
        <v>0.9</v>
      </c>
      <c r="GJ285" s="9">
        <v>0.1</v>
      </c>
      <c r="GK285" s="9">
        <v>0.2</v>
      </c>
      <c r="GL285" s="9">
        <v>0</v>
      </c>
      <c r="GM285" s="9">
        <v>2.2000000000000002</v>
      </c>
      <c r="GN285" s="9">
        <v>0</v>
      </c>
      <c r="GO285" s="9">
        <v>2.5</v>
      </c>
      <c r="GP285" s="9">
        <v>3.8</v>
      </c>
      <c r="GQ285" s="9">
        <v>-1</v>
      </c>
      <c r="GR285" s="9">
        <v>-3</v>
      </c>
      <c r="GS285" s="9">
        <v>-3.5</v>
      </c>
      <c r="GT285" s="9">
        <v>-0.7</v>
      </c>
      <c r="GU285" s="9">
        <v>-5.6</v>
      </c>
      <c r="GV285" s="9">
        <v>-5.6</v>
      </c>
      <c r="GW285" s="9">
        <v>-1.7</v>
      </c>
      <c r="GX285" s="9">
        <v>-1.2</v>
      </c>
      <c r="GY285" s="9">
        <v>-2.8</v>
      </c>
      <c r="GZ285" s="9">
        <v>-3.5</v>
      </c>
      <c r="HA285" s="9">
        <v>0.7</v>
      </c>
      <c r="HB285" s="9">
        <v>0</v>
      </c>
      <c r="HC285" s="9">
        <v>-0.9</v>
      </c>
      <c r="HD285" s="9">
        <v>0.6</v>
      </c>
      <c r="HE285" s="9">
        <v>-0.2</v>
      </c>
      <c r="HF285" s="9">
        <v>0.6</v>
      </c>
      <c r="HG285" s="9">
        <v>1.2</v>
      </c>
      <c r="HH285" s="9">
        <v>0.3</v>
      </c>
      <c r="HI285" s="9">
        <v>0.4</v>
      </c>
      <c r="HJ285" s="9">
        <v>2</v>
      </c>
      <c r="HK285" s="9">
        <v>4.3</v>
      </c>
      <c r="HL285" s="9">
        <v>4.8</v>
      </c>
      <c r="HM285" s="9">
        <v>-0.2</v>
      </c>
      <c r="HN285" s="9">
        <v>1.5</v>
      </c>
      <c r="HO285" s="9">
        <v>1.6</v>
      </c>
      <c r="HP285" s="9">
        <v>0.3</v>
      </c>
      <c r="HQ285" s="9">
        <v>1.5</v>
      </c>
      <c r="HR285" s="9">
        <v>1.7</v>
      </c>
      <c r="HS285" s="9">
        <v>-0.4</v>
      </c>
      <c r="HT285" s="9">
        <v>0.9</v>
      </c>
      <c r="HU285" s="9">
        <v>5.7</v>
      </c>
      <c r="HV285" s="9">
        <v>0.2</v>
      </c>
      <c r="HW285" s="9">
        <v>0.3</v>
      </c>
      <c r="HX285" s="9">
        <v>-0.9</v>
      </c>
      <c r="HY285" s="9">
        <v>-0.9</v>
      </c>
      <c r="HZ285" s="9">
        <v>-0.4</v>
      </c>
      <c r="IA285" s="9">
        <v>-0.4</v>
      </c>
      <c r="IB285" s="9">
        <v>1.3</v>
      </c>
      <c r="IC285" s="9">
        <v>-0.5</v>
      </c>
      <c r="ID285" s="9">
        <v>-0.7</v>
      </c>
      <c r="IE285" s="9">
        <v>-1.7</v>
      </c>
      <c r="IF285" s="9">
        <v>-1.7</v>
      </c>
      <c r="IG285" s="9">
        <v>-1.8</v>
      </c>
      <c r="IH285" s="9">
        <v>1.2</v>
      </c>
      <c r="II285" s="9">
        <v>2.5</v>
      </c>
      <c r="IJ285" s="9">
        <v>0.6</v>
      </c>
      <c r="IK285" s="9">
        <v>-1.9</v>
      </c>
      <c r="IL285" s="9">
        <v>-0.3</v>
      </c>
      <c r="IM285" s="9">
        <v>-3.8</v>
      </c>
      <c r="IN285" s="9">
        <v>0.7</v>
      </c>
      <c r="IO285" s="9">
        <v>0.5</v>
      </c>
      <c r="IP285" s="9">
        <v>1.6</v>
      </c>
      <c r="IQ285" s="9">
        <v>0.9</v>
      </c>
    </row>
    <row r="286" spans="1:251" x14ac:dyDescent="0.2">
      <c r="A286" s="10">
        <v>42887</v>
      </c>
      <c r="B286" s="8">
        <v>76.88</v>
      </c>
      <c r="C286" s="8">
        <v>76.239999999999995</v>
      </c>
      <c r="D286" s="8">
        <v>75.44</v>
      </c>
      <c r="E286" s="8">
        <v>72.849999999999994</v>
      </c>
      <c r="F286" s="8">
        <v>76.540000000000006</v>
      </c>
      <c r="G286" s="8">
        <v>79.209999999999994</v>
      </c>
      <c r="H286" s="8">
        <v>76.790000000000006</v>
      </c>
      <c r="I286" s="8">
        <v>75.739999999999995</v>
      </c>
      <c r="J286" s="8">
        <v>69.39</v>
      </c>
      <c r="K286" s="8">
        <v>77.489999999999995</v>
      </c>
      <c r="L286" s="8">
        <v>70.08</v>
      </c>
      <c r="M286" s="8">
        <v>81.260000000000005</v>
      </c>
      <c r="N286" s="8">
        <v>76.400000000000006</v>
      </c>
      <c r="O286" s="8">
        <v>79.03</v>
      </c>
      <c r="P286" s="8">
        <v>73.2</v>
      </c>
      <c r="Q286" s="8">
        <v>71.069999999999993</v>
      </c>
      <c r="R286" s="8">
        <v>72.290000000000006</v>
      </c>
      <c r="S286" s="8">
        <v>76.5</v>
      </c>
      <c r="T286" s="8">
        <v>80.22</v>
      </c>
      <c r="U286" s="8">
        <v>73.05</v>
      </c>
      <c r="V286" s="8">
        <v>85.72</v>
      </c>
      <c r="W286" s="8">
        <v>75.680000000000007</v>
      </c>
      <c r="X286" s="8">
        <v>66.010000000000005</v>
      </c>
      <c r="Y286" s="8">
        <v>85.19</v>
      </c>
      <c r="Z286" s="8">
        <v>79.87</v>
      </c>
      <c r="AA286" s="8">
        <v>61.5</v>
      </c>
      <c r="AB286" s="8">
        <v>75.98</v>
      </c>
      <c r="AC286" s="8">
        <v>79.540000000000006</v>
      </c>
      <c r="AD286" s="8">
        <v>74.5</v>
      </c>
      <c r="AE286" s="8">
        <v>74.92</v>
      </c>
      <c r="AF286" s="8">
        <v>74.3</v>
      </c>
      <c r="AG286" s="8">
        <v>76.349999999999994</v>
      </c>
      <c r="AH286" s="8">
        <v>77.98</v>
      </c>
      <c r="AI286" s="8">
        <v>74.27</v>
      </c>
      <c r="AJ286" s="8">
        <v>61.24</v>
      </c>
      <c r="AK286" s="8">
        <v>81.19</v>
      </c>
      <c r="AL286" s="8">
        <v>76.040000000000006</v>
      </c>
      <c r="AM286" s="8">
        <v>91.87</v>
      </c>
      <c r="AN286" s="8">
        <v>75.260000000000005</v>
      </c>
      <c r="AO286" s="8">
        <v>38.86</v>
      </c>
      <c r="AP286" s="8">
        <v>38.86</v>
      </c>
      <c r="AQ286" s="8">
        <v>94.63</v>
      </c>
      <c r="AR286" s="8">
        <v>101.41</v>
      </c>
      <c r="AS286" s="8">
        <v>101.69</v>
      </c>
      <c r="AT286" s="8">
        <v>104.04</v>
      </c>
      <c r="AU286" s="8">
        <v>92.32</v>
      </c>
      <c r="AV286" s="8">
        <v>98.99</v>
      </c>
      <c r="AW286" s="8">
        <v>99.2</v>
      </c>
      <c r="AX286" s="8">
        <v>98.96</v>
      </c>
      <c r="AY286" s="8">
        <v>98.11</v>
      </c>
      <c r="AZ286" s="8">
        <v>77.66</v>
      </c>
      <c r="BA286" s="8">
        <v>78.28</v>
      </c>
      <c r="BB286" s="8">
        <v>73.28</v>
      </c>
      <c r="BC286" s="8">
        <v>74.3</v>
      </c>
      <c r="BD286" s="8">
        <v>81.27</v>
      </c>
      <c r="BE286" s="8">
        <v>81.27</v>
      </c>
      <c r="BF286" s="8">
        <v>68.44</v>
      </c>
      <c r="BG286" s="8">
        <v>68.44</v>
      </c>
      <c r="BH286" s="8">
        <v>73.459999999999994</v>
      </c>
      <c r="BI286" s="8">
        <v>75.540000000000006</v>
      </c>
      <c r="BJ286" s="8">
        <v>70.84</v>
      </c>
      <c r="BK286" s="8">
        <v>77.91</v>
      </c>
      <c r="BL286" s="8">
        <v>84.64</v>
      </c>
      <c r="BM286" s="8">
        <v>83.06</v>
      </c>
      <c r="BN286" s="8">
        <v>62.57</v>
      </c>
      <c r="BO286" s="8">
        <v>84</v>
      </c>
      <c r="BP286" s="8">
        <v>81.790000000000006</v>
      </c>
      <c r="BQ286" s="8">
        <v>82.68</v>
      </c>
      <c r="BR286" s="8">
        <v>77.760000000000005</v>
      </c>
      <c r="BS286" s="8">
        <v>98.68</v>
      </c>
      <c r="BT286" s="8">
        <v>98.68</v>
      </c>
      <c r="BU286" s="8">
        <v>93.75</v>
      </c>
      <c r="BV286" s="8">
        <v>90.9</v>
      </c>
      <c r="BW286" s="8">
        <v>94.85</v>
      </c>
      <c r="BX286" s="8">
        <v>102.96</v>
      </c>
      <c r="BY286" s="8">
        <v>87.19</v>
      </c>
      <c r="BZ286" s="8">
        <v>86.36</v>
      </c>
      <c r="CA286" s="8">
        <v>83.52</v>
      </c>
      <c r="CB286" s="8">
        <v>93.48</v>
      </c>
      <c r="CC286" s="8">
        <v>82.03</v>
      </c>
      <c r="CD286" s="8">
        <v>77.150000000000006</v>
      </c>
      <c r="CE286" s="8">
        <v>86.6</v>
      </c>
      <c r="CF286" s="8">
        <v>73.27</v>
      </c>
      <c r="CG286" s="8">
        <v>72.81</v>
      </c>
      <c r="CH286" s="8">
        <v>75.22</v>
      </c>
      <c r="CI286" s="8">
        <v>91.9</v>
      </c>
      <c r="CJ286" s="8">
        <v>91.77</v>
      </c>
      <c r="CK286" s="8">
        <v>92.82</v>
      </c>
      <c r="CL286" s="8">
        <v>71.790000000000006</v>
      </c>
      <c r="CM286" s="8">
        <v>70.55</v>
      </c>
      <c r="CN286" s="8">
        <v>81.91</v>
      </c>
      <c r="CO286" s="8">
        <v>76.739999999999995</v>
      </c>
      <c r="CP286" s="8">
        <v>76.319999999999993</v>
      </c>
      <c r="CQ286" s="8">
        <v>84.66</v>
      </c>
      <c r="CR286" s="8">
        <v>75.8</v>
      </c>
      <c r="CS286" s="8">
        <v>69.040000000000006</v>
      </c>
      <c r="CT286" s="8">
        <v>74.88</v>
      </c>
      <c r="CU286" s="8">
        <v>80.31</v>
      </c>
      <c r="CV286" s="8">
        <v>86.78</v>
      </c>
      <c r="CW286" s="8">
        <v>86.78</v>
      </c>
      <c r="CX286" s="8">
        <v>109.75</v>
      </c>
      <c r="CY286" s="8">
        <v>109.75</v>
      </c>
      <c r="CZ286" s="8">
        <v>66.569999999999993</v>
      </c>
      <c r="DA286" s="8">
        <v>112.18</v>
      </c>
      <c r="DB286" s="8">
        <v>80.91</v>
      </c>
      <c r="DC286" s="8">
        <v>98.2</v>
      </c>
      <c r="DD286" s="8">
        <v>123.96</v>
      </c>
      <c r="DE286" s="8">
        <v>70.989999999999995</v>
      </c>
      <c r="DF286" s="8">
        <v>82.43</v>
      </c>
      <c r="DG286" s="8">
        <v>102.61</v>
      </c>
      <c r="DH286" s="8">
        <v>75.05</v>
      </c>
      <c r="DI286" s="8">
        <v>70.89</v>
      </c>
      <c r="DJ286" s="8">
        <v>67.09</v>
      </c>
      <c r="DK286" s="8">
        <v>66.11</v>
      </c>
      <c r="DL286" s="8">
        <v>82.61</v>
      </c>
      <c r="DM286" s="8">
        <v>87.53</v>
      </c>
      <c r="DN286" s="8">
        <v>104.22</v>
      </c>
      <c r="DO286" s="8">
        <v>75.56</v>
      </c>
      <c r="DP286" s="8">
        <v>67.34</v>
      </c>
      <c r="DQ286" s="8">
        <v>79.69</v>
      </c>
      <c r="DR286" s="8">
        <v>82.42</v>
      </c>
      <c r="DS286" s="8">
        <v>75.02</v>
      </c>
      <c r="DT286" s="8">
        <v>75.02</v>
      </c>
      <c r="DU286" s="8">
        <v>81.55</v>
      </c>
      <c r="DV286" s="8">
        <v>72.47</v>
      </c>
      <c r="DW286" s="8">
        <v>74.430000000000007</v>
      </c>
      <c r="DX286" s="8">
        <v>76.87</v>
      </c>
      <c r="DY286" s="8">
        <v>62.96</v>
      </c>
      <c r="DZ286" s="8">
        <v>62.96</v>
      </c>
      <c r="EA286" s="8">
        <v>81.56</v>
      </c>
      <c r="EB286" s="8">
        <v>96.12</v>
      </c>
      <c r="EC286" s="8">
        <v>79.900000000000006</v>
      </c>
      <c r="ED286" s="9">
        <v>0.2</v>
      </c>
      <c r="EE286" s="9">
        <v>-0.2</v>
      </c>
      <c r="EF286" s="9">
        <v>-0.6</v>
      </c>
      <c r="EG286" s="9">
        <v>0</v>
      </c>
      <c r="EH286" s="9">
        <v>-1.1000000000000001</v>
      </c>
      <c r="EI286" s="9">
        <v>0.6</v>
      </c>
      <c r="EJ286" s="9">
        <v>-1.6</v>
      </c>
      <c r="EK286" s="9">
        <v>-0.2</v>
      </c>
      <c r="EL286" s="9">
        <v>0.3</v>
      </c>
      <c r="EM286" s="9">
        <v>-3</v>
      </c>
      <c r="EN286" s="9">
        <v>3.6</v>
      </c>
      <c r="EO286" s="9">
        <v>-1</v>
      </c>
      <c r="EP286" s="9">
        <v>0.6</v>
      </c>
      <c r="EQ286" s="9">
        <v>-0.3</v>
      </c>
      <c r="ER286" s="9">
        <v>-0.2</v>
      </c>
      <c r="ES286" s="9">
        <v>-0.2</v>
      </c>
      <c r="ET286" s="9">
        <v>-1.4</v>
      </c>
      <c r="EU286" s="9">
        <v>0.8</v>
      </c>
      <c r="EV286" s="9">
        <v>-1.7</v>
      </c>
      <c r="EW286" s="9">
        <v>-4.4000000000000004</v>
      </c>
      <c r="EX286" s="9">
        <v>0.3</v>
      </c>
      <c r="EY286" s="9">
        <v>-0.8</v>
      </c>
      <c r="EZ286" s="9">
        <v>-0.8</v>
      </c>
      <c r="FA286" s="9">
        <v>1.5</v>
      </c>
      <c r="FB286" s="9">
        <v>-2.4</v>
      </c>
      <c r="FC286" s="9">
        <v>2.5</v>
      </c>
      <c r="FD286" s="9">
        <v>-1.3</v>
      </c>
      <c r="FE286" s="9">
        <v>-0.9</v>
      </c>
      <c r="FF286" s="9">
        <v>1</v>
      </c>
      <c r="FG286" s="9">
        <v>-3.4</v>
      </c>
      <c r="FH286" s="9">
        <v>2.6</v>
      </c>
      <c r="FI286" s="9">
        <v>0.7</v>
      </c>
      <c r="FJ286" s="9">
        <v>0.7</v>
      </c>
      <c r="FK286" s="9">
        <v>0.7</v>
      </c>
      <c r="FL286" s="9">
        <v>0.7</v>
      </c>
      <c r="FM286" s="9">
        <v>0.5</v>
      </c>
      <c r="FN286" s="9">
        <v>0.8</v>
      </c>
      <c r="FO286" s="9">
        <v>-0.4</v>
      </c>
      <c r="FP286" s="9">
        <v>0.9</v>
      </c>
      <c r="FQ286" s="9">
        <v>1</v>
      </c>
      <c r="FR286" s="9">
        <v>1</v>
      </c>
      <c r="FS286" s="9">
        <v>-0.3</v>
      </c>
      <c r="FT286" s="9">
        <v>-1</v>
      </c>
      <c r="FU286" s="9">
        <v>-1.9</v>
      </c>
      <c r="FV286" s="9">
        <v>-1</v>
      </c>
      <c r="FW286" s="9">
        <v>1.5</v>
      </c>
      <c r="FX286" s="9">
        <v>1.5</v>
      </c>
      <c r="FY286" s="9">
        <v>1.3</v>
      </c>
      <c r="FZ286" s="9">
        <v>0.8</v>
      </c>
      <c r="GA286" s="9">
        <v>3.8</v>
      </c>
      <c r="GB286" s="9">
        <v>0.4</v>
      </c>
      <c r="GC286" s="9">
        <v>0.4</v>
      </c>
      <c r="GD286" s="9">
        <v>0.7</v>
      </c>
      <c r="GE286" s="9">
        <v>0.4</v>
      </c>
      <c r="GF286" s="9">
        <v>0.2</v>
      </c>
      <c r="GG286" s="9">
        <v>0.2</v>
      </c>
      <c r="GH286" s="9">
        <v>0.9</v>
      </c>
      <c r="GI286" s="9">
        <v>0.9</v>
      </c>
      <c r="GJ286" s="9">
        <v>0.1</v>
      </c>
      <c r="GK286" s="9">
        <v>0.1</v>
      </c>
      <c r="GL286" s="9">
        <v>0</v>
      </c>
      <c r="GM286" s="9">
        <v>0</v>
      </c>
      <c r="GN286" s="9">
        <v>0</v>
      </c>
      <c r="GO286" s="9">
        <v>-0.2</v>
      </c>
      <c r="GP286" s="9">
        <v>0.4</v>
      </c>
      <c r="GQ286" s="9">
        <v>0.7</v>
      </c>
      <c r="GR286" s="9">
        <v>1</v>
      </c>
      <c r="GS286" s="9">
        <v>0.8</v>
      </c>
      <c r="GT286" s="9">
        <v>1.7</v>
      </c>
      <c r="GU286" s="9">
        <v>3.9</v>
      </c>
      <c r="GV286" s="9">
        <v>3.9</v>
      </c>
      <c r="GW286" s="9">
        <v>0.4</v>
      </c>
      <c r="GX286" s="9">
        <v>0.2</v>
      </c>
      <c r="GY286" s="9">
        <v>-0.4</v>
      </c>
      <c r="GZ286" s="9">
        <v>1</v>
      </c>
      <c r="HA286" s="9">
        <v>0.5</v>
      </c>
      <c r="HB286" s="9">
        <v>0.3</v>
      </c>
      <c r="HC286" s="9">
        <v>1</v>
      </c>
      <c r="HD286" s="9">
        <v>-0.2</v>
      </c>
      <c r="HE286" s="9">
        <v>0.5</v>
      </c>
      <c r="HF286" s="9">
        <v>0.5</v>
      </c>
      <c r="HG286" s="9">
        <v>0.9</v>
      </c>
      <c r="HH286" s="9">
        <v>0.2</v>
      </c>
      <c r="HI286" s="9">
        <v>0.3</v>
      </c>
      <c r="HJ286" s="9">
        <v>2.7</v>
      </c>
      <c r="HK286" s="9">
        <v>-1.1000000000000001</v>
      </c>
      <c r="HL286" s="9">
        <v>-1.2</v>
      </c>
      <c r="HM286" s="9">
        <v>0</v>
      </c>
      <c r="HN286" s="9">
        <v>3.6</v>
      </c>
      <c r="HO286" s="9">
        <v>4</v>
      </c>
      <c r="HP286" s="9">
        <v>0.5</v>
      </c>
      <c r="HQ286" s="9">
        <v>-0.6</v>
      </c>
      <c r="HR286" s="9">
        <v>-0.6</v>
      </c>
      <c r="HS286" s="9">
        <v>0.4</v>
      </c>
      <c r="HT286" s="9">
        <v>0</v>
      </c>
      <c r="HU286" s="9">
        <v>-2.6</v>
      </c>
      <c r="HV286" s="9">
        <v>0.3</v>
      </c>
      <c r="HW286" s="9">
        <v>0</v>
      </c>
      <c r="HX286" s="9">
        <v>0.2</v>
      </c>
      <c r="HY286" s="9">
        <v>0.2</v>
      </c>
      <c r="HZ286" s="9">
        <v>-0.5</v>
      </c>
      <c r="IA286" s="9">
        <v>-0.5</v>
      </c>
      <c r="IB286" s="9">
        <v>-0.1</v>
      </c>
      <c r="IC286" s="9">
        <v>-0.5</v>
      </c>
      <c r="ID286" s="9">
        <v>-0.5</v>
      </c>
      <c r="IE286" s="9">
        <v>-0.5</v>
      </c>
      <c r="IF286" s="9">
        <v>-0.8</v>
      </c>
      <c r="IG286" s="9">
        <v>-0.2</v>
      </c>
      <c r="IH286" s="9">
        <v>-0.2</v>
      </c>
      <c r="II286" s="9">
        <v>0.6</v>
      </c>
      <c r="IJ286" s="9">
        <v>-0.7</v>
      </c>
      <c r="IK286" s="9">
        <v>-1.3</v>
      </c>
      <c r="IL286" s="9">
        <v>-3.2</v>
      </c>
      <c r="IM286" s="9">
        <v>1</v>
      </c>
      <c r="IN286" s="9">
        <v>0.2</v>
      </c>
      <c r="IO286" s="9">
        <v>-0.7</v>
      </c>
      <c r="IP286" s="9">
        <v>-1.2</v>
      </c>
      <c r="IQ286" s="9">
        <v>1.3</v>
      </c>
    </row>
    <row r="287" spans="1:251" x14ac:dyDescent="0.2">
      <c r="A287" s="10">
        <v>42979</v>
      </c>
      <c r="B287" s="8">
        <v>77.349999999999994</v>
      </c>
      <c r="C287" s="8">
        <v>75.55</v>
      </c>
      <c r="D287" s="8">
        <v>74.78</v>
      </c>
      <c r="E287" s="8">
        <v>72.55</v>
      </c>
      <c r="F287" s="8">
        <v>75.69</v>
      </c>
      <c r="G287" s="8">
        <v>77.56</v>
      </c>
      <c r="H287" s="8">
        <v>76.69</v>
      </c>
      <c r="I287" s="8">
        <v>75.900000000000006</v>
      </c>
      <c r="J287" s="8">
        <v>69.45</v>
      </c>
      <c r="K287" s="8">
        <v>77.87</v>
      </c>
      <c r="L287" s="8">
        <v>69.81</v>
      </c>
      <c r="M287" s="8">
        <v>81.12</v>
      </c>
      <c r="N287" s="8">
        <v>76.97</v>
      </c>
      <c r="O287" s="8">
        <v>79.28</v>
      </c>
      <c r="P287" s="8">
        <v>73.02</v>
      </c>
      <c r="Q287" s="8">
        <v>70.959999999999994</v>
      </c>
      <c r="R287" s="8">
        <v>72.849999999999994</v>
      </c>
      <c r="S287" s="8">
        <v>75.53</v>
      </c>
      <c r="T287" s="8">
        <v>75.349999999999994</v>
      </c>
      <c r="U287" s="8">
        <v>73.62</v>
      </c>
      <c r="V287" s="8">
        <v>76.39</v>
      </c>
      <c r="W287" s="8">
        <v>75.5</v>
      </c>
      <c r="X287" s="8">
        <v>63.74</v>
      </c>
      <c r="Y287" s="8">
        <v>81.69</v>
      </c>
      <c r="Z287" s="8">
        <v>81.239999999999995</v>
      </c>
      <c r="AA287" s="8">
        <v>62.93</v>
      </c>
      <c r="AB287" s="8">
        <v>75.47</v>
      </c>
      <c r="AC287" s="8">
        <v>79.94</v>
      </c>
      <c r="AD287" s="8">
        <v>74.319999999999993</v>
      </c>
      <c r="AE287" s="8">
        <v>73.62</v>
      </c>
      <c r="AF287" s="8">
        <v>74.489999999999995</v>
      </c>
      <c r="AG287" s="8">
        <v>76.64</v>
      </c>
      <c r="AH287" s="8">
        <v>78.31</v>
      </c>
      <c r="AI287" s="8">
        <v>74.52</v>
      </c>
      <c r="AJ287" s="8">
        <v>62.56</v>
      </c>
      <c r="AK287" s="8">
        <v>81.680000000000007</v>
      </c>
      <c r="AL287" s="8">
        <v>76.19</v>
      </c>
      <c r="AM287" s="8">
        <v>92.18</v>
      </c>
      <c r="AN287" s="8">
        <v>75.959999999999994</v>
      </c>
      <c r="AO287" s="8">
        <v>40.44</v>
      </c>
      <c r="AP287" s="8">
        <v>40.44</v>
      </c>
      <c r="AQ287" s="8">
        <v>93.71</v>
      </c>
      <c r="AR287" s="8">
        <v>100.03</v>
      </c>
      <c r="AS287" s="8">
        <v>99.53</v>
      </c>
      <c r="AT287" s="8">
        <v>102.85</v>
      </c>
      <c r="AU287" s="8">
        <v>91.87</v>
      </c>
      <c r="AV287" s="8">
        <v>98.83</v>
      </c>
      <c r="AW287" s="8">
        <v>97.45</v>
      </c>
      <c r="AX287" s="8">
        <v>100.09</v>
      </c>
      <c r="AY287" s="8">
        <v>96.21</v>
      </c>
      <c r="AZ287" s="8">
        <v>77.25</v>
      </c>
      <c r="BA287" s="8">
        <v>77.75</v>
      </c>
      <c r="BB287" s="8">
        <v>73.510000000000005</v>
      </c>
      <c r="BC287" s="8">
        <v>75.650000000000006</v>
      </c>
      <c r="BD287" s="8">
        <v>81.430000000000007</v>
      </c>
      <c r="BE287" s="8">
        <v>81.430000000000007</v>
      </c>
      <c r="BF287" s="8">
        <v>68.98</v>
      </c>
      <c r="BG287" s="8">
        <v>68.98</v>
      </c>
      <c r="BH287" s="8">
        <v>74.540000000000006</v>
      </c>
      <c r="BI287" s="8">
        <v>76.02</v>
      </c>
      <c r="BJ287" s="8">
        <v>72.650000000000006</v>
      </c>
      <c r="BK287" s="8">
        <v>83.22</v>
      </c>
      <c r="BL287" s="8">
        <v>87.33</v>
      </c>
      <c r="BM287" s="8">
        <v>90.44</v>
      </c>
      <c r="BN287" s="8">
        <v>65.8</v>
      </c>
      <c r="BO287" s="8">
        <v>84.31</v>
      </c>
      <c r="BP287" s="8">
        <v>82.07</v>
      </c>
      <c r="BQ287" s="8">
        <v>83.06</v>
      </c>
      <c r="BR287" s="8">
        <v>77.569999999999993</v>
      </c>
      <c r="BS287" s="8">
        <v>101.11</v>
      </c>
      <c r="BT287" s="8">
        <v>101.11</v>
      </c>
      <c r="BU287" s="8">
        <v>94.48</v>
      </c>
      <c r="BV287" s="8">
        <v>90.49</v>
      </c>
      <c r="BW287" s="8">
        <v>95.23</v>
      </c>
      <c r="BX287" s="8">
        <v>105.86</v>
      </c>
      <c r="BY287" s="8">
        <v>87.37</v>
      </c>
      <c r="BZ287" s="8">
        <v>85.51</v>
      </c>
      <c r="CA287" s="8">
        <v>82.75</v>
      </c>
      <c r="CB287" s="8">
        <v>92.5</v>
      </c>
      <c r="CC287" s="8">
        <v>81.239999999999995</v>
      </c>
      <c r="CD287" s="8">
        <v>78.02</v>
      </c>
      <c r="CE287" s="8">
        <v>88.52</v>
      </c>
      <c r="CF287" s="8">
        <v>73.52</v>
      </c>
      <c r="CG287" s="8">
        <v>73.27</v>
      </c>
      <c r="CH287" s="8">
        <v>75.09</v>
      </c>
      <c r="CI287" s="8">
        <v>91.37</v>
      </c>
      <c r="CJ287" s="8">
        <v>91.13</v>
      </c>
      <c r="CK287" s="8">
        <v>93.16</v>
      </c>
      <c r="CL287" s="8">
        <v>71.73</v>
      </c>
      <c r="CM287" s="8">
        <v>70.47</v>
      </c>
      <c r="CN287" s="8">
        <v>82.04</v>
      </c>
      <c r="CO287" s="8">
        <v>76.69</v>
      </c>
      <c r="CP287" s="8">
        <v>76.2</v>
      </c>
      <c r="CQ287" s="8">
        <v>84.22</v>
      </c>
      <c r="CR287" s="8">
        <v>77.02</v>
      </c>
      <c r="CS287" s="8">
        <v>67.430000000000007</v>
      </c>
      <c r="CT287" s="8">
        <v>75.23</v>
      </c>
      <c r="CU287" s="8">
        <v>82.5</v>
      </c>
      <c r="CV287" s="8">
        <v>87.86</v>
      </c>
      <c r="CW287" s="8">
        <v>87.86</v>
      </c>
      <c r="CX287" s="8">
        <v>108.18</v>
      </c>
      <c r="CY287" s="8">
        <v>108.18</v>
      </c>
      <c r="CZ287" s="8">
        <v>66.900000000000006</v>
      </c>
      <c r="DA287" s="8">
        <v>110.45</v>
      </c>
      <c r="DB287" s="8">
        <v>81.89</v>
      </c>
      <c r="DC287" s="8">
        <v>99.38</v>
      </c>
      <c r="DD287" s="8">
        <v>121.88</v>
      </c>
      <c r="DE287" s="8">
        <v>73.73</v>
      </c>
      <c r="DF287" s="8">
        <v>83.14</v>
      </c>
      <c r="DG287" s="8">
        <v>104.33</v>
      </c>
      <c r="DH287" s="8">
        <v>75.39</v>
      </c>
      <c r="DI287" s="8">
        <v>72.290000000000006</v>
      </c>
      <c r="DJ287" s="8">
        <v>67.16</v>
      </c>
      <c r="DK287" s="8">
        <v>68.819999999999993</v>
      </c>
      <c r="DL287" s="8">
        <v>82.98</v>
      </c>
      <c r="DM287" s="8">
        <v>87.98</v>
      </c>
      <c r="DN287" s="8">
        <v>101.95</v>
      </c>
      <c r="DO287" s="8">
        <v>75.38</v>
      </c>
      <c r="DP287" s="8">
        <v>68.349999999999994</v>
      </c>
      <c r="DQ287" s="8">
        <v>81.260000000000005</v>
      </c>
      <c r="DR287" s="8">
        <v>82.62</v>
      </c>
      <c r="DS287" s="8">
        <v>75.06</v>
      </c>
      <c r="DT287" s="8">
        <v>75.06</v>
      </c>
      <c r="DU287" s="8">
        <v>81.59</v>
      </c>
      <c r="DV287" s="8">
        <v>72.47</v>
      </c>
      <c r="DW287" s="8">
        <v>74.510000000000005</v>
      </c>
      <c r="DX287" s="8">
        <v>77.37</v>
      </c>
      <c r="DY287" s="8">
        <v>64.09</v>
      </c>
      <c r="DZ287" s="8">
        <v>64.09</v>
      </c>
      <c r="EA287" s="8">
        <v>81.66</v>
      </c>
      <c r="EB287" s="8">
        <v>96.33</v>
      </c>
      <c r="EC287" s="8">
        <v>79.97</v>
      </c>
      <c r="ED287" s="9">
        <v>0.6</v>
      </c>
      <c r="EE287" s="9">
        <v>-0.9</v>
      </c>
      <c r="EF287" s="9">
        <v>-0.9</v>
      </c>
      <c r="EG287" s="9">
        <v>-0.4</v>
      </c>
      <c r="EH287" s="9">
        <v>-1.1000000000000001</v>
      </c>
      <c r="EI287" s="9">
        <v>-2.1</v>
      </c>
      <c r="EJ287" s="9">
        <v>-0.1</v>
      </c>
      <c r="EK287" s="9">
        <v>0.2</v>
      </c>
      <c r="EL287" s="9">
        <v>0.1</v>
      </c>
      <c r="EM287" s="9">
        <v>0.5</v>
      </c>
      <c r="EN287" s="9">
        <v>-0.4</v>
      </c>
      <c r="EO287" s="9">
        <v>-0.2</v>
      </c>
      <c r="EP287" s="9">
        <v>0.7</v>
      </c>
      <c r="EQ287" s="9">
        <v>0.3</v>
      </c>
      <c r="ER287" s="9">
        <v>-0.2</v>
      </c>
      <c r="ES287" s="9">
        <v>-0.2</v>
      </c>
      <c r="ET287" s="9">
        <v>0.8</v>
      </c>
      <c r="EU287" s="9">
        <v>-1.3</v>
      </c>
      <c r="EV287" s="9">
        <v>-6.1</v>
      </c>
      <c r="EW287" s="9">
        <v>0.8</v>
      </c>
      <c r="EX287" s="9">
        <v>-10.9</v>
      </c>
      <c r="EY287" s="9">
        <v>-0.2</v>
      </c>
      <c r="EZ287" s="9">
        <v>-3.4</v>
      </c>
      <c r="FA287" s="9">
        <v>-4.0999999999999996</v>
      </c>
      <c r="FB287" s="9">
        <v>1.7</v>
      </c>
      <c r="FC287" s="9">
        <v>2.2999999999999998</v>
      </c>
      <c r="FD287" s="9">
        <v>-0.7</v>
      </c>
      <c r="FE287" s="9">
        <v>0.5</v>
      </c>
      <c r="FF287" s="9">
        <v>-0.2</v>
      </c>
      <c r="FG287" s="9">
        <v>-1.7</v>
      </c>
      <c r="FH287" s="9">
        <v>0.3</v>
      </c>
      <c r="FI287" s="9">
        <v>0.4</v>
      </c>
      <c r="FJ287" s="9">
        <v>0.4</v>
      </c>
      <c r="FK287" s="9">
        <v>0.3</v>
      </c>
      <c r="FL287" s="9">
        <v>2.2000000000000002</v>
      </c>
      <c r="FM287" s="9">
        <v>0.6</v>
      </c>
      <c r="FN287" s="9">
        <v>0.2</v>
      </c>
      <c r="FO287" s="9">
        <v>0.3</v>
      </c>
      <c r="FP287" s="9">
        <v>0.9</v>
      </c>
      <c r="FQ287" s="9">
        <v>4.0999999999999996</v>
      </c>
      <c r="FR287" s="9">
        <v>4.0999999999999996</v>
      </c>
      <c r="FS287" s="9">
        <v>-1</v>
      </c>
      <c r="FT287" s="9">
        <v>-1.4</v>
      </c>
      <c r="FU287" s="9">
        <v>-2.1</v>
      </c>
      <c r="FV287" s="9">
        <v>-1.1000000000000001</v>
      </c>
      <c r="FW287" s="9">
        <v>-0.5</v>
      </c>
      <c r="FX287" s="9">
        <v>-0.2</v>
      </c>
      <c r="FY287" s="9">
        <v>-1.8</v>
      </c>
      <c r="FZ287" s="9">
        <v>1.1000000000000001</v>
      </c>
      <c r="GA287" s="9">
        <v>-1.9</v>
      </c>
      <c r="GB287" s="9">
        <v>-0.5</v>
      </c>
      <c r="GC287" s="9">
        <v>-0.7</v>
      </c>
      <c r="GD287" s="9">
        <v>0.3</v>
      </c>
      <c r="GE287" s="9">
        <v>1.8</v>
      </c>
      <c r="GF287" s="9">
        <v>0.2</v>
      </c>
      <c r="GG287" s="9">
        <v>0.2</v>
      </c>
      <c r="GH287" s="9">
        <v>0.8</v>
      </c>
      <c r="GI287" s="9">
        <v>0.8</v>
      </c>
      <c r="GJ287" s="9">
        <v>1.5</v>
      </c>
      <c r="GK287" s="9">
        <v>0.6</v>
      </c>
      <c r="GL287" s="9">
        <v>2.6</v>
      </c>
      <c r="GM287" s="9">
        <v>6.8</v>
      </c>
      <c r="GN287" s="9">
        <v>3.2</v>
      </c>
      <c r="GO287" s="9">
        <v>8.9</v>
      </c>
      <c r="GP287" s="9">
        <v>5.2</v>
      </c>
      <c r="GQ287" s="9">
        <v>0.4</v>
      </c>
      <c r="GR287" s="9">
        <v>0.3</v>
      </c>
      <c r="GS287" s="9">
        <v>0.5</v>
      </c>
      <c r="GT287" s="9">
        <v>-0.2</v>
      </c>
      <c r="GU287" s="9">
        <v>2.5</v>
      </c>
      <c r="GV287" s="9">
        <v>2.5</v>
      </c>
      <c r="GW287" s="9">
        <v>0.8</v>
      </c>
      <c r="GX287" s="9">
        <v>-0.5</v>
      </c>
      <c r="GY287" s="9">
        <v>0.4</v>
      </c>
      <c r="GZ287" s="9">
        <v>2.8</v>
      </c>
      <c r="HA287" s="9">
        <v>0.2</v>
      </c>
      <c r="HB287" s="9">
        <v>-1</v>
      </c>
      <c r="HC287" s="9">
        <v>-0.9</v>
      </c>
      <c r="HD287" s="9">
        <v>-1</v>
      </c>
      <c r="HE287" s="9">
        <v>-1</v>
      </c>
      <c r="HF287" s="9">
        <v>1.1000000000000001</v>
      </c>
      <c r="HG287" s="9">
        <v>2.2000000000000002</v>
      </c>
      <c r="HH287" s="9">
        <v>0.3</v>
      </c>
      <c r="HI287" s="9">
        <v>0.6</v>
      </c>
      <c r="HJ287" s="9">
        <v>-0.2</v>
      </c>
      <c r="HK287" s="9">
        <v>-0.6</v>
      </c>
      <c r="HL287" s="9">
        <v>-0.7</v>
      </c>
      <c r="HM287" s="9">
        <v>0.4</v>
      </c>
      <c r="HN287" s="9">
        <v>-0.1</v>
      </c>
      <c r="HO287" s="9">
        <v>-0.1</v>
      </c>
      <c r="HP287" s="9">
        <v>0.2</v>
      </c>
      <c r="HQ287" s="9">
        <v>-0.1</v>
      </c>
      <c r="HR287" s="9">
        <v>-0.2</v>
      </c>
      <c r="HS287" s="9">
        <v>-0.5</v>
      </c>
      <c r="HT287" s="9">
        <v>1.6</v>
      </c>
      <c r="HU287" s="9">
        <v>-2.2999999999999998</v>
      </c>
      <c r="HV287" s="9">
        <v>0.5</v>
      </c>
      <c r="HW287" s="9">
        <v>2.7</v>
      </c>
      <c r="HX287" s="9">
        <v>1.2</v>
      </c>
      <c r="HY287" s="9">
        <v>1.2</v>
      </c>
      <c r="HZ287" s="9">
        <v>-1.4</v>
      </c>
      <c r="IA287" s="9">
        <v>-1.4</v>
      </c>
      <c r="IB287" s="9">
        <v>0.5</v>
      </c>
      <c r="IC287" s="9">
        <v>-1.5</v>
      </c>
      <c r="ID287" s="9">
        <v>1.2</v>
      </c>
      <c r="IE287" s="9">
        <v>1.2</v>
      </c>
      <c r="IF287" s="9">
        <v>-1.7</v>
      </c>
      <c r="IG287" s="9">
        <v>3.9</v>
      </c>
      <c r="IH287" s="9">
        <v>0.9</v>
      </c>
      <c r="II287" s="9">
        <v>1.7</v>
      </c>
      <c r="IJ287" s="9">
        <v>0.5</v>
      </c>
      <c r="IK287" s="9">
        <v>2</v>
      </c>
      <c r="IL287" s="9">
        <v>0.1</v>
      </c>
      <c r="IM287" s="9">
        <v>4.0999999999999996</v>
      </c>
      <c r="IN287" s="9">
        <v>0.4</v>
      </c>
      <c r="IO287" s="9">
        <v>0.5</v>
      </c>
      <c r="IP287" s="9">
        <v>-2.2000000000000002</v>
      </c>
      <c r="IQ287" s="9">
        <v>-0.2</v>
      </c>
    </row>
    <row r="288" spans="1:251" x14ac:dyDescent="0.2">
      <c r="A288" s="10">
        <v>43070</v>
      </c>
      <c r="B288" s="8">
        <v>77.87</v>
      </c>
      <c r="C288" s="8">
        <v>76.38</v>
      </c>
      <c r="D288" s="8">
        <v>75.39</v>
      </c>
      <c r="E288" s="8">
        <v>73.41</v>
      </c>
      <c r="F288" s="8">
        <v>75.760000000000005</v>
      </c>
      <c r="G288" s="8">
        <v>78.88</v>
      </c>
      <c r="H288" s="8">
        <v>78.05</v>
      </c>
      <c r="I288" s="8">
        <v>76.290000000000006</v>
      </c>
      <c r="J288" s="8">
        <v>69.64</v>
      </c>
      <c r="K288" s="8">
        <v>78.260000000000005</v>
      </c>
      <c r="L288" s="8">
        <v>70.040000000000006</v>
      </c>
      <c r="M288" s="8">
        <v>82.17</v>
      </c>
      <c r="N288" s="8">
        <v>77.25</v>
      </c>
      <c r="O288" s="8">
        <v>79.41</v>
      </c>
      <c r="P288" s="8">
        <v>73.400000000000006</v>
      </c>
      <c r="Q288" s="8">
        <v>71.41</v>
      </c>
      <c r="R288" s="8">
        <v>73.489999999999995</v>
      </c>
      <c r="S288" s="8">
        <v>75.61</v>
      </c>
      <c r="T288" s="8">
        <v>79.260000000000005</v>
      </c>
      <c r="U288" s="8">
        <v>80.48</v>
      </c>
      <c r="V288" s="8">
        <v>77.73</v>
      </c>
      <c r="W288" s="8">
        <v>75.69</v>
      </c>
      <c r="X288" s="8">
        <v>63.15</v>
      </c>
      <c r="Y288" s="8">
        <v>82.36</v>
      </c>
      <c r="Z288" s="8">
        <v>81.39</v>
      </c>
      <c r="AA288" s="8">
        <v>65.67</v>
      </c>
      <c r="AB288" s="8">
        <v>74.81</v>
      </c>
      <c r="AC288" s="8">
        <v>80.790000000000006</v>
      </c>
      <c r="AD288" s="8">
        <v>74.33</v>
      </c>
      <c r="AE288" s="8">
        <v>74.11</v>
      </c>
      <c r="AF288" s="8">
        <v>74.34</v>
      </c>
      <c r="AG288" s="8">
        <v>76.91</v>
      </c>
      <c r="AH288" s="8">
        <v>78.52</v>
      </c>
      <c r="AI288" s="8">
        <v>74.87</v>
      </c>
      <c r="AJ288" s="8">
        <v>64.56</v>
      </c>
      <c r="AK288" s="8">
        <v>81.75</v>
      </c>
      <c r="AL288" s="8">
        <v>76.13</v>
      </c>
      <c r="AM288" s="8">
        <v>91.59</v>
      </c>
      <c r="AN288" s="8">
        <v>76.62</v>
      </c>
      <c r="AO288" s="8">
        <v>43.89</v>
      </c>
      <c r="AP288" s="8">
        <v>43.89</v>
      </c>
      <c r="AQ288" s="8">
        <v>93.43</v>
      </c>
      <c r="AR288" s="8">
        <v>99.59</v>
      </c>
      <c r="AS288" s="8">
        <v>100.95</v>
      </c>
      <c r="AT288" s="8">
        <v>101.24</v>
      </c>
      <c r="AU288" s="8">
        <v>92.29</v>
      </c>
      <c r="AV288" s="8">
        <v>98.28</v>
      </c>
      <c r="AW288" s="8">
        <v>100.01</v>
      </c>
      <c r="AX288" s="8">
        <v>98.29</v>
      </c>
      <c r="AY288" s="8">
        <v>94.96</v>
      </c>
      <c r="AZ288" s="8">
        <v>77.459999999999994</v>
      </c>
      <c r="BA288" s="8">
        <v>77.91</v>
      </c>
      <c r="BB288" s="8">
        <v>73.98</v>
      </c>
      <c r="BC288" s="8">
        <v>75.92</v>
      </c>
      <c r="BD288" s="8">
        <v>81.62</v>
      </c>
      <c r="BE288" s="8">
        <v>81.62</v>
      </c>
      <c r="BF288" s="8">
        <v>69.37</v>
      </c>
      <c r="BG288" s="8">
        <v>69.37</v>
      </c>
      <c r="BH288" s="8">
        <v>74.86</v>
      </c>
      <c r="BI288" s="8">
        <v>76.569999999999993</v>
      </c>
      <c r="BJ288" s="8">
        <v>72.650000000000006</v>
      </c>
      <c r="BK288" s="8">
        <v>83.32</v>
      </c>
      <c r="BL288" s="8">
        <v>87.33</v>
      </c>
      <c r="BM288" s="8">
        <v>91.25</v>
      </c>
      <c r="BN288" s="8">
        <v>64.709999999999994</v>
      </c>
      <c r="BO288" s="8">
        <v>83.62</v>
      </c>
      <c r="BP288" s="8">
        <v>81.430000000000007</v>
      </c>
      <c r="BQ288" s="8">
        <v>82.25</v>
      </c>
      <c r="BR288" s="8">
        <v>77.64</v>
      </c>
      <c r="BS288" s="8">
        <v>95.38</v>
      </c>
      <c r="BT288" s="8">
        <v>95.38</v>
      </c>
      <c r="BU288" s="8">
        <v>92.42</v>
      </c>
      <c r="BV288" s="8">
        <v>87.81</v>
      </c>
      <c r="BW288" s="8">
        <v>92.27</v>
      </c>
      <c r="BX288" s="8">
        <v>103.54</v>
      </c>
      <c r="BY288" s="8">
        <v>86.92</v>
      </c>
      <c r="BZ288" s="8">
        <v>84.77</v>
      </c>
      <c r="CA288" s="8">
        <v>82.36</v>
      </c>
      <c r="CB288" s="8">
        <v>91.14</v>
      </c>
      <c r="CC288" s="8">
        <v>80.87</v>
      </c>
      <c r="CD288" s="8">
        <v>78.58</v>
      </c>
      <c r="CE288" s="8">
        <v>89.45</v>
      </c>
      <c r="CF288" s="8">
        <v>73.930000000000007</v>
      </c>
      <c r="CG288" s="8">
        <v>73.5</v>
      </c>
      <c r="CH288" s="8">
        <v>74.7</v>
      </c>
      <c r="CI288" s="8">
        <v>89.65</v>
      </c>
      <c r="CJ288" s="8">
        <v>89.2</v>
      </c>
      <c r="CK288" s="8">
        <v>92.97</v>
      </c>
      <c r="CL288" s="8">
        <v>71.63</v>
      </c>
      <c r="CM288" s="8">
        <v>70.33</v>
      </c>
      <c r="CN288" s="8">
        <v>82.3</v>
      </c>
      <c r="CO288" s="8">
        <v>78.56</v>
      </c>
      <c r="CP288" s="8">
        <v>78.2</v>
      </c>
      <c r="CQ288" s="8">
        <v>83.35</v>
      </c>
      <c r="CR288" s="8">
        <v>76.58</v>
      </c>
      <c r="CS288" s="8">
        <v>74.42</v>
      </c>
      <c r="CT288" s="8">
        <v>74.95</v>
      </c>
      <c r="CU288" s="8">
        <v>82.66</v>
      </c>
      <c r="CV288" s="8">
        <v>87.86</v>
      </c>
      <c r="CW288" s="8">
        <v>87.86</v>
      </c>
      <c r="CX288" s="8">
        <v>106.8</v>
      </c>
      <c r="CY288" s="8">
        <v>106.8</v>
      </c>
      <c r="CZ288" s="8">
        <v>68.010000000000005</v>
      </c>
      <c r="DA288" s="8">
        <v>108.93</v>
      </c>
      <c r="DB288" s="8">
        <v>82.4</v>
      </c>
      <c r="DC288" s="8">
        <v>97.87</v>
      </c>
      <c r="DD288" s="8">
        <v>117.62</v>
      </c>
      <c r="DE288" s="8">
        <v>75.14</v>
      </c>
      <c r="DF288" s="8">
        <v>82.79</v>
      </c>
      <c r="DG288" s="8">
        <v>100.77</v>
      </c>
      <c r="DH288" s="8">
        <v>76.22</v>
      </c>
      <c r="DI288" s="8">
        <v>73.650000000000006</v>
      </c>
      <c r="DJ288" s="8">
        <v>71.31</v>
      </c>
      <c r="DK288" s="8">
        <v>67.61</v>
      </c>
      <c r="DL288" s="8">
        <v>83.01</v>
      </c>
      <c r="DM288" s="8">
        <v>87.27</v>
      </c>
      <c r="DN288" s="8">
        <v>102.05</v>
      </c>
      <c r="DO288" s="8">
        <v>74.8</v>
      </c>
      <c r="DP288" s="8">
        <v>68.62</v>
      </c>
      <c r="DQ288" s="8">
        <v>81.75</v>
      </c>
      <c r="DR288" s="8">
        <v>82.78</v>
      </c>
      <c r="DS288" s="8">
        <v>75.099999999999994</v>
      </c>
      <c r="DT288" s="8">
        <v>75.099999999999994</v>
      </c>
      <c r="DU288" s="8">
        <v>81.78</v>
      </c>
      <c r="DV288" s="8">
        <v>72.47</v>
      </c>
      <c r="DW288" s="8">
        <v>74.510000000000005</v>
      </c>
      <c r="DX288" s="8">
        <v>77.48</v>
      </c>
      <c r="DY288" s="8">
        <v>65.27</v>
      </c>
      <c r="DZ288" s="8">
        <v>65.27</v>
      </c>
      <c r="EA288" s="8">
        <v>81.42</v>
      </c>
      <c r="EB288" s="8">
        <v>93.44</v>
      </c>
      <c r="EC288" s="8">
        <v>80.06</v>
      </c>
      <c r="ED288" s="9">
        <v>0.7</v>
      </c>
      <c r="EE288" s="9">
        <v>1.1000000000000001</v>
      </c>
      <c r="EF288" s="9">
        <v>0.8</v>
      </c>
      <c r="EG288" s="9">
        <v>1.2</v>
      </c>
      <c r="EH288" s="9">
        <v>0.1</v>
      </c>
      <c r="EI288" s="9">
        <v>1.7</v>
      </c>
      <c r="EJ288" s="9">
        <v>1.8</v>
      </c>
      <c r="EK288" s="9">
        <v>0.5</v>
      </c>
      <c r="EL288" s="9">
        <v>0.3</v>
      </c>
      <c r="EM288" s="9">
        <v>0.5</v>
      </c>
      <c r="EN288" s="9">
        <v>0.3</v>
      </c>
      <c r="EO288" s="9">
        <v>1.3</v>
      </c>
      <c r="EP288" s="9">
        <v>0.4</v>
      </c>
      <c r="EQ288" s="9">
        <v>0.2</v>
      </c>
      <c r="ER288" s="9">
        <v>0.5</v>
      </c>
      <c r="ES288" s="9">
        <v>0.6</v>
      </c>
      <c r="ET288" s="9">
        <v>0.9</v>
      </c>
      <c r="EU288" s="9">
        <v>0.1</v>
      </c>
      <c r="EV288" s="9">
        <v>5.2</v>
      </c>
      <c r="EW288" s="9">
        <v>9.3000000000000007</v>
      </c>
      <c r="EX288" s="9">
        <v>1.8</v>
      </c>
      <c r="EY288" s="9">
        <v>0.3</v>
      </c>
      <c r="EZ288" s="9">
        <v>-0.9</v>
      </c>
      <c r="FA288" s="9">
        <v>0.8</v>
      </c>
      <c r="FB288" s="9">
        <v>0.2</v>
      </c>
      <c r="FC288" s="9">
        <v>4.4000000000000004</v>
      </c>
      <c r="FD288" s="9">
        <v>-0.9</v>
      </c>
      <c r="FE288" s="9">
        <v>1.1000000000000001</v>
      </c>
      <c r="FF288" s="9">
        <v>0</v>
      </c>
      <c r="FG288" s="9">
        <v>0.7</v>
      </c>
      <c r="FH288" s="9">
        <v>-0.2</v>
      </c>
      <c r="FI288" s="9">
        <v>0.4</v>
      </c>
      <c r="FJ288" s="9">
        <v>0.3</v>
      </c>
      <c r="FK288" s="9">
        <v>0.5</v>
      </c>
      <c r="FL288" s="9">
        <v>3.2</v>
      </c>
      <c r="FM288" s="9">
        <v>0.1</v>
      </c>
      <c r="FN288" s="9">
        <v>-0.1</v>
      </c>
      <c r="FO288" s="9">
        <v>-0.6</v>
      </c>
      <c r="FP288" s="9">
        <v>0.9</v>
      </c>
      <c r="FQ288" s="9">
        <v>8.5</v>
      </c>
      <c r="FR288" s="9">
        <v>8.5</v>
      </c>
      <c r="FS288" s="9">
        <v>-0.3</v>
      </c>
      <c r="FT288" s="9">
        <v>-0.4</v>
      </c>
      <c r="FU288" s="9">
        <v>1.4</v>
      </c>
      <c r="FV288" s="9">
        <v>-1.6</v>
      </c>
      <c r="FW288" s="9">
        <v>0.5</v>
      </c>
      <c r="FX288" s="9">
        <v>-0.6</v>
      </c>
      <c r="FY288" s="9">
        <v>2.6</v>
      </c>
      <c r="FZ288" s="9">
        <v>-1.8</v>
      </c>
      <c r="GA288" s="9">
        <v>-1.3</v>
      </c>
      <c r="GB288" s="9">
        <v>0.3</v>
      </c>
      <c r="GC288" s="9">
        <v>0.2</v>
      </c>
      <c r="GD288" s="9">
        <v>0.6</v>
      </c>
      <c r="GE288" s="9">
        <v>0.4</v>
      </c>
      <c r="GF288" s="9">
        <v>0.2</v>
      </c>
      <c r="GG288" s="9">
        <v>0.2</v>
      </c>
      <c r="GH288" s="9">
        <v>0.6</v>
      </c>
      <c r="GI288" s="9">
        <v>0.6</v>
      </c>
      <c r="GJ288" s="9">
        <v>0.4</v>
      </c>
      <c r="GK288" s="9">
        <v>0.7</v>
      </c>
      <c r="GL288" s="9">
        <v>0</v>
      </c>
      <c r="GM288" s="9">
        <v>0.1</v>
      </c>
      <c r="GN288" s="9">
        <v>0</v>
      </c>
      <c r="GO288" s="9">
        <v>0.9</v>
      </c>
      <c r="GP288" s="9">
        <v>-1.7</v>
      </c>
      <c r="GQ288" s="9">
        <v>-0.8</v>
      </c>
      <c r="GR288" s="9">
        <v>-0.8</v>
      </c>
      <c r="GS288" s="9">
        <v>-1</v>
      </c>
      <c r="GT288" s="9">
        <v>0.1</v>
      </c>
      <c r="GU288" s="9">
        <v>-5.7</v>
      </c>
      <c r="GV288" s="9">
        <v>-5.7</v>
      </c>
      <c r="GW288" s="9">
        <v>-2.2000000000000002</v>
      </c>
      <c r="GX288" s="9">
        <v>-3</v>
      </c>
      <c r="GY288" s="9">
        <v>-3.1</v>
      </c>
      <c r="GZ288" s="9">
        <v>-2.2000000000000002</v>
      </c>
      <c r="HA288" s="9">
        <v>-0.5</v>
      </c>
      <c r="HB288" s="9">
        <v>-0.9</v>
      </c>
      <c r="HC288" s="9">
        <v>-0.5</v>
      </c>
      <c r="HD288" s="9">
        <v>-1.5</v>
      </c>
      <c r="HE288" s="9">
        <v>-0.5</v>
      </c>
      <c r="HF288" s="9">
        <v>0.7</v>
      </c>
      <c r="HG288" s="9">
        <v>1.1000000000000001</v>
      </c>
      <c r="HH288" s="9">
        <v>0.6</v>
      </c>
      <c r="HI288" s="9">
        <v>0.3</v>
      </c>
      <c r="HJ288" s="9">
        <v>-0.5</v>
      </c>
      <c r="HK288" s="9">
        <v>-1.9</v>
      </c>
      <c r="HL288" s="9">
        <v>-2.1</v>
      </c>
      <c r="HM288" s="9">
        <v>-0.2</v>
      </c>
      <c r="HN288" s="9">
        <v>-0.1</v>
      </c>
      <c r="HO288" s="9">
        <v>-0.2</v>
      </c>
      <c r="HP288" s="9">
        <v>0.3</v>
      </c>
      <c r="HQ288" s="9">
        <v>2.4</v>
      </c>
      <c r="HR288" s="9">
        <v>2.6</v>
      </c>
      <c r="HS288" s="9">
        <v>-1</v>
      </c>
      <c r="HT288" s="9">
        <v>-0.6</v>
      </c>
      <c r="HU288" s="9">
        <v>10.4</v>
      </c>
      <c r="HV288" s="9">
        <v>-0.4</v>
      </c>
      <c r="HW288" s="9">
        <v>0.2</v>
      </c>
      <c r="HX288" s="9">
        <v>0</v>
      </c>
      <c r="HY288" s="9">
        <v>0</v>
      </c>
      <c r="HZ288" s="9">
        <v>-1.3</v>
      </c>
      <c r="IA288" s="9">
        <v>-1.3</v>
      </c>
      <c r="IB288" s="9">
        <v>1.7</v>
      </c>
      <c r="IC288" s="9">
        <v>-1.4</v>
      </c>
      <c r="ID288" s="9">
        <v>0.6</v>
      </c>
      <c r="IE288" s="9">
        <v>-1.5</v>
      </c>
      <c r="IF288" s="9">
        <v>-3.5</v>
      </c>
      <c r="IG288" s="9">
        <v>1.9</v>
      </c>
      <c r="IH288" s="9">
        <v>-0.4</v>
      </c>
      <c r="II288" s="9">
        <v>-3.4</v>
      </c>
      <c r="IJ288" s="9">
        <v>1.1000000000000001</v>
      </c>
      <c r="IK288" s="9">
        <v>1.9</v>
      </c>
      <c r="IL288" s="9">
        <v>6.2</v>
      </c>
      <c r="IM288" s="9">
        <v>-1.8</v>
      </c>
      <c r="IN288" s="9">
        <v>0</v>
      </c>
      <c r="IO288" s="9">
        <v>-0.8</v>
      </c>
      <c r="IP288" s="9">
        <v>0.1</v>
      </c>
      <c r="IQ288" s="9">
        <v>-0.8</v>
      </c>
    </row>
    <row r="289" spans="1:251" x14ac:dyDescent="0.2">
      <c r="A289" s="10">
        <v>43160</v>
      </c>
      <c r="B289" s="8">
        <v>78.209999999999994</v>
      </c>
      <c r="C289" s="8">
        <v>76.709999999999994</v>
      </c>
      <c r="D289" s="8">
        <v>75.040000000000006</v>
      </c>
      <c r="E289" s="8">
        <v>73.33</v>
      </c>
      <c r="F289" s="8">
        <v>75.56</v>
      </c>
      <c r="G289" s="8">
        <v>77.66</v>
      </c>
      <c r="H289" s="8">
        <v>76.819999999999993</v>
      </c>
      <c r="I289" s="8">
        <v>76.459999999999994</v>
      </c>
      <c r="J289" s="8">
        <v>70.31</v>
      </c>
      <c r="K289" s="8">
        <v>78.599999999999994</v>
      </c>
      <c r="L289" s="8">
        <v>70.069999999999993</v>
      </c>
      <c r="M289" s="8">
        <v>82.56</v>
      </c>
      <c r="N289" s="8">
        <v>76.819999999999993</v>
      </c>
      <c r="O289" s="8">
        <v>79.22</v>
      </c>
      <c r="P289" s="8">
        <v>73.48</v>
      </c>
      <c r="Q289" s="8">
        <v>71.319999999999993</v>
      </c>
      <c r="R289" s="8">
        <v>73.67</v>
      </c>
      <c r="S289" s="8">
        <v>75.78</v>
      </c>
      <c r="T289" s="8">
        <v>79.78</v>
      </c>
      <c r="U289" s="8">
        <v>78.27</v>
      </c>
      <c r="V289" s="8">
        <v>80.61</v>
      </c>
      <c r="W289" s="8">
        <v>75.8</v>
      </c>
      <c r="X289" s="8">
        <v>63.2</v>
      </c>
      <c r="Y289" s="8">
        <v>81.56</v>
      </c>
      <c r="Z289" s="8">
        <v>82.42</v>
      </c>
      <c r="AA289" s="8">
        <v>65.849999999999994</v>
      </c>
      <c r="AB289" s="8">
        <v>75.17</v>
      </c>
      <c r="AC289" s="8">
        <v>80.19</v>
      </c>
      <c r="AD289" s="8">
        <v>76.03</v>
      </c>
      <c r="AE289" s="8">
        <v>74.58</v>
      </c>
      <c r="AF289" s="8">
        <v>76.430000000000007</v>
      </c>
      <c r="AG289" s="8">
        <v>77.28</v>
      </c>
      <c r="AH289" s="8">
        <v>78.87</v>
      </c>
      <c r="AI289" s="8">
        <v>75.260000000000005</v>
      </c>
      <c r="AJ289" s="8">
        <v>65.03</v>
      </c>
      <c r="AK289" s="8">
        <v>82.54</v>
      </c>
      <c r="AL289" s="8">
        <v>77.25</v>
      </c>
      <c r="AM289" s="8">
        <v>91.21</v>
      </c>
      <c r="AN289" s="8">
        <v>78.17</v>
      </c>
      <c r="AO289" s="8">
        <v>44.05</v>
      </c>
      <c r="AP289" s="8">
        <v>44.05</v>
      </c>
      <c r="AQ289" s="8">
        <v>91.58</v>
      </c>
      <c r="AR289" s="8">
        <v>96.85</v>
      </c>
      <c r="AS289" s="8">
        <v>98.92</v>
      </c>
      <c r="AT289" s="8">
        <v>98.7</v>
      </c>
      <c r="AU289" s="8">
        <v>87.75</v>
      </c>
      <c r="AV289" s="8">
        <v>94.57</v>
      </c>
      <c r="AW289" s="8">
        <v>96.71</v>
      </c>
      <c r="AX289" s="8">
        <v>93.96</v>
      </c>
      <c r="AY289" s="8">
        <v>93.01</v>
      </c>
      <c r="AZ289" s="8">
        <v>78.510000000000005</v>
      </c>
      <c r="BA289" s="8">
        <v>79.069999999999993</v>
      </c>
      <c r="BB289" s="8">
        <v>74.47</v>
      </c>
      <c r="BC289" s="8">
        <v>76.44</v>
      </c>
      <c r="BD289" s="8">
        <v>81.83</v>
      </c>
      <c r="BE289" s="8">
        <v>81.83</v>
      </c>
      <c r="BF289" s="8">
        <v>69.73</v>
      </c>
      <c r="BG289" s="8">
        <v>69.73</v>
      </c>
      <c r="BH289" s="8">
        <v>74.989999999999995</v>
      </c>
      <c r="BI289" s="8">
        <v>76.8</v>
      </c>
      <c r="BJ289" s="8">
        <v>72.650000000000006</v>
      </c>
      <c r="BK289" s="8">
        <v>85.17</v>
      </c>
      <c r="BL289" s="8">
        <v>87.33</v>
      </c>
      <c r="BM289" s="8">
        <v>92.9</v>
      </c>
      <c r="BN289" s="8">
        <v>68.569999999999993</v>
      </c>
      <c r="BO289" s="8">
        <v>83.32</v>
      </c>
      <c r="BP289" s="8">
        <v>79.47</v>
      </c>
      <c r="BQ289" s="8">
        <v>79.900000000000006</v>
      </c>
      <c r="BR289" s="8">
        <v>77.349999999999994</v>
      </c>
      <c r="BS289" s="8">
        <v>92.05</v>
      </c>
      <c r="BT289" s="8">
        <v>92.05</v>
      </c>
      <c r="BU289" s="8">
        <v>91.12</v>
      </c>
      <c r="BV289" s="8">
        <v>87.18</v>
      </c>
      <c r="BW289" s="8">
        <v>91.18</v>
      </c>
      <c r="BX289" s="8">
        <v>100.26</v>
      </c>
      <c r="BY289" s="8">
        <v>86.58</v>
      </c>
      <c r="BZ289" s="8">
        <v>84.92</v>
      </c>
      <c r="CA289" s="8">
        <v>81.28</v>
      </c>
      <c r="CB289" s="8">
        <v>91.34</v>
      </c>
      <c r="CC289" s="8">
        <v>81.23</v>
      </c>
      <c r="CD289" s="8">
        <v>79.62</v>
      </c>
      <c r="CE289" s="8">
        <v>90.89</v>
      </c>
      <c r="CF289" s="8">
        <v>74.33</v>
      </c>
      <c r="CG289" s="8">
        <v>74.819999999999993</v>
      </c>
      <c r="CH289" s="8">
        <v>76.3</v>
      </c>
      <c r="CI289" s="8">
        <v>94.12</v>
      </c>
      <c r="CJ289" s="8">
        <v>94.27</v>
      </c>
      <c r="CK289" s="8">
        <v>93.11</v>
      </c>
      <c r="CL289" s="8">
        <v>72.599999999999994</v>
      </c>
      <c r="CM289" s="8">
        <v>71.400000000000006</v>
      </c>
      <c r="CN289" s="8">
        <v>82.47</v>
      </c>
      <c r="CO289" s="8">
        <v>79.44</v>
      </c>
      <c r="CP289" s="8">
        <v>79.040000000000006</v>
      </c>
      <c r="CQ289" s="8">
        <v>84.52</v>
      </c>
      <c r="CR289" s="8">
        <v>77.069999999999993</v>
      </c>
      <c r="CS289" s="8">
        <v>75.12</v>
      </c>
      <c r="CT289" s="8">
        <v>75.87</v>
      </c>
      <c r="CU289" s="8">
        <v>83.27</v>
      </c>
      <c r="CV289" s="8">
        <v>89.41</v>
      </c>
      <c r="CW289" s="8">
        <v>89.41</v>
      </c>
      <c r="CX289" s="8">
        <v>106.44</v>
      </c>
      <c r="CY289" s="8">
        <v>106.44</v>
      </c>
      <c r="CZ289" s="8">
        <v>68.150000000000006</v>
      </c>
      <c r="DA289" s="8">
        <v>108.55</v>
      </c>
      <c r="DB289" s="8">
        <v>81.819999999999993</v>
      </c>
      <c r="DC289" s="8">
        <v>93.82</v>
      </c>
      <c r="DD289" s="8">
        <v>114.12</v>
      </c>
      <c r="DE289" s="8">
        <v>70.61</v>
      </c>
      <c r="DF289" s="8">
        <v>83.54</v>
      </c>
      <c r="DG289" s="8">
        <v>104.48</v>
      </c>
      <c r="DH289" s="8">
        <v>75.88</v>
      </c>
      <c r="DI289" s="8">
        <v>73.27</v>
      </c>
      <c r="DJ289" s="8">
        <v>72.37</v>
      </c>
      <c r="DK289" s="8">
        <v>66.010000000000005</v>
      </c>
      <c r="DL289" s="8">
        <v>83.25</v>
      </c>
      <c r="DM289" s="8">
        <v>88.7</v>
      </c>
      <c r="DN289" s="8">
        <v>100.83</v>
      </c>
      <c r="DO289" s="8">
        <v>74.62</v>
      </c>
      <c r="DP289" s="8">
        <v>69.22</v>
      </c>
      <c r="DQ289" s="8">
        <v>80.92</v>
      </c>
      <c r="DR289" s="8">
        <v>84.36</v>
      </c>
      <c r="DS289" s="8">
        <v>77.05</v>
      </c>
      <c r="DT289" s="8">
        <v>77.05</v>
      </c>
      <c r="DU289" s="8">
        <v>84.49</v>
      </c>
      <c r="DV289" s="8">
        <v>74.92</v>
      </c>
      <c r="DW289" s="8">
        <v>75.55</v>
      </c>
      <c r="DX289" s="8">
        <v>77.7</v>
      </c>
      <c r="DY289" s="8">
        <v>65.709999999999994</v>
      </c>
      <c r="DZ289" s="8">
        <v>65.709999999999994</v>
      </c>
      <c r="EA289" s="8">
        <v>81.569999999999993</v>
      </c>
      <c r="EB289" s="8">
        <v>92.95</v>
      </c>
      <c r="EC289" s="8">
        <v>80.3</v>
      </c>
      <c r="ED289" s="9">
        <v>0.4</v>
      </c>
      <c r="EE289" s="9">
        <v>0.4</v>
      </c>
      <c r="EF289" s="9">
        <v>-0.5</v>
      </c>
      <c r="EG289" s="9">
        <v>-0.1</v>
      </c>
      <c r="EH289" s="9">
        <v>-0.3</v>
      </c>
      <c r="EI289" s="9">
        <v>-1.5</v>
      </c>
      <c r="EJ289" s="9">
        <v>-1.6</v>
      </c>
      <c r="EK289" s="9">
        <v>0.2</v>
      </c>
      <c r="EL289" s="9">
        <v>1</v>
      </c>
      <c r="EM289" s="9">
        <v>0.4</v>
      </c>
      <c r="EN289" s="9">
        <v>0</v>
      </c>
      <c r="EO289" s="9">
        <v>0.5</v>
      </c>
      <c r="EP289" s="9">
        <v>-0.6</v>
      </c>
      <c r="EQ289" s="9">
        <v>-0.2</v>
      </c>
      <c r="ER289" s="9">
        <v>0.1</v>
      </c>
      <c r="ES289" s="9">
        <v>-0.1</v>
      </c>
      <c r="ET289" s="9">
        <v>0.2</v>
      </c>
      <c r="EU289" s="9">
        <v>0.2</v>
      </c>
      <c r="EV289" s="9">
        <v>0.7</v>
      </c>
      <c r="EW289" s="9">
        <v>-2.7</v>
      </c>
      <c r="EX289" s="9">
        <v>3.7</v>
      </c>
      <c r="EY289" s="9">
        <v>0.1</v>
      </c>
      <c r="EZ289" s="9">
        <v>0.1</v>
      </c>
      <c r="FA289" s="9">
        <v>-1</v>
      </c>
      <c r="FB289" s="9">
        <v>1.3</v>
      </c>
      <c r="FC289" s="9">
        <v>0.3</v>
      </c>
      <c r="FD289" s="9">
        <v>0.5</v>
      </c>
      <c r="FE289" s="9">
        <v>-0.7</v>
      </c>
      <c r="FF289" s="9">
        <v>2.2999999999999998</v>
      </c>
      <c r="FG289" s="9">
        <v>0.6</v>
      </c>
      <c r="FH289" s="9">
        <v>2.8</v>
      </c>
      <c r="FI289" s="9">
        <v>0.5</v>
      </c>
      <c r="FJ289" s="9">
        <v>0.4</v>
      </c>
      <c r="FK289" s="9">
        <v>0.5</v>
      </c>
      <c r="FL289" s="9">
        <v>0.7</v>
      </c>
      <c r="FM289" s="9">
        <v>1</v>
      </c>
      <c r="FN289" s="9">
        <v>1.5</v>
      </c>
      <c r="FO289" s="9">
        <v>-0.4</v>
      </c>
      <c r="FP289" s="9">
        <v>2</v>
      </c>
      <c r="FQ289" s="9">
        <v>0.4</v>
      </c>
      <c r="FR289" s="9">
        <v>0.4</v>
      </c>
      <c r="FS289" s="9">
        <v>-2</v>
      </c>
      <c r="FT289" s="9">
        <v>-2.8</v>
      </c>
      <c r="FU289" s="9">
        <v>-2</v>
      </c>
      <c r="FV289" s="9">
        <v>-2.5</v>
      </c>
      <c r="FW289" s="9">
        <v>-4.9000000000000004</v>
      </c>
      <c r="FX289" s="9">
        <v>-3.8</v>
      </c>
      <c r="FY289" s="9">
        <v>-3.3</v>
      </c>
      <c r="FZ289" s="9">
        <v>-4.4000000000000004</v>
      </c>
      <c r="GA289" s="9">
        <v>-2.1</v>
      </c>
      <c r="GB289" s="9">
        <v>1.4</v>
      </c>
      <c r="GC289" s="9">
        <v>1.5</v>
      </c>
      <c r="GD289" s="9">
        <v>0.7</v>
      </c>
      <c r="GE289" s="9">
        <v>0.7</v>
      </c>
      <c r="GF289" s="9">
        <v>0.3</v>
      </c>
      <c r="GG289" s="9">
        <v>0.3</v>
      </c>
      <c r="GH289" s="9">
        <v>0.5</v>
      </c>
      <c r="GI289" s="9">
        <v>0.5</v>
      </c>
      <c r="GJ289" s="9">
        <v>0.2</v>
      </c>
      <c r="GK289" s="9">
        <v>0.3</v>
      </c>
      <c r="GL289" s="9">
        <v>0</v>
      </c>
      <c r="GM289" s="9">
        <v>2.2000000000000002</v>
      </c>
      <c r="GN289" s="9">
        <v>0</v>
      </c>
      <c r="GO289" s="9">
        <v>1.8</v>
      </c>
      <c r="GP289" s="9">
        <v>6</v>
      </c>
      <c r="GQ289" s="9">
        <v>-0.4</v>
      </c>
      <c r="GR289" s="9">
        <v>-2.4</v>
      </c>
      <c r="GS289" s="9">
        <v>-2.9</v>
      </c>
      <c r="GT289" s="9">
        <v>-0.4</v>
      </c>
      <c r="GU289" s="9">
        <v>-3.5</v>
      </c>
      <c r="GV289" s="9">
        <v>-3.5</v>
      </c>
      <c r="GW289" s="9">
        <v>-1.4</v>
      </c>
      <c r="GX289" s="9">
        <v>-0.7</v>
      </c>
      <c r="GY289" s="9">
        <v>-1.2</v>
      </c>
      <c r="GZ289" s="9">
        <v>-3.2</v>
      </c>
      <c r="HA289" s="9">
        <v>-0.4</v>
      </c>
      <c r="HB289" s="9">
        <v>0.2</v>
      </c>
      <c r="HC289" s="9">
        <v>-1.3</v>
      </c>
      <c r="HD289" s="9">
        <v>0.2</v>
      </c>
      <c r="HE289" s="9">
        <v>0.4</v>
      </c>
      <c r="HF289" s="9">
        <v>1.3</v>
      </c>
      <c r="HG289" s="9">
        <v>1.6</v>
      </c>
      <c r="HH289" s="9">
        <v>0.5</v>
      </c>
      <c r="HI289" s="9">
        <v>1.8</v>
      </c>
      <c r="HJ289" s="9">
        <v>2.1</v>
      </c>
      <c r="HK289" s="9">
        <v>5</v>
      </c>
      <c r="HL289" s="9">
        <v>5.7</v>
      </c>
      <c r="HM289" s="9">
        <v>0.2</v>
      </c>
      <c r="HN289" s="9">
        <v>1.4</v>
      </c>
      <c r="HO289" s="9">
        <v>1.5</v>
      </c>
      <c r="HP289" s="9">
        <v>0.2</v>
      </c>
      <c r="HQ289" s="9">
        <v>1.1000000000000001</v>
      </c>
      <c r="HR289" s="9">
        <v>1.1000000000000001</v>
      </c>
      <c r="HS289" s="9">
        <v>1.4</v>
      </c>
      <c r="HT289" s="9">
        <v>0.6</v>
      </c>
      <c r="HU289" s="9">
        <v>0.9</v>
      </c>
      <c r="HV289" s="9">
        <v>1.2</v>
      </c>
      <c r="HW289" s="9">
        <v>0.7</v>
      </c>
      <c r="HX289" s="9">
        <v>1.8</v>
      </c>
      <c r="HY289" s="9">
        <v>1.8</v>
      </c>
      <c r="HZ289" s="9">
        <v>-0.3</v>
      </c>
      <c r="IA289" s="9">
        <v>-0.3</v>
      </c>
      <c r="IB289" s="9">
        <v>0.2</v>
      </c>
      <c r="IC289" s="9">
        <v>-0.3</v>
      </c>
      <c r="ID289" s="9">
        <v>-0.7</v>
      </c>
      <c r="IE289" s="9">
        <v>-4.0999999999999996</v>
      </c>
      <c r="IF289" s="9">
        <v>-3</v>
      </c>
      <c r="IG289" s="9">
        <v>-6</v>
      </c>
      <c r="IH289" s="9">
        <v>0.9</v>
      </c>
      <c r="II289" s="9">
        <v>3.7</v>
      </c>
      <c r="IJ289" s="9">
        <v>-0.4</v>
      </c>
      <c r="IK289" s="9">
        <v>-0.5</v>
      </c>
      <c r="IL289" s="9">
        <v>1.5</v>
      </c>
      <c r="IM289" s="9">
        <v>-2.4</v>
      </c>
      <c r="IN289" s="9">
        <v>0.3</v>
      </c>
      <c r="IO289" s="9">
        <v>1.6</v>
      </c>
      <c r="IP289" s="9">
        <v>-1.2</v>
      </c>
      <c r="IQ289" s="9">
        <v>-0.2</v>
      </c>
    </row>
    <row r="290" spans="1:251" x14ac:dyDescent="0.2">
      <c r="A290" s="10">
        <v>43252</v>
      </c>
      <c r="B290" s="8">
        <v>78.489999999999995</v>
      </c>
      <c r="C290" s="8">
        <v>76.400000000000006</v>
      </c>
      <c r="D290" s="8">
        <v>74.790000000000006</v>
      </c>
      <c r="E290" s="8">
        <v>73.39</v>
      </c>
      <c r="F290" s="8">
        <v>74.98</v>
      </c>
      <c r="G290" s="8">
        <v>76.66</v>
      </c>
      <c r="H290" s="8">
        <v>77.42</v>
      </c>
      <c r="I290" s="8">
        <v>76.56</v>
      </c>
      <c r="J290" s="8">
        <v>69.06</v>
      </c>
      <c r="K290" s="8">
        <v>77.790000000000006</v>
      </c>
      <c r="L290" s="8">
        <v>71.59</v>
      </c>
      <c r="M290" s="8">
        <v>82.38</v>
      </c>
      <c r="N290" s="8">
        <v>77.23</v>
      </c>
      <c r="O290" s="8">
        <v>80.98</v>
      </c>
      <c r="P290" s="8">
        <v>73.94</v>
      </c>
      <c r="Q290" s="8">
        <v>71.78</v>
      </c>
      <c r="R290" s="8">
        <v>74.150000000000006</v>
      </c>
      <c r="S290" s="8">
        <v>76.23</v>
      </c>
      <c r="T290" s="8">
        <v>77.61</v>
      </c>
      <c r="U290" s="8">
        <v>76.31</v>
      </c>
      <c r="V290" s="8">
        <v>78.28</v>
      </c>
      <c r="W290" s="8">
        <v>74.8</v>
      </c>
      <c r="X290" s="8">
        <v>63.62</v>
      </c>
      <c r="Y290" s="8">
        <v>80.510000000000005</v>
      </c>
      <c r="Z290" s="8">
        <v>80.959999999999994</v>
      </c>
      <c r="AA290" s="8">
        <v>65.709999999999994</v>
      </c>
      <c r="AB290" s="8">
        <v>74.319999999999993</v>
      </c>
      <c r="AC290" s="8">
        <v>78.42</v>
      </c>
      <c r="AD290" s="8">
        <v>75.489999999999995</v>
      </c>
      <c r="AE290" s="8">
        <v>71.94</v>
      </c>
      <c r="AF290" s="8">
        <v>76.55</v>
      </c>
      <c r="AG290" s="8">
        <v>77.75</v>
      </c>
      <c r="AH290" s="8">
        <v>79.23</v>
      </c>
      <c r="AI290" s="8">
        <v>75.86</v>
      </c>
      <c r="AJ290" s="8">
        <v>66.010000000000005</v>
      </c>
      <c r="AK290" s="8">
        <v>83.09</v>
      </c>
      <c r="AL290" s="8">
        <v>77.91</v>
      </c>
      <c r="AM290" s="8">
        <v>91.88</v>
      </c>
      <c r="AN290" s="8">
        <v>78.569999999999993</v>
      </c>
      <c r="AO290" s="8">
        <v>45.3</v>
      </c>
      <c r="AP290" s="8">
        <v>45.3</v>
      </c>
      <c r="AQ290" s="8">
        <v>92.75</v>
      </c>
      <c r="AR290" s="8">
        <v>98.35</v>
      </c>
      <c r="AS290" s="8">
        <v>97.44</v>
      </c>
      <c r="AT290" s="8">
        <v>100.93</v>
      </c>
      <c r="AU290" s="8">
        <v>91.64</v>
      </c>
      <c r="AV290" s="8">
        <v>96.11</v>
      </c>
      <c r="AW290" s="8">
        <v>94.44</v>
      </c>
      <c r="AX290" s="8">
        <v>96.42</v>
      </c>
      <c r="AY290" s="8">
        <v>97.89</v>
      </c>
      <c r="AZ290" s="8">
        <v>78.8</v>
      </c>
      <c r="BA290" s="8">
        <v>79.209999999999994</v>
      </c>
      <c r="BB290" s="8">
        <v>75.510000000000005</v>
      </c>
      <c r="BC290" s="8">
        <v>76.540000000000006</v>
      </c>
      <c r="BD290" s="8">
        <v>81.83</v>
      </c>
      <c r="BE290" s="8">
        <v>81.83</v>
      </c>
      <c r="BF290" s="8">
        <v>70.319999999999993</v>
      </c>
      <c r="BG290" s="8">
        <v>70.319999999999993</v>
      </c>
      <c r="BH290" s="8">
        <v>75.19</v>
      </c>
      <c r="BI290" s="8">
        <v>77.150000000000006</v>
      </c>
      <c r="BJ290" s="8">
        <v>72.650000000000006</v>
      </c>
      <c r="BK290" s="8">
        <v>84.17</v>
      </c>
      <c r="BL290" s="8">
        <v>87.33</v>
      </c>
      <c r="BM290" s="8">
        <v>91.69</v>
      </c>
      <c r="BN290" s="8">
        <v>67.05</v>
      </c>
      <c r="BO290" s="8">
        <v>83.58</v>
      </c>
      <c r="BP290" s="8">
        <v>80.09</v>
      </c>
      <c r="BQ290" s="8">
        <v>80.45</v>
      </c>
      <c r="BR290" s="8">
        <v>78.27</v>
      </c>
      <c r="BS290" s="8">
        <v>93.1</v>
      </c>
      <c r="BT290" s="8">
        <v>93.1</v>
      </c>
      <c r="BU290" s="8">
        <v>92.23</v>
      </c>
      <c r="BV290" s="8">
        <v>88.01</v>
      </c>
      <c r="BW290" s="8">
        <v>92.28</v>
      </c>
      <c r="BX290" s="8">
        <v>103.7</v>
      </c>
      <c r="BY290" s="8">
        <v>85.84</v>
      </c>
      <c r="BZ290" s="8">
        <v>84.06</v>
      </c>
      <c r="CA290" s="8">
        <v>79.69</v>
      </c>
      <c r="CB290" s="8">
        <v>89.47</v>
      </c>
      <c r="CC290" s="8">
        <v>81.22</v>
      </c>
      <c r="CD290" s="8">
        <v>80.13</v>
      </c>
      <c r="CE290" s="8">
        <v>91.76</v>
      </c>
      <c r="CF290" s="8">
        <v>74.87</v>
      </c>
      <c r="CG290" s="8">
        <v>74.78</v>
      </c>
      <c r="CH290" s="8">
        <v>77.760000000000005</v>
      </c>
      <c r="CI290" s="8">
        <v>93.26</v>
      </c>
      <c r="CJ290" s="8">
        <v>93.28</v>
      </c>
      <c r="CK290" s="8">
        <v>93.14</v>
      </c>
      <c r="CL290" s="8">
        <v>74.58</v>
      </c>
      <c r="CM290" s="8">
        <v>73.599999999999994</v>
      </c>
      <c r="CN290" s="8">
        <v>82.56</v>
      </c>
      <c r="CO290" s="8">
        <v>80.680000000000007</v>
      </c>
      <c r="CP290" s="8">
        <v>80.38</v>
      </c>
      <c r="CQ290" s="8">
        <v>82.8</v>
      </c>
      <c r="CR290" s="8">
        <v>77.489999999999995</v>
      </c>
      <c r="CS290" s="8">
        <v>80.3</v>
      </c>
      <c r="CT290" s="8">
        <v>76.14</v>
      </c>
      <c r="CU290" s="8">
        <v>83.27</v>
      </c>
      <c r="CV290" s="8">
        <v>89.27</v>
      </c>
      <c r="CW290" s="8">
        <v>89.27</v>
      </c>
      <c r="CX290" s="8">
        <v>105.07</v>
      </c>
      <c r="CY290" s="8">
        <v>105.07</v>
      </c>
      <c r="CZ290" s="8">
        <v>71.67</v>
      </c>
      <c r="DA290" s="8">
        <v>106.92</v>
      </c>
      <c r="DB290" s="8">
        <v>81.52</v>
      </c>
      <c r="DC290" s="8">
        <v>94.19</v>
      </c>
      <c r="DD290" s="8">
        <v>112.84</v>
      </c>
      <c r="DE290" s="8">
        <v>72.72</v>
      </c>
      <c r="DF290" s="8">
        <v>83.38</v>
      </c>
      <c r="DG290" s="8">
        <v>103.33</v>
      </c>
      <c r="DH290" s="8">
        <v>76.09</v>
      </c>
      <c r="DI290" s="8">
        <v>72.8</v>
      </c>
      <c r="DJ290" s="8">
        <v>70.38</v>
      </c>
      <c r="DK290" s="8">
        <v>66.92</v>
      </c>
      <c r="DL290" s="8">
        <v>82.97</v>
      </c>
      <c r="DM290" s="8">
        <v>88.13</v>
      </c>
      <c r="DN290" s="8">
        <v>101</v>
      </c>
      <c r="DO290" s="8">
        <v>74.56</v>
      </c>
      <c r="DP290" s="8">
        <v>69.7</v>
      </c>
      <c r="DQ290" s="8">
        <v>79.260000000000005</v>
      </c>
      <c r="DR290" s="8">
        <v>84.79</v>
      </c>
      <c r="DS290" s="8">
        <v>77.09</v>
      </c>
      <c r="DT290" s="8">
        <v>77.09</v>
      </c>
      <c r="DU290" s="8">
        <v>84.68</v>
      </c>
      <c r="DV290" s="8">
        <v>74.92</v>
      </c>
      <c r="DW290" s="8">
        <v>75.55</v>
      </c>
      <c r="DX290" s="8">
        <v>78.03</v>
      </c>
      <c r="DY290" s="8">
        <v>66.3</v>
      </c>
      <c r="DZ290" s="8">
        <v>66.3</v>
      </c>
      <c r="EA290" s="8">
        <v>81.819999999999993</v>
      </c>
      <c r="EB290" s="8">
        <v>93.01</v>
      </c>
      <c r="EC290" s="8">
        <v>80.56</v>
      </c>
      <c r="ED290" s="9">
        <v>0.4</v>
      </c>
      <c r="EE290" s="9">
        <v>-0.4</v>
      </c>
      <c r="EF290" s="9">
        <v>-0.3</v>
      </c>
      <c r="EG290" s="9">
        <v>0.1</v>
      </c>
      <c r="EH290" s="9">
        <v>-0.8</v>
      </c>
      <c r="EI290" s="9">
        <v>-1.3</v>
      </c>
      <c r="EJ290" s="9">
        <v>0.8</v>
      </c>
      <c r="EK290" s="9">
        <v>0.1</v>
      </c>
      <c r="EL290" s="9">
        <v>-1.8</v>
      </c>
      <c r="EM290" s="9">
        <v>-1</v>
      </c>
      <c r="EN290" s="9">
        <v>2.2000000000000002</v>
      </c>
      <c r="EO290" s="9">
        <v>-0.2</v>
      </c>
      <c r="EP290" s="9">
        <v>0.5</v>
      </c>
      <c r="EQ290" s="9">
        <v>2.2000000000000002</v>
      </c>
      <c r="ER290" s="9">
        <v>0.6</v>
      </c>
      <c r="ES290" s="9">
        <v>0.6</v>
      </c>
      <c r="ET290" s="9">
        <v>0.7</v>
      </c>
      <c r="EU290" s="9">
        <v>0.6</v>
      </c>
      <c r="EV290" s="9">
        <v>-2.7</v>
      </c>
      <c r="EW290" s="9">
        <v>-2.5</v>
      </c>
      <c r="EX290" s="9">
        <v>-2.9</v>
      </c>
      <c r="EY290" s="9">
        <v>-1.3</v>
      </c>
      <c r="EZ290" s="9">
        <v>0.7</v>
      </c>
      <c r="FA290" s="9">
        <v>-1.3</v>
      </c>
      <c r="FB290" s="9">
        <v>-1.8</v>
      </c>
      <c r="FC290" s="9">
        <v>-0.2</v>
      </c>
      <c r="FD290" s="9">
        <v>-1.1000000000000001</v>
      </c>
      <c r="FE290" s="9">
        <v>-2.2000000000000002</v>
      </c>
      <c r="FF290" s="9">
        <v>-0.7</v>
      </c>
      <c r="FG290" s="9">
        <v>-3.5</v>
      </c>
      <c r="FH290" s="9">
        <v>0.2</v>
      </c>
      <c r="FI290" s="9">
        <v>0.6</v>
      </c>
      <c r="FJ290" s="9">
        <v>0.5</v>
      </c>
      <c r="FK290" s="9">
        <v>0.8</v>
      </c>
      <c r="FL290" s="9">
        <v>1.5</v>
      </c>
      <c r="FM290" s="9">
        <v>0.7</v>
      </c>
      <c r="FN290" s="9">
        <v>0.9</v>
      </c>
      <c r="FO290" s="9">
        <v>0.7</v>
      </c>
      <c r="FP290" s="9">
        <v>0.5</v>
      </c>
      <c r="FQ290" s="9">
        <v>2.8</v>
      </c>
      <c r="FR290" s="9">
        <v>2.8</v>
      </c>
      <c r="FS290" s="9">
        <v>1.3</v>
      </c>
      <c r="FT290" s="9">
        <v>1.5</v>
      </c>
      <c r="FU290" s="9">
        <v>-1.5</v>
      </c>
      <c r="FV290" s="9">
        <v>2.2999999999999998</v>
      </c>
      <c r="FW290" s="9">
        <v>4.4000000000000004</v>
      </c>
      <c r="FX290" s="9">
        <v>1.6</v>
      </c>
      <c r="FY290" s="9">
        <v>-2.2999999999999998</v>
      </c>
      <c r="FZ290" s="9">
        <v>2.6</v>
      </c>
      <c r="GA290" s="9">
        <v>5.2</v>
      </c>
      <c r="GB290" s="9">
        <v>0.4</v>
      </c>
      <c r="GC290" s="9">
        <v>0.2</v>
      </c>
      <c r="GD290" s="9">
        <v>1.4</v>
      </c>
      <c r="GE290" s="9">
        <v>0.1</v>
      </c>
      <c r="GF290" s="9">
        <v>0</v>
      </c>
      <c r="GG290" s="9">
        <v>0</v>
      </c>
      <c r="GH290" s="9">
        <v>0.8</v>
      </c>
      <c r="GI290" s="9">
        <v>0.8</v>
      </c>
      <c r="GJ290" s="9">
        <v>0.3</v>
      </c>
      <c r="GK290" s="9">
        <v>0.5</v>
      </c>
      <c r="GL290" s="9">
        <v>0</v>
      </c>
      <c r="GM290" s="9">
        <v>-1.2</v>
      </c>
      <c r="GN290" s="9">
        <v>0</v>
      </c>
      <c r="GO290" s="9">
        <v>-1.3</v>
      </c>
      <c r="GP290" s="9">
        <v>-2.2000000000000002</v>
      </c>
      <c r="GQ290" s="9">
        <v>0.3</v>
      </c>
      <c r="GR290" s="9">
        <v>0.8</v>
      </c>
      <c r="GS290" s="9">
        <v>0.7</v>
      </c>
      <c r="GT290" s="9">
        <v>1.2</v>
      </c>
      <c r="GU290" s="9">
        <v>1.1000000000000001</v>
      </c>
      <c r="GV290" s="9">
        <v>1.1000000000000001</v>
      </c>
      <c r="GW290" s="9">
        <v>1.2</v>
      </c>
      <c r="GX290" s="9">
        <v>1</v>
      </c>
      <c r="GY290" s="9">
        <v>1.2</v>
      </c>
      <c r="GZ290" s="9">
        <v>3.4</v>
      </c>
      <c r="HA290" s="9">
        <v>-0.9</v>
      </c>
      <c r="HB290" s="9">
        <v>-1</v>
      </c>
      <c r="HC290" s="9">
        <v>-2</v>
      </c>
      <c r="HD290" s="9">
        <v>-2</v>
      </c>
      <c r="HE290" s="9">
        <v>0</v>
      </c>
      <c r="HF290" s="9">
        <v>0.6</v>
      </c>
      <c r="HG290" s="9">
        <v>1</v>
      </c>
      <c r="HH290" s="9">
        <v>0.7</v>
      </c>
      <c r="HI290" s="9">
        <v>-0.1</v>
      </c>
      <c r="HJ290" s="9">
        <v>1.9</v>
      </c>
      <c r="HK290" s="9">
        <v>-0.9</v>
      </c>
      <c r="HL290" s="9">
        <v>-1.1000000000000001</v>
      </c>
      <c r="HM290" s="9">
        <v>0</v>
      </c>
      <c r="HN290" s="9">
        <v>2.7</v>
      </c>
      <c r="HO290" s="9">
        <v>3.1</v>
      </c>
      <c r="HP290" s="9">
        <v>0.1</v>
      </c>
      <c r="HQ290" s="9">
        <v>1.6</v>
      </c>
      <c r="HR290" s="9">
        <v>1.7</v>
      </c>
      <c r="HS290" s="9">
        <v>-2</v>
      </c>
      <c r="HT290" s="9">
        <v>0.5</v>
      </c>
      <c r="HU290" s="9">
        <v>6.9</v>
      </c>
      <c r="HV290" s="9">
        <v>0.4</v>
      </c>
      <c r="HW290" s="9">
        <v>0</v>
      </c>
      <c r="HX290" s="9">
        <v>-0.2</v>
      </c>
      <c r="HY290" s="9">
        <v>-0.2</v>
      </c>
      <c r="HZ290" s="9">
        <v>-1.3</v>
      </c>
      <c r="IA290" s="9">
        <v>-1.3</v>
      </c>
      <c r="IB290" s="9">
        <v>5.2</v>
      </c>
      <c r="IC290" s="9">
        <v>-1.5</v>
      </c>
      <c r="ID290" s="9">
        <v>-0.4</v>
      </c>
      <c r="IE290" s="9">
        <v>0.4</v>
      </c>
      <c r="IF290" s="9">
        <v>-1.1000000000000001</v>
      </c>
      <c r="IG290" s="9">
        <v>3</v>
      </c>
      <c r="IH290" s="9">
        <v>-0.2</v>
      </c>
      <c r="II290" s="9">
        <v>-1.1000000000000001</v>
      </c>
      <c r="IJ290" s="9">
        <v>0.3</v>
      </c>
      <c r="IK290" s="9">
        <v>-0.6</v>
      </c>
      <c r="IL290" s="9">
        <v>-2.7</v>
      </c>
      <c r="IM290" s="9">
        <v>1.4</v>
      </c>
      <c r="IN290" s="9">
        <v>-0.3</v>
      </c>
      <c r="IO290" s="9">
        <v>-0.6</v>
      </c>
      <c r="IP290" s="9">
        <v>0.2</v>
      </c>
      <c r="IQ290" s="9">
        <v>-0.1</v>
      </c>
    </row>
    <row r="291" spans="1:251" x14ac:dyDescent="0.2">
      <c r="A291" s="10">
        <v>43344</v>
      </c>
      <c r="B291" s="8">
        <v>78.83</v>
      </c>
      <c r="C291" s="8">
        <v>76.790000000000006</v>
      </c>
      <c r="D291" s="8">
        <v>74.989999999999995</v>
      </c>
      <c r="E291" s="8">
        <v>74.34</v>
      </c>
      <c r="F291" s="8">
        <v>75.09</v>
      </c>
      <c r="G291" s="8">
        <v>75.819999999999993</v>
      </c>
      <c r="H291" s="8">
        <v>76.290000000000006</v>
      </c>
      <c r="I291" s="8">
        <v>76.89</v>
      </c>
      <c r="J291" s="8">
        <v>69.58</v>
      </c>
      <c r="K291" s="8">
        <v>77.11</v>
      </c>
      <c r="L291" s="8">
        <v>72.94</v>
      </c>
      <c r="M291" s="8">
        <v>82.71</v>
      </c>
      <c r="N291" s="8">
        <v>77.319999999999993</v>
      </c>
      <c r="O291" s="8">
        <v>81.47</v>
      </c>
      <c r="P291" s="8">
        <v>73.63</v>
      </c>
      <c r="Q291" s="8">
        <v>71.34</v>
      </c>
      <c r="R291" s="8">
        <v>73.989999999999995</v>
      </c>
      <c r="S291" s="8">
        <v>75.94</v>
      </c>
      <c r="T291" s="8">
        <v>79.14</v>
      </c>
      <c r="U291" s="8">
        <v>78.14</v>
      </c>
      <c r="V291" s="8">
        <v>79.53</v>
      </c>
      <c r="W291" s="8">
        <v>74.900000000000006</v>
      </c>
      <c r="X291" s="8">
        <v>63.05</v>
      </c>
      <c r="Y291" s="8">
        <v>81.38</v>
      </c>
      <c r="Z291" s="8">
        <v>80.61</v>
      </c>
      <c r="AA291" s="8">
        <v>66.3</v>
      </c>
      <c r="AB291" s="8">
        <v>74.42</v>
      </c>
      <c r="AC291" s="8">
        <v>78.59</v>
      </c>
      <c r="AD291" s="8">
        <v>75.319999999999993</v>
      </c>
      <c r="AE291" s="8">
        <v>72.489999999999995</v>
      </c>
      <c r="AF291" s="8">
        <v>76.150000000000006</v>
      </c>
      <c r="AG291" s="8">
        <v>78.05</v>
      </c>
      <c r="AH291" s="8">
        <v>79.319999999999993</v>
      </c>
      <c r="AI291" s="8">
        <v>76.430000000000007</v>
      </c>
      <c r="AJ291" s="8">
        <v>66.849999999999994</v>
      </c>
      <c r="AK291" s="8">
        <v>83.88</v>
      </c>
      <c r="AL291" s="8">
        <v>78.13</v>
      </c>
      <c r="AM291" s="8">
        <v>93.1</v>
      </c>
      <c r="AN291" s="8">
        <v>79.3</v>
      </c>
      <c r="AO291" s="8">
        <v>46.12</v>
      </c>
      <c r="AP291" s="8">
        <v>46.12</v>
      </c>
      <c r="AQ291" s="8">
        <v>92.93</v>
      </c>
      <c r="AR291" s="8">
        <v>98.6</v>
      </c>
      <c r="AS291" s="8">
        <v>98.91</v>
      </c>
      <c r="AT291" s="8">
        <v>100.59</v>
      </c>
      <c r="AU291" s="8">
        <v>91.84</v>
      </c>
      <c r="AV291" s="8">
        <v>95.01</v>
      </c>
      <c r="AW291" s="8">
        <v>91.97</v>
      </c>
      <c r="AX291" s="8">
        <v>95.84</v>
      </c>
      <c r="AY291" s="8">
        <v>97.15</v>
      </c>
      <c r="AZ291" s="8">
        <v>79.510000000000005</v>
      </c>
      <c r="BA291" s="8">
        <v>80.03</v>
      </c>
      <c r="BB291" s="8">
        <v>75.64</v>
      </c>
      <c r="BC291" s="8">
        <v>76.88</v>
      </c>
      <c r="BD291" s="8">
        <v>81.96</v>
      </c>
      <c r="BE291" s="8">
        <v>81.96</v>
      </c>
      <c r="BF291" s="8">
        <v>70.38</v>
      </c>
      <c r="BG291" s="8">
        <v>70.38</v>
      </c>
      <c r="BH291" s="8">
        <v>76.290000000000006</v>
      </c>
      <c r="BI291" s="8">
        <v>77.849999999999994</v>
      </c>
      <c r="BJ291" s="8">
        <v>74.3</v>
      </c>
      <c r="BK291" s="8">
        <v>84.86</v>
      </c>
      <c r="BL291" s="8">
        <v>88.49</v>
      </c>
      <c r="BM291" s="8">
        <v>92.13</v>
      </c>
      <c r="BN291" s="8">
        <v>67.78</v>
      </c>
      <c r="BO291" s="8">
        <v>82.6</v>
      </c>
      <c r="BP291" s="8">
        <v>81.319999999999993</v>
      </c>
      <c r="BQ291" s="8">
        <v>81.92</v>
      </c>
      <c r="BR291" s="8">
        <v>78.47</v>
      </c>
      <c r="BS291" s="8">
        <v>93.39</v>
      </c>
      <c r="BT291" s="8">
        <v>93.39</v>
      </c>
      <c r="BU291" s="8">
        <v>93.12</v>
      </c>
      <c r="BV291" s="8">
        <v>89.78</v>
      </c>
      <c r="BW291" s="8">
        <v>92.94</v>
      </c>
      <c r="BX291" s="8">
        <v>104.67</v>
      </c>
      <c r="BY291" s="8">
        <v>85.95</v>
      </c>
      <c r="BZ291" s="8">
        <v>83.74</v>
      </c>
      <c r="CA291" s="8">
        <v>79.569999999999993</v>
      </c>
      <c r="CB291" s="8">
        <v>89.37</v>
      </c>
      <c r="CC291" s="8">
        <v>80.72</v>
      </c>
      <c r="CD291" s="8">
        <v>76.430000000000007</v>
      </c>
      <c r="CE291" s="8">
        <v>80.98</v>
      </c>
      <c r="CF291" s="8">
        <v>75.739999999999995</v>
      </c>
      <c r="CG291" s="8">
        <v>75.959999999999994</v>
      </c>
      <c r="CH291" s="8">
        <v>77.45</v>
      </c>
      <c r="CI291" s="8">
        <v>92.34</v>
      </c>
      <c r="CJ291" s="8">
        <v>92.26</v>
      </c>
      <c r="CK291" s="8">
        <v>93.05</v>
      </c>
      <c r="CL291" s="8">
        <v>74.39</v>
      </c>
      <c r="CM291" s="8">
        <v>73.37</v>
      </c>
      <c r="CN291" s="8">
        <v>82.75</v>
      </c>
      <c r="CO291" s="8">
        <v>81.290000000000006</v>
      </c>
      <c r="CP291" s="8">
        <v>80.97</v>
      </c>
      <c r="CQ291" s="8">
        <v>82.66</v>
      </c>
      <c r="CR291" s="8">
        <v>76.900000000000006</v>
      </c>
      <c r="CS291" s="8">
        <v>81.48</v>
      </c>
      <c r="CT291" s="8">
        <v>76.56</v>
      </c>
      <c r="CU291" s="8">
        <v>84.83</v>
      </c>
      <c r="CV291" s="8">
        <v>90.07</v>
      </c>
      <c r="CW291" s="8">
        <v>90.07</v>
      </c>
      <c r="CX291" s="8">
        <v>103.62</v>
      </c>
      <c r="CY291" s="8">
        <v>103.62</v>
      </c>
      <c r="CZ291" s="8">
        <v>73.94</v>
      </c>
      <c r="DA291" s="8">
        <v>105.27</v>
      </c>
      <c r="DB291" s="8">
        <v>82.82</v>
      </c>
      <c r="DC291" s="8">
        <v>94.39</v>
      </c>
      <c r="DD291" s="8">
        <v>110.79</v>
      </c>
      <c r="DE291" s="8">
        <v>75.28</v>
      </c>
      <c r="DF291" s="8">
        <v>82.64</v>
      </c>
      <c r="DG291" s="8">
        <v>102.03</v>
      </c>
      <c r="DH291" s="8">
        <v>75.55</v>
      </c>
      <c r="DI291" s="8">
        <v>75.239999999999995</v>
      </c>
      <c r="DJ291" s="8">
        <v>72.05</v>
      </c>
      <c r="DK291" s="8">
        <v>69.760000000000005</v>
      </c>
      <c r="DL291" s="8">
        <v>83.12</v>
      </c>
      <c r="DM291" s="8">
        <v>89.25</v>
      </c>
      <c r="DN291" s="8">
        <v>98.12</v>
      </c>
      <c r="DO291" s="8">
        <v>74.430000000000007</v>
      </c>
      <c r="DP291" s="8">
        <v>70.02</v>
      </c>
      <c r="DQ291" s="8">
        <v>80.8</v>
      </c>
      <c r="DR291" s="8">
        <v>85.07</v>
      </c>
      <c r="DS291" s="8">
        <v>77.12</v>
      </c>
      <c r="DT291" s="8">
        <v>77.12</v>
      </c>
      <c r="DU291" s="8">
        <v>83.43</v>
      </c>
      <c r="DV291" s="8">
        <v>74.92</v>
      </c>
      <c r="DW291" s="8">
        <v>76.28</v>
      </c>
      <c r="DX291" s="8">
        <v>78.430000000000007</v>
      </c>
      <c r="DY291" s="8">
        <v>66.77</v>
      </c>
      <c r="DZ291" s="8">
        <v>66.77</v>
      </c>
      <c r="EA291" s="8">
        <v>82.19</v>
      </c>
      <c r="EB291" s="8">
        <v>93.08</v>
      </c>
      <c r="EC291" s="8">
        <v>80.97</v>
      </c>
      <c r="ED291" s="9">
        <v>0.4</v>
      </c>
      <c r="EE291" s="9">
        <v>0.5</v>
      </c>
      <c r="EF291" s="9">
        <v>0.3</v>
      </c>
      <c r="EG291" s="9">
        <v>1.3</v>
      </c>
      <c r="EH291" s="9">
        <v>0.1</v>
      </c>
      <c r="EI291" s="9">
        <v>-1.1000000000000001</v>
      </c>
      <c r="EJ291" s="9">
        <v>-1.5</v>
      </c>
      <c r="EK291" s="9">
        <v>0.4</v>
      </c>
      <c r="EL291" s="9">
        <v>0.8</v>
      </c>
      <c r="EM291" s="9">
        <v>-0.9</v>
      </c>
      <c r="EN291" s="9">
        <v>1.9</v>
      </c>
      <c r="EO291" s="9">
        <v>0.4</v>
      </c>
      <c r="EP291" s="9">
        <v>0.1</v>
      </c>
      <c r="EQ291" s="9">
        <v>0.6</v>
      </c>
      <c r="ER291" s="9">
        <v>-0.4</v>
      </c>
      <c r="ES291" s="9">
        <v>-0.6</v>
      </c>
      <c r="ET291" s="9">
        <v>-0.2</v>
      </c>
      <c r="EU291" s="9">
        <v>-0.4</v>
      </c>
      <c r="EV291" s="9">
        <v>2</v>
      </c>
      <c r="EW291" s="9">
        <v>2.4</v>
      </c>
      <c r="EX291" s="9">
        <v>1.6</v>
      </c>
      <c r="EY291" s="9">
        <v>0.1</v>
      </c>
      <c r="EZ291" s="9">
        <v>-0.9</v>
      </c>
      <c r="FA291" s="9">
        <v>1.1000000000000001</v>
      </c>
      <c r="FB291" s="9">
        <v>-0.4</v>
      </c>
      <c r="FC291" s="9">
        <v>0.9</v>
      </c>
      <c r="FD291" s="9">
        <v>0.1</v>
      </c>
      <c r="FE291" s="9">
        <v>0.2</v>
      </c>
      <c r="FF291" s="9">
        <v>-0.2</v>
      </c>
      <c r="FG291" s="9">
        <v>0.8</v>
      </c>
      <c r="FH291" s="9">
        <v>-0.5</v>
      </c>
      <c r="FI291" s="9">
        <v>0.4</v>
      </c>
      <c r="FJ291" s="9">
        <v>0.1</v>
      </c>
      <c r="FK291" s="9">
        <v>0.8</v>
      </c>
      <c r="FL291" s="9">
        <v>1.3</v>
      </c>
      <c r="FM291" s="9">
        <v>1</v>
      </c>
      <c r="FN291" s="9">
        <v>0.3</v>
      </c>
      <c r="FO291" s="9">
        <v>1.3</v>
      </c>
      <c r="FP291" s="9">
        <v>0.9</v>
      </c>
      <c r="FQ291" s="9">
        <v>1.8</v>
      </c>
      <c r="FR291" s="9">
        <v>1.8</v>
      </c>
      <c r="FS291" s="9">
        <v>0.2</v>
      </c>
      <c r="FT291" s="9">
        <v>0.3</v>
      </c>
      <c r="FU291" s="9">
        <v>1.5</v>
      </c>
      <c r="FV291" s="9">
        <v>-0.3</v>
      </c>
      <c r="FW291" s="9">
        <v>0.2</v>
      </c>
      <c r="FX291" s="9">
        <v>-1.1000000000000001</v>
      </c>
      <c r="FY291" s="9">
        <v>-2.6</v>
      </c>
      <c r="FZ291" s="9">
        <v>-0.6</v>
      </c>
      <c r="GA291" s="9">
        <v>-0.8</v>
      </c>
      <c r="GB291" s="9">
        <v>0.9</v>
      </c>
      <c r="GC291" s="9">
        <v>1</v>
      </c>
      <c r="GD291" s="9">
        <v>0.2</v>
      </c>
      <c r="GE291" s="9">
        <v>0.4</v>
      </c>
      <c r="GF291" s="9">
        <v>0.2</v>
      </c>
      <c r="GG291" s="9">
        <v>0.2</v>
      </c>
      <c r="GH291" s="9">
        <v>0.1</v>
      </c>
      <c r="GI291" s="9">
        <v>0.1</v>
      </c>
      <c r="GJ291" s="9">
        <v>1.5</v>
      </c>
      <c r="GK291" s="9">
        <v>0.9</v>
      </c>
      <c r="GL291" s="9">
        <v>2.2999999999999998</v>
      </c>
      <c r="GM291" s="9">
        <v>0.8</v>
      </c>
      <c r="GN291" s="9">
        <v>1.3</v>
      </c>
      <c r="GO291" s="9">
        <v>0.5</v>
      </c>
      <c r="GP291" s="9">
        <v>1.1000000000000001</v>
      </c>
      <c r="GQ291" s="9">
        <v>-1.2</v>
      </c>
      <c r="GR291" s="9">
        <v>1.5</v>
      </c>
      <c r="GS291" s="9">
        <v>1.8</v>
      </c>
      <c r="GT291" s="9">
        <v>0.3</v>
      </c>
      <c r="GU291" s="9">
        <v>0.3</v>
      </c>
      <c r="GV291" s="9">
        <v>0.3</v>
      </c>
      <c r="GW291" s="9">
        <v>1</v>
      </c>
      <c r="GX291" s="9">
        <v>2</v>
      </c>
      <c r="GY291" s="9">
        <v>0.7</v>
      </c>
      <c r="GZ291" s="9">
        <v>0.9</v>
      </c>
      <c r="HA291" s="9">
        <v>0.1</v>
      </c>
      <c r="HB291" s="9">
        <v>-0.4</v>
      </c>
      <c r="HC291" s="9">
        <v>-0.2</v>
      </c>
      <c r="HD291" s="9">
        <v>-0.1</v>
      </c>
      <c r="HE291" s="9">
        <v>-0.6</v>
      </c>
      <c r="HF291" s="9">
        <v>-4.5999999999999996</v>
      </c>
      <c r="HG291" s="9">
        <v>-11.7</v>
      </c>
      <c r="HH291" s="9">
        <v>1.2</v>
      </c>
      <c r="HI291" s="9">
        <v>1.6</v>
      </c>
      <c r="HJ291" s="9">
        <v>-0.4</v>
      </c>
      <c r="HK291" s="9">
        <v>-1</v>
      </c>
      <c r="HL291" s="9">
        <v>-1.1000000000000001</v>
      </c>
      <c r="HM291" s="9">
        <v>-0.1</v>
      </c>
      <c r="HN291" s="9">
        <v>-0.3</v>
      </c>
      <c r="HO291" s="9">
        <v>-0.3</v>
      </c>
      <c r="HP291" s="9">
        <v>0.2</v>
      </c>
      <c r="HQ291" s="9">
        <v>0.8</v>
      </c>
      <c r="HR291" s="9">
        <v>0.7</v>
      </c>
      <c r="HS291" s="9">
        <v>-0.2</v>
      </c>
      <c r="HT291" s="9">
        <v>-0.8</v>
      </c>
      <c r="HU291" s="9">
        <v>1.5</v>
      </c>
      <c r="HV291" s="9">
        <v>0.6</v>
      </c>
      <c r="HW291" s="9">
        <v>1.9</v>
      </c>
      <c r="HX291" s="9">
        <v>0.9</v>
      </c>
      <c r="HY291" s="9">
        <v>0.9</v>
      </c>
      <c r="HZ291" s="9">
        <v>-1.4</v>
      </c>
      <c r="IA291" s="9">
        <v>-1.4</v>
      </c>
      <c r="IB291" s="9">
        <v>3.2</v>
      </c>
      <c r="IC291" s="9">
        <v>-1.5</v>
      </c>
      <c r="ID291" s="9">
        <v>1.6</v>
      </c>
      <c r="IE291" s="9">
        <v>0.2</v>
      </c>
      <c r="IF291" s="9">
        <v>-1.8</v>
      </c>
      <c r="IG291" s="9">
        <v>3.5</v>
      </c>
      <c r="IH291" s="9">
        <v>-0.9</v>
      </c>
      <c r="II291" s="9">
        <v>-1.3</v>
      </c>
      <c r="IJ291" s="9">
        <v>-0.7</v>
      </c>
      <c r="IK291" s="9">
        <v>3.4</v>
      </c>
      <c r="IL291" s="9">
        <v>2.4</v>
      </c>
      <c r="IM291" s="9">
        <v>4.2</v>
      </c>
      <c r="IN291" s="9">
        <v>0.2</v>
      </c>
      <c r="IO291" s="9">
        <v>1.3</v>
      </c>
      <c r="IP291" s="9">
        <v>-2.9</v>
      </c>
      <c r="IQ291" s="9">
        <v>-0.2</v>
      </c>
    </row>
    <row r="292" spans="1:251" x14ac:dyDescent="0.2">
      <c r="A292" s="10">
        <v>43435</v>
      </c>
      <c r="B292" s="8">
        <v>79.239999999999995</v>
      </c>
      <c r="C292" s="8">
        <v>77.48</v>
      </c>
      <c r="D292" s="8">
        <v>75.790000000000006</v>
      </c>
      <c r="E292" s="8">
        <v>74.75</v>
      </c>
      <c r="F292" s="8">
        <v>75.89</v>
      </c>
      <c r="G292" s="8">
        <v>78.819999999999993</v>
      </c>
      <c r="H292" s="8">
        <v>76.7</v>
      </c>
      <c r="I292" s="8">
        <v>78.150000000000006</v>
      </c>
      <c r="J292" s="8">
        <v>70.88</v>
      </c>
      <c r="K292" s="8">
        <v>77.790000000000006</v>
      </c>
      <c r="L292" s="8">
        <v>77.95</v>
      </c>
      <c r="M292" s="8">
        <v>83.5</v>
      </c>
      <c r="N292" s="8">
        <v>77.790000000000006</v>
      </c>
      <c r="O292" s="8">
        <v>81.98</v>
      </c>
      <c r="P292" s="8">
        <v>74.27</v>
      </c>
      <c r="Q292" s="8">
        <v>72.8</v>
      </c>
      <c r="R292" s="8">
        <v>74.12</v>
      </c>
      <c r="S292" s="8">
        <v>76.09</v>
      </c>
      <c r="T292" s="8">
        <v>80.48</v>
      </c>
      <c r="U292" s="8">
        <v>82.03</v>
      </c>
      <c r="V292" s="8">
        <v>78.59</v>
      </c>
      <c r="W292" s="8">
        <v>75.319999999999993</v>
      </c>
      <c r="X292" s="8">
        <v>63.36</v>
      </c>
      <c r="Y292" s="8">
        <v>81.67</v>
      </c>
      <c r="Z292" s="8">
        <v>80.67</v>
      </c>
      <c r="AA292" s="8">
        <v>67.400000000000006</v>
      </c>
      <c r="AB292" s="8">
        <v>74.260000000000005</v>
      </c>
      <c r="AC292" s="8">
        <v>80.02</v>
      </c>
      <c r="AD292" s="8">
        <v>75.23</v>
      </c>
      <c r="AE292" s="8">
        <v>73.45</v>
      </c>
      <c r="AF292" s="8">
        <v>75.739999999999995</v>
      </c>
      <c r="AG292" s="8">
        <v>78.510000000000005</v>
      </c>
      <c r="AH292" s="8">
        <v>79.77</v>
      </c>
      <c r="AI292" s="8">
        <v>76.91</v>
      </c>
      <c r="AJ292" s="8">
        <v>68.95</v>
      </c>
      <c r="AK292" s="8">
        <v>83.23</v>
      </c>
      <c r="AL292" s="8">
        <v>78.040000000000006</v>
      </c>
      <c r="AM292" s="8">
        <v>91.3</v>
      </c>
      <c r="AN292" s="8">
        <v>79.28</v>
      </c>
      <c r="AO292" s="8">
        <v>50.47</v>
      </c>
      <c r="AP292" s="8">
        <v>50.47</v>
      </c>
      <c r="AQ292" s="8">
        <v>92.77</v>
      </c>
      <c r="AR292" s="8">
        <v>99</v>
      </c>
      <c r="AS292" s="8">
        <v>101.47</v>
      </c>
      <c r="AT292" s="8">
        <v>99.61</v>
      </c>
      <c r="AU292" s="8">
        <v>93.36</v>
      </c>
      <c r="AV292" s="8">
        <v>92.84</v>
      </c>
      <c r="AW292" s="8">
        <v>92.64</v>
      </c>
      <c r="AX292" s="8">
        <v>92.46</v>
      </c>
      <c r="AY292" s="8">
        <v>94.83</v>
      </c>
      <c r="AZ292" s="8">
        <v>79.23</v>
      </c>
      <c r="BA292" s="8">
        <v>79.69</v>
      </c>
      <c r="BB292" s="8">
        <v>75.7</v>
      </c>
      <c r="BC292" s="8">
        <v>77.08</v>
      </c>
      <c r="BD292" s="8">
        <v>82.09</v>
      </c>
      <c r="BE292" s="8">
        <v>82.09</v>
      </c>
      <c r="BF292" s="8">
        <v>70.63</v>
      </c>
      <c r="BG292" s="8">
        <v>70.63</v>
      </c>
      <c r="BH292" s="8">
        <v>76.56</v>
      </c>
      <c r="BI292" s="8">
        <v>78.33</v>
      </c>
      <c r="BJ292" s="8">
        <v>74.3</v>
      </c>
      <c r="BK292" s="8">
        <v>84.98</v>
      </c>
      <c r="BL292" s="8">
        <v>88.49</v>
      </c>
      <c r="BM292" s="8">
        <v>92.86</v>
      </c>
      <c r="BN292" s="8">
        <v>66.790000000000006</v>
      </c>
      <c r="BO292" s="8">
        <v>83.02</v>
      </c>
      <c r="BP292" s="8">
        <v>82.55</v>
      </c>
      <c r="BQ292" s="8">
        <v>83.43</v>
      </c>
      <c r="BR292" s="8">
        <v>78.489999999999995</v>
      </c>
      <c r="BS292" s="8">
        <v>91.82</v>
      </c>
      <c r="BT292" s="8">
        <v>91.82</v>
      </c>
      <c r="BU292" s="8">
        <v>93.64</v>
      </c>
      <c r="BV292" s="8">
        <v>91.48</v>
      </c>
      <c r="BW292" s="8">
        <v>94.81</v>
      </c>
      <c r="BX292" s="8">
        <v>103.58</v>
      </c>
      <c r="BY292" s="8">
        <v>85.71</v>
      </c>
      <c r="BZ292" s="8">
        <v>83.56</v>
      </c>
      <c r="CA292" s="8">
        <v>81.16</v>
      </c>
      <c r="CB292" s="8">
        <v>88.6</v>
      </c>
      <c r="CC292" s="8">
        <v>80.62</v>
      </c>
      <c r="CD292" s="8">
        <v>77.12</v>
      </c>
      <c r="CE292" s="8">
        <v>82.08</v>
      </c>
      <c r="CF292" s="8">
        <v>76.290000000000006</v>
      </c>
      <c r="CG292" s="8">
        <v>76.22</v>
      </c>
      <c r="CH292" s="8">
        <v>77.180000000000007</v>
      </c>
      <c r="CI292" s="8">
        <v>90.78</v>
      </c>
      <c r="CJ292" s="8">
        <v>90.47</v>
      </c>
      <c r="CK292" s="8">
        <v>93.12</v>
      </c>
      <c r="CL292" s="8">
        <v>74.39</v>
      </c>
      <c r="CM292" s="8">
        <v>73.3</v>
      </c>
      <c r="CN292" s="8">
        <v>83.34</v>
      </c>
      <c r="CO292" s="8">
        <v>80.81</v>
      </c>
      <c r="CP292" s="8">
        <v>80.459999999999994</v>
      </c>
      <c r="CQ292" s="8">
        <v>82.44</v>
      </c>
      <c r="CR292" s="8">
        <v>78.42</v>
      </c>
      <c r="CS292" s="8">
        <v>79.430000000000007</v>
      </c>
      <c r="CT292" s="8">
        <v>77.010000000000005</v>
      </c>
      <c r="CU292" s="8">
        <v>84.92</v>
      </c>
      <c r="CV292" s="8">
        <v>90.07</v>
      </c>
      <c r="CW292" s="8">
        <v>90.07</v>
      </c>
      <c r="CX292" s="8">
        <v>102.2</v>
      </c>
      <c r="CY292" s="8">
        <v>102.2</v>
      </c>
      <c r="CZ292" s="8">
        <v>74.849999999999994</v>
      </c>
      <c r="DA292" s="8">
        <v>103.73</v>
      </c>
      <c r="DB292" s="8">
        <v>83.8</v>
      </c>
      <c r="DC292" s="8">
        <v>92.41</v>
      </c>
      <c r="DD292" s="8">
        <v>107.26</v>
      </c>
      <c r="DE292" s="8">
        <v>75</v>
      </c>
      <c r="DF292" s="8">
        <v>82.57</v>
      </c>
      <c r="DG292" s="8">
        <v>99.97</v>
      </c>
      <c r="DH292" s="8">
        <v>76.22</v>
      </c>
      <c r="DI292" s="8">
        <v>77.23</v>
      </c>
      <c r="DJ292" s="8">
        <v>76.55</v>
      </c>
      <c r="DK292" s="8">
        <v>69.239999999999995</v>
      </c>
      <c r="DL292" s="8">
        <v>83.72</v>
      </c>
      <c r="DM292" s="8">
        <v>88.05</v>
      </c>
      <c r="DN292" s="8">
        <v>99.23</v>
      </c>
      <c r="DO292" s="8">
        <v>75.260000000000005</v>
      </c>
      <c r="DP292" s="8">
        <v>70</v>
      </c>
      <c r="DQ292" s="8">
        <v>82.22</v>
      </c>
      <c r="DR292" s="8">
        <v>85.69</v>
      </c>
      <c r="DS292" s="8">
        <v>77.14</v>
      </c>
      <c r="DT292" s="8">
        <v>77.14</v>
      </c>
      <c r="DU292" s="8">
        <v>83.55</v>
      </c>
      <c r="DV292" s="8">
        <v>74.92</v>
      </c>
      <c r="DW292" s="8">
        <v>76.28</v>
      </c>
      <c r="DX292" s="8">
        <v>78.66</v>
      </c>
      <c r="DY292" s="8">
        <v>67.209999999999994</v>
      </c>
      <c r="DZ292" s="8">
        <v>67.209999999999994</v>
      </c>
      <c r="EA292" s="8">
        <v>82.34</v>
      </c>
      <c r="EB292" s="8">
        <v>93.15</v>
      </c>
      <c r="EC292" s="8">
        <v>81.14</v>
      </c>
      <c r="ED292" s="9">
        <v>0.5</v>
      </c>
      <c r="EE292" s="9">
        <v>0.9</v>
      </c>
      <c r="EF292" s="9">
        <v>1.1000000000000001</v>
      </c>
      <c r="EG292" s="9">
        <v>0.6</v>
      </c>
      <c r="EH292" s="9">
        <v>1.1000000000000001</v>
      </c>
      <c r="EI292" s="9">
        <v>4</v>
      </c>
      <c r="EJ292" s="9">
        <v>0.5</v>
      </c>
      <c r="EK292" s="9">
        <v>1.6</v>
      </c>
      <c r="EL292" s="9">
        <v>1.9</v>
      </c>
      <c r="EM292" s="9">
        <v>0.9</v>
      </c>
      <c r="EN292" s="9">
        <v>6.9</v>
      </c>
      <c r="EO292" s="9">
        <v>1</v>
      </c>
      <c r="EP292" s="9">
        <v>0.6</v>
      </c>
      <c r="EQ292" s="9">
        <v>0.6</v>
      </c>
      <c r="ER292" s="9">
        <v>0.9</v>
      </c>
      <c r="ES292" s="9">
        <v>2</v>
      </c>
      <c r="ET292" s="9">
        <v>0.2</v>
      </c>
      <c r="EU292" s="9">
        <v>0.2</v>
      </c>
      <c r="EV292" s="9">
        <v>1.7</v>
      </c>
      <c r="EW292" s="9">
        <v>5</v>
      </c>
      <c r="EX292" s="9">
        <v>-1.2</v>
      </c>
      <c r="EY292" s="9">
        <v>0.6</v>
      </c>
      <c r="EZ292" s="9">
        <v>0.5</v>
      </c>
      <c r="FA292" s="9">
        <v>0.4</v>
      </c>
      <c r="FB292" s="9">
        <v>0.1</v>
      </c>
      <c r="FC292" s="9">
        <v>1.7</v>
      </c>
      <c r="FD292" s="9">
        <v>-0.2</v>
      </c>
      <c r="FE292" s="9">
        <v>1.8</v>
      </c>
      <c r="FF292" s="9">
        <v>-0.1</v>
      </c>
      <c r="FG292" s="9">
        <v>1.3</v>
      </c>
      <c r="FH292" s="9">
        <v>-0.5</v>
      </c>
      <c r="FI292" s="9">
        <v>0.6</v>
      </c>
      <c r="FJ292" s="9">
        <v>0.6</v>
      </c>
      <c r="FK292" s="9">
        <v>0.6</v>
      </c>
      <c r="FL292" s="9">
        <v>3.1</v>
      </c>
      <c r="FM292" s="9">
        <v>-0.8</v>
      </c>
      <c r="FN292" s="9">
        <v>-0.1</v>
      </c>
      <c r="FO292" s="9">
        <v>-1.9</v>
      </c>
      <c r="FP292" s="9">
        <v>0</v>
      </c>
      <c r="FQ292" s="9">
        <v>9.4</v>
      </c>
      <c r="FR292" s="9">
        <v>9.4</v>
      </c>
      <c r="FS292" s="9">
        <v>-0.2</v>
      </c>
      <c r="FT292" s="9">
        <v>0.4</v>
      </c>
      <c r="FU292" s="9">
        <v>2.6</v>
      </c>
      <c r="FV292" s="9">
        <v>-1</v>
      </c>
      <c r="FW292" s="9">
        <v>1.7</v>
      </c>
      <c r="FX292" s="9">
        <v>-2.2999999999999998</v>
      </c>
      <c r="FY292" s="9">
        <v>0.7</v>
      </c>
      <c r="FZ292" s="9">
        <v>-3.5</v>
      </c>
      <c r="GA292" s="9">
        <v>-2.4</v>
      </c>
      <c r="GB292" s="9">
        <v>-0.4</v>
      </c>
      <c r="GC292" s="9">
        <v>-0.4</v>
      </c>
      <c r="GD292" s="9">
        <v>0.1</v>
      </c>
      <c r="GE292" s="9">
        <v>0.3</v>
      </c>
      <c r="GF292" s="9">
        <v>0.2</v>
      </c>
      <c r="GG292" s="9">
        <v>0.2</v>
      </c>
      <c r="GH292" s="9">
        <v>0.4</v>
      </c>
      <c r="GI292" s="9">
        <v>0.4</v>
      </c>
      <c r="GJ292" s="9">
        <v>0.4</v>
      </c>
      <c r="GK292" s="9">
        <v>0.6</v>
      </c>
      <c r="GL292" s="9">
        <v>0</v>
      </c>
      <c r="GM292" s="9">
        <v>0.1</v>
      </c>
      <c r="GN292" s="9">
        <v>0</v>
      </c>
      <c r="GO292" s="9">
        <v>0.8</v>
      </c>
      <c r="GP292" s="9">
        <v>-1.5</v>
      </c>
      <c r="GQ292" s="9">
        <v>0.5</v>
      </c>
      <c r="GR292" s="9">
        <v>1.5</v>
      </c>
      <c r="GS292" s="9">
        <v>1.8</v>
      </c>
      <c r="GT292" s="9">
        <v>0</v>
      </c>
      <c r="GU292" s="9">
        <v>-1.7</v>
      </c>
      <c r="GV292" s="9">
        <v>-1.7</v>
      </c>
      <c r="GW292" s="9">
        <v>0.6</v>
      </c>
      <c r="GX292" s="9">
        <v>1.9</v>
      </c>
      <c r="GY292" s="9">
        <v>2</v>
      </c>
      <c r="GZ292" s="9">
        <v>-1</v>
      </c>
      <c r="HA292" s="9">
        <v>-0.3</v>
      </c>
      <c r="HB292" s="9">
        <v>-0.2</v>
      </c>
      <c r="HC292" s="9">
        <v>2</v>
      </c>
      <c r="HD292" s="9">
        <v>-0.9</v>
      </c>
      <c r="HE292" s="9">
        <v>-0.1</v>
      </c>
      <c r="HF292" s="9">
        <v>0.9</v>
      </c>
      <c r="HG292" s="9">
        <v>1.4</v>
      </c>
      <c r="HH292" s="9">
        <v>0.7</v>
      </c>
      <c r="HI292" s="9">
        <v>0.3</v>
      </c>
      <c r="HJ292" s="9">
        <v>-0.3</v>
      </c>
      <c r="HK292" s="9">
        <v>-1.7</v>
      </c>
      <c r="HL292" s="9">
        <v>-1.9</v>
      </c>
      <c r="HM292" s="9">
        <v>0.1</v>
      </c>
      <c r="HN292" s="9">
        <v>0</v>
      </c>
      <c r="HO292" s="9">
        <v>-0.1</v>
      </c>
      <c r="HP292" s="9">
        <v>0.7</v>
      </c>
      <c r="HQ292" s="9">
        <v>-0.6</v>
      </c>
      <c r="HR292" s="9">
        <v>-0.6</v>
      </c>
      <c r="HS292" s="9">
        <v>-0.3</v>
      </c>
      <c r="HT292" s="9">
        <v>2</v>
      </c>
      <c r="HU292" s="9">
        <v>-2.5</v>
      </c>
      <c r="HV292" s="9">
        <v>0.6</v>
      </c>
      <c r="HW292" s="9">
        <v>0.1</v>
      </c>
      <c r="HX292" s="9">
        <v>0</v>
      </c>
      <c r="HY292" s="9">
        <v>0</v>
      </c>
      <c r="HZ292" s="9">
        <v>-1.4</v>
      </c>
      <c r="IA292" s="9">
        <v>-1.4</v>
      </c>
      <c r="IB292" s="9">
        <v>1.2</v>
      </c>
      <c r="IC292" s="9">
        <v>-1.5</v>
      </c>
      <c r="ID292" s="9">
        <v>1.2</v>
      </c>
      <c r="IE292" s="9">
        <v>-2.1</v>
      </c>
      <c r="IF292" s="9">
        <v>-3.2</v>
      </c>
      <c r="IG292" s="9">
        <v>-0.4</v>
      </c>
      <c r="IH292" s="9">
        <v>-0.1</v>
      </c>
      <c r="II292" s="9">
        <v>-2</v>
      </c>
      <c r="IJ292" s="9">
        <v>0.9</v>
      </c>
      <c r="IK292" s="9">
        <v>2.6</v>
      </c>
      <c r="IL292" s="9">
        <v>6.2</v>
      </c>
      <c r="IM292" s="9">
        <v>-0.7</v>
      </c>
      <c r="IN292" s="9">
        <v>0.7</v>
      </c>
      <c r="IO292" s="9">
        <v>-1.3</v>
      </c>
      <c r="IP292" s="9">
        <v>1.1000000000000001</v>
      </c>
      <c r="IQ292" s="9">
        <v>1.1000000000000001</v>
      </c>
    </row>
    <row r="293" spans="1:251" x14ac:dyDescent="0.2">
      <c r="A293" s="10">
        <v>43525</v>
      </c>
      <c r="B293" s="8">
        <v>79.23</v>
      </c>
      <c r="C293" s="8">
        <v>78.540000000000006</v>
      </c>
      <c r="D293" s="8">
        <v>76.5</v>
      </c>
      <c r="E293" s="8">
        <v>76.13</v>
      </c>
      <c r="F293" s="8">
        <v>76.12</v>
      </c>
      <c r="G293" s="8">
        <v>78.84</v>
      </c>
      <c r="H293" s="8">
        <v>77.53</v>
      </c>
      <c r="I293" s="8">
        <v>79.61</v>
      </c>
      <c r="J293" s="8">
        <v>72.97</v>
      </c>
      <c r="K293" s="8">
        <v>78.42</v>
      </c>
      <c r="L293" s="8">
        <v>80.790000000000006</v>
      </c>
      <c r="M293" s="8">
        <v>85.93</v>
      </c>
      <c r="N293" s="8">
        <v>78.349999999999994</v>
      </c>
      <c r="O293" s="8">
        <v>82.21</v>
      </c>
      <c r="P293" s="8">
        <v>74.44</v>
      </c>
      <c r="Q293" s="8">
        <v>72.5</v>
      </c>
      <c r="R293" s="8">
        <v>74.569999999999993</v>
      </c>
      <c r="S293" s="8">
        <v>76.53</v>
      </c>
      <c r="T293" s="8">
        <v>84.38</v>
      </c>
      <c r="U293" s="8">
        <v>83.53</v>
      </c>
      <c r="V293" s="8">
        <v>84.61</v>
      </c>
      <c r="W293" s="8">
        <v>75.569999999999993</v>
      </c>
      <c r="X293" s="8">
        <v>63.5</v>
      </c>
      <c r="Y293" s="8">
        <v>81.540000000000006</v>
      </c>
      <c r="Z293" s="8">
        <v>81.87</v>
      </c>
      <c r="AA293" s="8">
        <v>66.97</v>
      </c>
      <c r="AB293" s="8">
        <v>74.900000000000006</v>
      </c>
      <c r="AC293" s="8">
        <v>79.48</v>
      </c>
      <c r="AD293" s="8">
        <v>76.38</v>
      </c>
      <c r="AE293" s="8">
        <v>73.430000000000007</v>
      </c>
      <c r="AF293" s="8">
        <v>77.25</v>
      </c>
      <c r="AG293" s="8">
        <v>78.91</v>
      </c>
      <c r="AH293" s="8">
        <v>79.89</v>
      </c>
      <c r="AI293" s="8">
        <v>77.64</v>
      </c>
      <c r="AJ293" s="8">
        <v>69.17</v>
      </c>
      <c r="AK293" s="8">
        <v>84.05</v>
      </c>
      <c r="AL293" s="8">
        <v>78.97</v>
      </c>
      <c r="AM293" s="8">
        <v>91.96</v>
      </c>
      <c r="AN293" s="8">
        <v>80.16</v>
      </c>
      <c r="AO293" s="8">
        <v>50.14</v>
      </c>
      <c r="AP293" s="8">
        <v>50.14</v>
      </c>
      <c r="AQ293" s="8">
        <v>91.52</v>
      </c>
      <c r="AR293" s="8">
        <v>97.24</v>
      </c>
      <c r="AS293" s="8">
        <v>102.47</v>
      </c>
      <c r="AT293" s="8">
        <v>96.73</v>
      </c>
      <c r="AU293" s="8">
        <v>90.94</v>
      </c>
      <c r="AV293" s="8">
        <v>92.29</v>
      </c>
      <c r="AW293" s="8">
        <v>92.04</v>
      </c>
      <c r="AX293" s="8">
        <v>92.35</v>
      </c>
      <c r="AY293" s="8">
        <v>92.54</v>
      </c>
      <c r="AZ293" s="8">
        <v>78.66</v>
      </c>
      <c r="BA293" s="8">
        <v>78.92</v>
      </c>
      <c r="BB293" s="8">
        <v>76.23</v>
      </c>
      <c r="BC293" s="8">
        <v>77.09</v>
      </c>
      <c r="BD293" s="8">
        <v>82.15</v>
      </c>
      <c r="BE293" s="8">
        <v>82.15</v>
      </c>
      <c r="BF293" s="8">
        <v>70.540000000000006</v>
      </c>
      <c r="BG293" s="8">
        <v>70.540000000000006</v>
      </c>
      <c r="BH293" s="8">
        <v>76.87</v>
      </c>
      <c r="BI293" s="8">
        <v>78.87</v>
      </c>
      <c r="BJ293" s="8">
        <v>74.3</v>
      </c>
      <c r="BK293" s="8">
        <v>84.88</v>
      </c>
      <c r="BL293" s="8">
        <v>88.49</v>
      </c>
      <c r="BM293" s="8">
        <v>92.36</v>
      </c>
      <c r="BN293" s="8">
        <v>67.38</v>
      </c>
      <c r="BO293" s="8">
        <v>82.68</v>
      </c>
      <c r="BP293" s="8">
        <v>80.94</v>
      </c>
      <c r="BQ293" s="8">
        <v>81.42</v>
      </c>
      <c r="BR293" s="8">
        <v>78.599999999999994</v>
      </c>
      <c r="BS293" s="8">
        <v>89.98</v>
      </c>
      <c r="BT293" s="8">
        <v>89.98</v>
      </c>
      <c r="BU293" s="8">
        <v>92.02</v>
      </c>
      <c r="BV293" s="8">
        <v>90.21</v>
      </c>
      <c r="BW293" s="8">
        <v>93.97</v>
      </c>
      <c r="BX293" s="8">
        <v>99.17</v>
      </c>
      <c r="BY293" s="8">
        <v>85.78</v>
      </c>
      <c r="BZ293" s="8">
        <v>83.28</v>
      </c>
      <c r="CA293" s="8">
        <v>80.349999999999994</v>
      </c>
      <c r="CB293" s="8">
        <v>88.37</v>
      </c>
      <c r="CC293" s="8">
        <v>80.39</v>
      </c>
      <c r="CD293" s="8">
        <v>78.13</v>
      </c>
      <c r="CE293" s="8">
        <v>83.61</v>
      </c>
      <c r="CF293" s="8">
        <v>77.03</v>
      </c>
      <c r="CG293" s="8">
        <v>76.81</v>
      </c>
      <c r="CH293" s="8">
        <v>78.650000000000006</v>
      </c>
      <c r="CI293" s="8">
        <v>94.69</v>
      </c>
      <c r="CJ293" s="8">
        <v>94.94</v>
      </c>
      <c r="CK293" s="8">
        <v>93.06</v>
      </c>
      <c r="CL293" s="8">
        <v>75.37</v>
      </c>
      <c r="CM293" s="8">
        <v>74.28</v>
      </c>
      <c r="CN293" s="8">
        <v>84.24</v>
      </c>
      <c r="CO293" s="8">
        <v>79.37</v>
      </c>
      <c r="CP293" s="8">
        <v>78.86</v>
      </c>
      <c r="CQ293" s="8">
        <v>84.4</v>
      </c>
      <c r="CR293" s="8">
        <v>78.8</v>
      </c>
      <c r="CS293" s="8">
        <v>72.510000000000005</v>
      </c>
      <c r="CT293" s="8">
        <v>77.430000000000007</v>
      </c>
      <c r="CU293" s="8">
        <v>85.4</v>
      </c>
      <c r="CV293" s="8">
        <v>91.09</v>
      </c>
      <c r="CW293" s="8">
        <v>91.09</v>
      </c>
      <c r="CX293" s="8">
        <v>101.64</v>
      </c>
      <c r="CY293" s="8">
        <v>101.64</v>
      </c>
      <c r="CZ293" s="8">
        <v>74.989999999999995</v>
      </c>
      <c r="DA293" s="8">
        <v>103.14</v>
      </c>
      <c r="DB293" s="8">
        <v>82.53</v>
      </c>
      <c r="DC293" s="8">
        <v>90.56</v>
      </c>
      <c r="DD293" s="8">
        <v>105.43</v>
      </c>
      <c r="DE293" s="8">
        <v>73.17</v>
      </c>
      <c r="DF293" s="8">
        <v>82.9</v>
      </c>
      <c r="DG293" s="8">
        <v>103.77</v>
      </c>
      <c r="DH293" s="8">
        <v>75.260000000000005</v>
      </c>
      <c r="DI293" s="8">
        <v>74.930000000000007</v>
      </c>
      <c r="DJ293" s="8">
        <v>73.599999999999994</v>
      </c>
      <c r="DK293" s="8">
        <v>67.78</v>
      </c>
      <c r="DL293" s="8">
        <v>84.19</v>
      </c>
      <c r="DM293" s="8">
        <v>89.41</v>
      </c>
      <c r="DN293" s="8">
        <v>100.99</v>
      </c>
      <c r="DO293" s="8">
        <v>76.400000000000006</v>
      </c>
      <c r="DP293" s="8">
        <v>70.66</v>
      </c>
      <c r="DQ293" s="8">
        <v>81.2</v>
      </c>
      <c r="DR293" s="8">
        <v>85.98</v>
      </c>
      <c r="DS293" s="8">
        <v>79.239999999999995</v>
      </c>
      <c r="DT293" s="8">
        <v>79.239999999999995</v>
      </c>
      <c r="DU293" s="8">
        <v>85.41</v>
      </c>
      <c r="DV293" s="8">
        <v>78.03</v>
      </c>
      <c r="DW293" s="8">
        <v>77.38</v>
      </c>
      <c r="DX293" s="8">
        <v>78.53</v>
      </c>
      <c r="DY293" s="8">
        <v>66.98</v>
      </c>
      <c r="DZ293" s="8">
        <v>66.98</v>
      </c>
      <c r="EA293" s="8">
        <v>82.25</v>
      </c>
      <c r="EB293" s="8">
        <v>93.34</v>
      </c>
      <c r="EC293" s="8">
        <v>81.010000000000005</v>
      </c>
      <c r="ED293" s="9">
        <v>0</v>
      </c>
      <c r="EE293" s="9">
        <v>1.4</v>
      </c>
      <c r="EF293" s="9">
        <v>0.9</v>
      </c>
      <c r="EG293" s="9">
        <v>1.8</v>
      </c>
      <c r="EH293" s="9">
        <v>0.3</v>
      </c>
      <c r="EI293" s="9">
        <v>0</v>
      </c>
      <c r="EJ293" s="9">
        <v>1.1000000000000001</v>
      </c>
      <c r="EK293" s="9">
        <v>1.9</v>
      </c>
      <c r="EL293" s="9">
        <v>2.9</v>
      </c>
      <c r="EM293" s="9">
        <v>0.8</v>
      </c>
      <c r="EN293" s="9">
        <v>3.6</v>
      </c>
      <c r="EO293" s="9">
        <v>2.9</v>
      </c>
      <c r="EP293" s="9">
        <v>0.7</v>
      </c>
      <c r="EQ293" s="9">
        <v>0.3</v>
      </c>
      <c r="ER293" s="9">
        <v>0.2</v>
      </c>
      <c r="ES293" s="9">
        <v>-0.4</v>
      </c>
      <c r="ET293" s="9">
        <v>0.6</v>
      </c>
      <c r="EU293" s="9">
        <v>0.6</v>
      </c>
      <c r="EV293" s="9">
        <v>4.8</v>
      </c>
      <c r="EW293" s="9">
        <v>1.8</v>
      </c>
      <c r="EX293" s="9">
        <v>7.7</v>
      </c>
      <c r="EY293" s="9">
        <v>0.3</v>
      </c>
      <c r="EZ293" s="9">
        <v>0.2</v>
      </c>
      <c r="FA293" s="9">
        <v>-0.2</v>
      </c>
      <c r="FB293" s="9">
        <v>1.5</v>
      </c>
      <c r="FC293" s="9">
        <v>-0.6</v>
      </c>
      <c r="FD293" s="9">
        <v>0.9</v>
      </c>
      <c r="FE293" s="9">
        <v>-0.7</v>
      </c>
      <c r="FF293" s="9">
        <v>1.5</v>
      </c>
      <c r="FG293" s="9">
        <v>0</v>
      </c>
      <c r="FH293" s="9">
        <v>2</v>
      </c>
      <c r="FI293" s="9">
        <v>0.5</v>
      </c>
      <c r="FJ293" s="9">
        <v>0.2</v>
      </c>
      <c r="FK293" s="9">
        <v>0.9</v>
      </c>
      <c r="FL293" s="9">
        <v>0.3</v>
      </c>
      <c r="FM293" s="9">
        <v>1</v>
      </c>
      <c r="FN293" s="9">
        <v>1.2</v>
      </c>
      <c r="FO293" s="9">
        <v>0.7</v>
      </c>
      <c r="FP293" s="9">
        <v>1.1000000000000001</v>
      </c>
      <c r="FQ293" s="9">
        <v>-0.7</v>
      </c>
      <c r="FR293" s="9">
        <v>-0.7</v>
      </c>
      <c r="FS293" s="9">
        <v>-1.3</v>
      </c>
      <c r="FT293" s="9">
        <v>-1.8</v>
      </c>
      <c r="FU293" s="9">
        <v>1</v>
      </c>
      <c r="FV293" s="9">
        <v>-2.9</v>
      </c>
      <c r="FW293" s="9">
        <v>-2.6</v>
      </c>
      <c r="FX293" s="9">
        <v>-0.6</v>
      </c>
      <c r="FY293" s="9">
        <v>-0.6</v>
      </c>
      <c r="FZ293" s="9">
        <v>-0.1</v>
      </c>
      <c r="GA293" s="9">
        <v>-2.4</v>
      </c>
      <c r="GB293" s="9">
        <v>-0.7</v>
      </c>
      <c r="GC293" s="9">
        <v>-1</v>
      </c>
      <c r="GD293" s="9">
        <v>0.7</v>
      </c>
      <c r="GE293" s="9">
        <v>0</v>
      </c>
      <c r="GF293" s="9">
        <v>0.1</v>
      </c>
      <c r="GG293" s="9">
        <v>0.1</v>
      </c>
      <c r="GH293" s="9">
        <v>-0.1</v>
      </c>
      <c r="GI293" s="9">
        <v>-0.1</v>
      </c>
      <c r="GJ293" s="9">
        <v>0.4</v>
      </c>
      <c r="GK293" s="9">
        <v>0.7</v>
      </c>
      <c r="GL293" s="9">
        <v>0</v>
      </c>
      <c r="GM293" s="9">
        <v>-0.1</v>
      </c>
      <c r="GN293" s="9">
        <v>0</v>
      </c>
      <c r="GO293" s="9">
        <v>-0.5</v>
      </c>
      <c r="GP293" s="9">
        <v>0.9</v>
      </c>
      <c r="GQ293" s="9">
        <v>-0.4</v>
      </c>
      <c r="GR293" s="9">
        <v>-2</v>
      </c>
      <c r="GS293" s="9">
        <v>-2.4</v>
      </c>
      <c r="GT293" s="9">
        <v>0.1</v>
      </c>
      <c r="GU293" s="9">
        <v>-2</v>
      </c>
      <c r="GV293" s="9">
        <v>-2</v>
      </c>
      <c r="GW293" s="9">
        <v>-1.7</v>
      </c>
      <c r="GX293" s="9">
        <v>-1.4</v>
      </c>
      <c r="GY293" s="9">
        <v>-0.9</v>
      </c>
      <c r="GZ293" s="9">
        <v>-4.3</v>
      </c>
      <c r="HA293" s="9">
        <v>0.1</v>
      </c>
      <c r="HB293" s="9">
        <v>-0.3</v>
      </c>
      <c r="HC293" s="9">
        <v>-1</v>
      </c>
      <c r="HD293" s="9">
        <v>-0.3</v>
      </c>
      <c r="HE293" s="9">
        <v>-0.3</v>
      </c>
      <c r="HF293" s="9">
        <v>1.3</v>
      </c>
      <c r="HG293" s="9">
        <v>1.9</v>
      </c>
      <c r="HH293" s="9">
        <v>1</v>
      </c>
      <c r="HI293" s="9">
        <v>0.8</v>
      </c>
      <c r="HJ293" s="9">
        <v>1.9</v>
      </c>
      <c r="HK293" s="9">
        <v>4.3</v>
      </c>
      <c r="HL293" s="9">
        <v>4.9000000000000004</v>
      </c>
      <c r="HM293" s="9">
        <v>-0.1</v>
      </c>
      <c r="HN293" s="9">
        <v>1.3</v>
      </c>
      <c r="HO293" s="9">
        <v>1.3</v>
      </c>
      <c r="HP293" s="9">
        <v>1.1000000000000001</v>
      </c>
      <c r="HQ293" s="9">
        <v>-1.8</v>
      </c>
      <c r="HR293" s="9">
        <v>-2</v>
      </c>
      <c r="HS293" s="9">
        <v>2.4</v>
      </c>
      <c r="HT293" s="9">
        <v>0.5</v>
      </c>
      <c r="HU293" s="9">
        <v>-8.6999999999999993</v>
      </c>
      <c r="HV293" s="9">
        <v>0.5</v>
      </c>
      <c r="HW293" s="9">
        <v>0.6</v>
      </c>
      <c r="HX293" s="9">
        <v>1.1000000000000001</v>
      </c>
      <c r="HY293" s="9">
        <v>1.1000000000000001</v>
      </c>
      <c r="HZ293" s="9">
        <v>-0.5</v>
      </c>
      <c r="IA293" s="9">
        <v>-0.5</v>
      </c>
      <c r="IB293" s="9">
        <v>0.2</v>
      </c>
      <c r="IC293" s="9">
        <v>-0.6</v>
      </c>
      <c r="ID293" s="9">
        <v>-1.5</v>
      </c>
      <c r="IE293" s="9">
        <v>-2</v>
      </c>
      <c r="IF293" s="9">
        <v>-1.7</v>
      </c>
      <c r="IG293" s="9">
        <v>-2.4</v>
      </c>
      <c r="IH293" s="9">
        <v>0.4</v>
      </c>
      <c r="II293" s="9">
        <v>3.8</v>
      </c>
      <c r="IJ293" s="9">
        <v>-1.3</v>
      </c>
      <c r="IK293" s="9">
        <v>-3</v>
      </c>
      <c r="IL293" s="9">
        <v>-3.9</v>
      </c>
      <c r="IM293" s="9">
        <v>-2.1</v>
      </c>
      <c r="IN293" s="9">
        <v>0.6</v>
      </c>
      <c r="IO293" s="9">
        <v>1.5</v>
      </c>
      <c r="IP293" s="9">
        <v>1.8</v>
      </c>
      <c r="IQ293" s="9">
        <v>1.5</v>
      </c>
    </row>
    <row r="294" spans="1:251" x14ac:dyDescent="0.2">
      <c r="A294" s="10">
        <v>43617</v>
      </c>
      <c r="B294" s="8">
        <v>79.7</v>
      </c>
      <c r="C294" s="8">
        <v>78.2</v>
      </c>
      <c r="D294" s="8">
        <v>76.66</v>
      </c>
      <c r="E294" s="8">
        <v>76.92</v>
      </c>
      <c r="F294" s="8">
        <v>75.77</v>
      </c>
      <c r="G294" s="8">
        <v>77.959999999999994</v>
      </c>
      <c r="H294" s="8">
        <v>78.37</v>
      </c>
      <c r="I294" s="8">
        <v>79.819999999999993</v>
      </c>
      <c r="J294" s="8">
        <v>73.23</v>
      </c>
      <c r="K294" s="8">
        <v>78.7</v>
      </c>
      <c r="L294" s="8">
        <v>81.23</v>
      </c>
      <c r="M294" s="8">
        <v>85.76</v>
      </c>
      <c r="N294" s="8">
        <v>79.08</v>
      </c>
      <c r="O294" s="8">
        <v>82</v>
      </c>
      <c r="P294" s="8">
        <v>75.239999999999995</v>
      </c>
      <c r="Q294" s="8">
        <v>73.900000000000006</v>
      </c>
      <c r="R294" s="8">
        <v>74.69</v>
      </c>
      <c r="S294" s="8">
        <v>77.260000000000005</v>
      </c>
      <c r="T294" s="8">
        <v>82.01</v>
      </c>
      <c r="U294" s="8">
        <v>80.14</v>
      </c>
      <c r="V294" s="8">
        <v>83.15</v>
      </c>
      <c r="W294" s="8">
        <v>74.91</v>
      </c>
      <c r="X294" s="8">
        <v>64.150000000000006</v>
      </c>
      <c r="Y294" s="8">
        <v>82.01</v>
      </c>
      <c r="Z294" s="8">
        <v>80.459999999999994</v>
      </c>
      <c r="AA294" s="8">
        <v>66.55</v>
      </c>
      <c r="AB294" s="8">
        <v>74.56</v>
      </c>
      <c r="AC294" s="8">
        <v>77.900000000000006</v>
      </c>
      <c r="AD294" s="8">
        <v>76.25</v>
      </c>
      <c r="AE294" s="8">
        <v>72</v>
      </c>
      <c r="AF294" s="8">
        <v>77.5</v>
      </c>
      <c r="AG294" s="8">
        <v>78.89</v>
      </c>
      <c r="AH294" s="8">
        <v>80.08</v>
      </c>
      <c r="AI294" s="8">
        <v>77.37</v>
      </c>
      <c r="AJ294" s="8">
        <v>69.88</v>
      </c>
      <c r="AK294" s="8">
        <v>84.12</v>
      </c>
      <c r="AL294" s="8">
        <v>79.150000000000006</v>
      </c>
      <c r="AM294" s="8">
        <v>91.56</v>
      </c>
      <c r="AN294" s="8">
        <v>80.55</v>
      </c>
      <c r="AO294" s="8">
        <v>51.35</v>
      </c>
      <c r="AP294" s="8">
        <v>51.35</v>
      </c>
      <c r="AQ294" s="8">
        <v>92.97</v>
      </c>
      <c r="AR294" s="8">
        <v>99.56</v>
      </c>
      <c r="AS294" s="8">
        <v>102.14</v>
      </c>
      <c r="AT294" s="8">
        <v>100.74</v>
      </c>
      <c r="AU294" s="8">
        <v>91.91</v>
      </c>
      <c r="AV294" s="8">
        <v>93.8</v>
      </c>
      <c r="AW294" s="8">
        <v>93.43</v>
      </c>
      <c r="AX294" s="8">
        <v>94.19</v>
      </c>
      <c r="AY294" s="8">
        <v>92.9</v>
      </c>
      <c r="AZ294" s="8">
        <v>78.27</v>
      </c>
      <c r="BA294" s="8">
        <v>78.41</v>
      </c>
      <c r="BB294" s="8">
        <v>76.489999999999995</v>
      </c>
      <c r="BC294" s="8">
        <v>76.959999999999994</v>
      </c>
      <c r="BD294" s="8">
        <v>82.19</v>
      </c>
      <c r="BE294" s="8">
        <v>82.19</v>
      </c>
      <c r="BF294" s="8">
        <v>70.430000000000007</v>
      </c>
      <c r="BG294" s="8">
        <v>70.430000000000007</v>
      </c>
      <c r="BH294" s="8">
        <v>77.25</v>
      </c>
      <c r="BI294" s="8">
        <v>79.56</v>
      </c>
      <c r="BJ294" s="8">
        <v>74.3</v>
      </c>
      <c r="BK294" s="8">
        <v>83.98</v>
      </c>
      <c r="BL294" s="8">
        <v>88.49</v>
      </c>
      <c r="BM294" s="8">
        <v>90.81</v>
      </c>
      <c r="BN294" s="8">
        <v>67.02</v>
      </c>
      <c r="BO294" s="8">
        <v>83.26</v>
      </c>
      <c r="BP294" s="8">
        <v>82.15</v>
      </c>
      <c r="BQ294" s="8">
        <v>82.67</v>
      </c>
      <c r="BR294" s="8">
        <v>79.599999999999994</v>
      </c>
      <c r="BS294" s="8">
        <v>92.68</v>
      </c>
      <c r="BT294" s="8">
        <v>92.68</v>
      </c>
      <c r="BU294" s="8">
        <v>92.7</v>
      </c>
      <c r="BV294" s="8">
        <v>92.45</v>
      </c>
      <c r="BW294" s="8">
        <v>92.54</v>
      </c>
      <c r="BX294" s="8">
        <v>99.43</v>
      </c>
      <c r="BY294" s="8">
        <v>86.89</v>
      </c>
      <c r="BZ294" s="8">
        <v>83.63</v>
      </c>
      <c r="CA294" s="8">
        <v>80.52</v>
      </c>
      <c r="CB294" s="8">
        <v>88.71</v>
      </c>
      <c r="CC294" s="8">
        <v>80.790000000000006</v>
      </c>
      <c r="CD294" s="8">
        <v>78.27</v>
      </c>
      <c r="CE294" s="8">
        <v>84.51</v>
      </c>
      <c r="CF294" s="8">
        <v>77.03</v>
      </c>
      <c r="CG294" s="8">
        <v>75.900000000000006</v>
      </c>
      <c r="CH294" s="8">
        <v>80.069999999999993</v>
      </c>
      <c r="CI294" s="8">
        <v>94.56</v>
      </c>
      <c r="CJ294" s="8">
        <v>94.79</v>
      </c>
      <c r="CK294" s="8">
        <v>93</v>
      </c>
      <c r="CL294" s="8">
        <v>77.099999999999994</v>
      </c>
      <c r="CM294" s="8">
        <v>76.2</v>
      </c>
      <c r="CN294" s="8">
        <v>84.45</v>
      </c>
      <c r="CO294" s="8">
        <v>82.08</v>
      </c>
      <c r="CP294" s="8">
        <v>81.760000000000005</v>
      </c>
      <c r="CQ294" s="8">
        <v>85.56</v>
      </c>
      <c r="CR294" s="8">
        <v>78.62</v>
      </c>
      <c r="CS294" s="8">
        <v>79.91</v>
      </c>
      <c r="CT294" s="8">
        <v>78.23</v>
      </c>
      <c r="CU294" s="8">
        <v>85.53</v>
      </c>
      <c r="CV294" s="8">
        <v>90.92</v>
      </c>
      <c r="CW294" s="8">
        <v>90.92</v>
      </c>
      <c r="CX294" s="8">
        <v>100.45</v>
      </c>
      <c r="CY294" s="8">
        <v>100.45</v>
      </c>
      <c r="CZ294" s="8">
        <v>74.94</v>
      </c>
      <c r="DA294" s="8">
        <v>101.89</v>
      </c>
      <c r="DB294" s="8">
        <v>82.96</v>
      </c>
      <c r="DC294" s="8">
        <v>90.34</v>
      </c>
      <c r="DD294" s="8">
        <v>104.61</v>
      </c>
      <c r="DE294" s="8">
        <v>73.599999999999994</v>
      </c>
      <c r="DF294" s="8">
        <v>83.19</v>
      </c>
      <c r="DG294" s="8">
        <v>101.27</v>
      </c>
      <c r="DH294" s="8">
        <v>76.59</v>
      </c>
      <c r="DI294" s="8">
        <v>75.38</v>
      </c>
      <c r="DJ294" s="8">
        <v>72.53</v>
      </c>
      <c r="DK294" s="8">
        <v>69.58</v>
      </c>
      <c r="DL294" s="8">
        <v>84.82</v>
      </c>
      <c r="DM294" s="8">
        <v>89.67</v>
      </c>
      <c r="DN294" s="8">
        <v>100.36</v>
      </c>
      <c r="DO294" s="8">
        <v>78.900000000000006</v>
      </c>
      <c r="DP294" s="8">
        <v>70.88</v>
      </c>
      <c r="DQ294" s="8">
        <v>82.41</v>
      </c>
      <c r="DR294" s="8">
        <v>86.33</v>
      </c>
      <c r="DS294" s="8">
        <v>79.260000000000005</v>
      </c>
      <c r="DT294" s="8">
        <v>79.260000000000005</v>
      </c>
      <c r="DU294" s="8">
        <v>85.53</v>
      </c>
      <c r="DV294" s="8">
        <v>78.03</v>
      </c>
      <c r="DW294" s="8">
        <v>77.38</v>
      </c>
      <c r="DX294" s="8">
        <v>78.69</v>
      </c>
      <c r="DY294" s="8">
        <v>67.02</v>
      </c>
      <c r="DZ294" s="8">
        <v>67.02</v>
      </c>
      <c r="EA294" s="8">
        <v>82.45</v>
      </c>
      <c r="EB294" s="8">
        <v>92.77</v>
      </c>
      <c r="EC294" s="8">
        <v>81.31</v>
      </c>
      <c r="ED294" s="9">
        <v>0.6</v>
      </c>
      <c r="EE294" s="9">
        <v>-0.4</v>
      </c>
      <c r="EF294" s="9">
        <v>0.2</v>
      </c>
      <c r="EG294" s="9">
        <v>1</v>
      </c>
      <c r="EH294" s="9">
        <v>-0.5</v>
      </c>
      <c r="EI294" s="9">
        <v>-1.1000000000000001</v>
      </c>
      <c r="EJ294" s="9">
        <v>1.1000000000000001</v>
      </c>
      <c r="EK294" s="9">
        <v>0.3</v>
      </c>
      <c r="EL294" s="9">
        <v>0.4</v>
      </c>
      <c r="EM294" s="9">
        <v>0.4</v>
      </c>
      <c r="EN294" s="9">
        <v>0.5</v>
      </c>
      <c r="EO294" s="9">
        <v>-0.2</v>
      </c>
      <c r="EP294" s="9">
        <v>0.9</v>
      </c>
      <c r="EQ294" s="9">
        <v>-0.3</v>
      </c>
      <c r="ER294" s="9">
        <v>1.1000000000000001</v>
      </c>
      <c r="ES294" s="9">
        <v>1.9</v>
      </c>
      <c r="ET294" s="9">
        <v>0.2</v>
      </c>
      <c r="EU294" s="9">
        <v>1</v>
      </c>
      <c r="EV294" s="9">
        <v>-2.8</v>
      </c>
      <c r="EW294" s="9">
        <v>-4.0999999999999996</v>
      </c>
      <c r="EX294" s="9">
        <v>-1.7</v>
      </c>
      <c r="EY294" s="9">
        <v>-0.9</v>
      </c>
      <c r="EZ294" s="9">
        <v>1</v>
      </c>
      <c r="FA294" s="9">
        <v>0.6</v>
      </c>
      <c r="FB294" s="9">
        <v>-1.7</v>
      </c>
      <c r="FC294" s="9">
        <v>-0.6</v>
      </c>
      <c r="FD294" s="9">
        <v>-0.5</v>
      </c>
      <c r="FE294" s="9">
        <v>-2</v>
      </c>
      <c r="FF294" s="9">
        <v>-0.2</v>
      </c>
      <c r="FG294" s="9">
        <v>-1.9</v>
      </c>
      <c r="FH294" s="9">
        <v>0.3</v>
      </c>
      <c r="FI294" s="9">
        <v>0</v>
      </c>
      <c r="FJ294" s="9">
        <v>0.2</v>
      </c>
      <c r="FK294" s="9">
        <v>-0.3</v>
      </c>
      <c r="FL294" s="9">
        <v>1</v>
      </c>
      <c r="FM294" s="9">
        <v>0.1</v>
      </c>
      <c r="FN294" s="9">
        <v>0.2</v>
      </c>
      <c r="FO294" s="9">
        <v>-0.4</v>
      </c>
      <c r="FP294" s="9">
        <v>0.5</v>
      </c>
      <c r="FQ294" s="9">
        <v>2.4</v>
      </c>
      <c r="FR294" s="9">
        <v>2.4</v>
      </c>
      <c r="FS294" s="9">
        <v>1.6</v>
      </c>
      <c r="FT294" s="9">
        <v>2.4</v>
      </c>
      <c r="FU294" s="9">
        <v>-0.3</v>
      </c>
      <c r="FV294" s="9">
        <v>4.0999999999999996</v>
      </c>
      <c r="FW294" s="9">
        <v>1.1000000000000001</v>
      </c>
      <c r="FX294" s="9">
        <v>1.6</v>
      </c>
      <c r="FY294" s="9">
        <v>1.5</v>
      </c>
      <c r="FZ294" s="9">
        <v>2</v>
      </c>
      <c r="GA294" s="9">
        <v>0.4</v>
      </c>
      <c r="GB294" s="9">
        <v>-0.5</v>
      </c>
      <c r="GC294" s="9">
        <v>-0.6</v>
      </c>
      <c r="GD294" s="9">
        <v>0.3</v>
      </c>
      <c r="GE294" s="9">
        <v>-0.2</v>
      </c>
      <c r="GF294" s="9">
        <v>0</v>
      </c>
      <c r="GG294" s="9">
        <v>0</v>
      </c>
      <c r="GH294" s="9">
        <v>-0.2</v>
      </c>
      <c r="GI294" s="9">
        <v>-0.2</v>
      </c>
      <c r="GJ294" s="9">
        <v>0.5</v>
      </c>
      <c r="GK294" s="9">
        <v>0.9</v>
      </c>
      <c r="GL294" s="9">
        <v>0</v>
      </c>
      <c r="GM294" s="9">
        <v>-1.1000000000000001</v>
      </c>
      <c r="GN294" s="9">
        <v>0</v>
      </c>
      <c r="GO294" s="9">
        <v>-1.7</v>
      </c>
      <c r="GP294" s="9">
        <v>-0.5</v>
      </c>
      <c r="GQ294" s="9">
        <v>0.7</v>
      </c>
      <c r="GR294" s="9">
        <v>1.5</v>
      </c>
      <c r="GS294" s="9">
        <v>1.5</v>
      </c>
      <c r="GT294" s="9">
        <v>1.3</v>
      </c>
      <c r="GU294" s="9">
        <v>3</v>
      </c>
      <c r="GV294" s="9">
        <v>3</v>
      </c>
      <c r="GW294" s="9">
        <v>0.7</v>
      </c>
      <c r="GX294" s="9">
        <v>2.5</v>
      </c>
      <c r="GY294" s="9">
        <v>-1.5</v>
      </c>
      <c r="GZ294" s="9">
        <v>0.3</v>
      </c>
      <c r="HA294" s="9">
        <v>1.3</v>
      </c>
      <c r="HB294" s="9">
        <v>0.4</v>
      </c>
      <c r="HC294" s="9">
        <v>0.2</v>
      </c>
      <c r="HD294" s="9">
        <v>0.4</v>
      </c>
      <c r="HE294" s="9">
        <v>0.5</v>
      </c>
      <c r="HF294" s="9">
        <v>0.2</v>
      </c>
      <c r="HG294" s="9">
        <v>1.1000000000000001</v>
      </c>
      <c r="HH294" s="9">
        <v>0</v>
      </c>
      <c r="HI294" s="9">
        <v>-1.2</v>
      </c>
      <c r="HJ294" s="9">
        <v>1.8</v>
      </c>
      <c r="HK294" s="9">
        <v>-0.1</v>
      </c>
      <c r="HL294" s="9">
        <v>-0.2</v>
      </c>
      <c r="HM294" s="9">
        <v>-0.1</v>
      </c>
      <c r="HN294" s="9">
        <v>2.2999999999999998</v>
      </c>
      <c r="HO294" s="9">
        <v>2.6</v>
      </c>
      <c r="HP294" s="9">
        <v>0.2</v>
      </c>
      <c r="HQ294" s="9">
        <v>3.4</v>
      </c>
      <c r="HR294" s="9">
        <v>3.7</v>
      </c>
      <c r="HS294" s="9">
        <v>1.4</v>
      </c>
      <c r="HT294" s="9">
        <v>-0.2</v>
      </c>
      <c r="HU294" s="9">
        <v>10.199999999999999</v>
      </c>
      <c r="HV294" s="9">
        <v>1</v>
      </c>
      <c r="HW294" s="9">
        <v>0.2</v>
      </c>
      <c r="HX294" s="9">
        <v>-0.2</v>
      </c>
      <c r="HY294" s="9">
        <v>-0.2</v>
      </c>
      <c r="HZ294" s="9">
        <v>-1.2</v>
      </c>
      <c r="IA294" s="9">
        <v>-1.2</v>
      </c>
      <c r="IB294" s="9">
        <v>-0.1</v>
      </c>
      <c r="IC294" s="9">
        <v>-1.2</v>
      </c>
      <c r="ID294" s="9">
        <v>0.5</v>
      </c>
      <c r="IE294" s="9">
        <v>-0.2</v>
      </c>
      <c r="IF294" s="9">
        <v>-0.8</v>
      </c>
      <c r="IG294" s="9">
        <v>0.6</v>
      </c>
      <c r="IH294" s="9">
        <v>0.3</v>
      </c>
      <c r="II294" s="9">
        <v>-2.4</v>
      </c>
      <c r="IJ294" s="9">
        <v>1.8</v>
      </c>
      <c r="IK294" s="9">
        <v>0.6</v>
      </c>
      <c r="IL294" s="9">
        <v>-1.5</v>
      </c>
      <c r="IM294" s="9">
        <v>2.7</v>
      </c>
      <c r="IN294" s="9">
        <v>0.7</v>
      </c>
      <c r="IO294" s="9">
        <v>0.3</v>
      </c>
      <c r="IP294" s="9">
        <v>-0.6</v>
      </c>
      <c r="IQ294" s="9">
        <v>3.3</v>
      </c>
    </row>
    <row r="295" spans="1:251" x14ac:dyDescent="0.2">
      <c r="A295" s="10">
        <v>43709</v>
      </c>
      <c r="B295" s="8">
        <v>80.150000000000006</v>
      </c>
      <c r="C295" s="8">
        <v>78.489999999999995</v>
      </c>
      <c r="D295" s="8">
        <v>77.64</v>
      </c>
      <c r="E295" s="8">
        <v>76.959999999999994</v>
      </c>
      <c r="F295" s="8">
        <v>77.64</v>
      </c>
      <c r="G295" s="8">
        <v>80.66</v>
      </c>
      <c r="H295" s="8">
        <v>77.7</v>
      </c>
      <c r="I295" s="8">
        <v>81.19</v>
      </c>
      <c r="J295" s="8">
        <v>74.540000000000006</v>
      </c>
      <c r="K295" s="8">
        <v>80.14</v>
      </c>
      <c r="L295" s="8">
        <v>83.35</v>
      </c>
      <c r="M295" s="8">
        <v>86.93</v>
      </c>
      <c r="N295" s="8">
        <v>80.94</v>
      </c>
      <c r="O295" s="8">
        <v>82.67</v>
      </c>
      <c r="P295" s="8">
        <v>76.92</v>
      </c>
      <c r="Q295" s="8">
        <v>76.16</v>
      </c>
      <c r="R295" s="8">
        <v>76.5</v>
      </c>
      <c r="S295" s="8">
        <v>78.150000000000006</v>
      </c>
      <c r="T295" s="8">
        <v>79.680000000000007</v>
      </c>
      <c r="U295" s="8">
        <v>77.62</v>
      </c>
      <c r="V295" s="8">
        <v>81.010000000000005</v>
      </c>
      <c r="W295" s="8">
        <v>75.150000000000006</v>
      </c>
      <c r="X295" s="8">
        <v>65.849999999999994</v>
      </c>
      <c r="Y295" s="8">
        <v>81.790000000000006</v>
      </c>
      <c r="Z295" s="8">
        <v>80.75</v>
      </c>
      <c r="AA295" s="8">
        <v>66.78</v>
      </c>
      <c r="AB295" s="8">
        <v>74.400000000000006</v>
      </c>
      <c r="AC295" s="8">
        <v>78.52</v>
      </c>
      <c r="AD295" s="8">
        <v>76.37</v>
      </c>
      <c r="AE295" s="8">
        <v>72.27</v>
      </c>
      <c r="AF295" s="8">
        <v>77.58</v>
      </c>
      <c r="AG295" s="8">
        <v>79.37</v>
      </c>
      <c r="AH295" s="8">
        <v>80.540000000000006</v>
      </c>
      <c r="AI295" s="8">
        <v>77.87</v>
      </c>
      <c r="AJ295" s="8">
        <v>71.28</v>
      </c>
      <c r="AK295" s="8">
        <v>85.01</v>
      </c>
      <c r="AL295" s="8">
        <v>79.7</v>
      </c>
      <c r="AM295" s="8">
        <v>93.19</v>
      </c>
      <c r="AN295" s="8">
        <v>81</v>
      </c>
      <c r="AO295" s="8">
        <v>53.1</v>
      </c>
      <c r="AP295" s="8">
        <v>53.1</v>
      </c>
      <c r="AQ295" s="8">
        <v>94.29</v>
      </c>
      <c r="AR295" s="8">
        <v>100.7</v>
      </c>
      <c r="AS295" s="8">
        <v>103.04</v>
      </c>
      <c r="AT295" s="8">
        <v>102.06</v>
      </c>
      <c r="AU295" s="8">
        <v>92.82</v>
      </c>
      <c r="AV295" s="8">
        <v>96.18</v>
      </c>
      <c r="AW295" s="8">
        <v>94.21</v>
      </c>
      <c r="AX295" s="8">
        <v>96.73</v>
      </c>
      <c r="AY295" s="8">
        <v>97.56</v>
      </c>
      <c r="AZ295" s="8">
        <v>79.44</v>
      </c>
      <c r="BA295" s="8">
        <v>79.739999999999995</v>
      </c>
      <c r="BB295" s="8">
        <v>76.78</v>
      </c>
      <c r="BC295" s="8">
        <v>77.22</v>
      </c>
      <c r="BD295" s="8">
        <v>82.23</v>
      </c>
      <c r="BE295" s="8">
        <v>82.23</v>
      </c>
      <c r="BF295" s="8">
        <v>70.319999999999993</v>
      </c>
      <c r="BG295" s="8">
        <v>70.319999999999993</v>
      </c>
      <c r="BH295" s="8">
        <v>78.37</v>
      </c>
      <c r="BI295" s="8">
        <v>80.099999999999994</v>
      </c>
      <c r="BJ295" s="8">
        <v>76.17</v>
      </c>
      <c r="BK295" s="8">
        <v>84.59</v>
      </c>
      <c r="BL295" s="8">
        <v>90.47</v>
      </c>
      <c r="BM295" s="8">
        <v>90.17</v>
      </c>
      <c r="BN295" s="8">
        <v>69.03</v>
      </c>
      <c r="BO295" s="8">
        <v>84.11</v>
      </c>
      <c r="BP295" s="8">
        <v>83.82</v>
      </c>
      <c r="BQ295" s="8">
        <v>84.67</v>
      </c>
      <c r="BR295" s="8">
        <v>79.92</v>
      </c>
      <c r="BS295" s="8">
        <v>93.71</v>
      </c>
      <c r="BT295" s="8">
        <v>93.71</v>
      </c>
      <c r="BU295" s="8">
        <v>93.19</v>
      </c>
      <c r="BV295" s="8">
        <v>91.53</v>
      </c>
      <c r="BW295" s="8">
        <v>94.85</v>
      </c>
      <c r="BX295" s="8">
        <v>99.92</v>
      </c>
      <c r="BY295" s="8">
        <v>87.4</v>
      </c>
      <c r="BZ295" s="8">
        <v>83.67</v>
      </c>
      <c r="CA295" s="8">
        <v>80.77</v>
      </c>
      <c r="CB295" s="8">
        <v>88.45</v>
      </c>
      <c r="CC295" s="8">
        <v>80.989999999999995</v>
      </c>
      <c r="CD295" s="8">
        <v>79.44</v>
      </c>
      <c r="CE295" s="8">
        <v>86.58</v>
      </c>
      <c r="CF295" s="8">
        <v>77.61</v>
      </c>
      <c r="CG295" s="8">
        <v>76.44</v>
      </c>
      <c r="CH295" s="8">
        <v>79.91</v>
      </c>
      <c r="CI295" s="8">
        <v>93.72</v>
      </c>
      <c r="CJ295" s="8">
        <v>93.83</v>
      </c>
      <c r="CK295" s="8">
        <v>93.03</v>
      </c>
      <c r="CL295" s="8">
        <v>77.069999999999993</v>
      </c>
      <c r="CM295" s="8">
        <v>76.11</v>
      </c>
      <c r="CN295" s="8">
        <v>84.95</v>
      </c>
      <c r="CO295" s="8">
        <v>81.88</v>
      </c>
      <c r="CP295" s="8">
        <v>81.48</v>
      </c>
      <c r="CQ295" s="8">
        <v>85.71</v>
      </c>
      <c r="CR295" s="8">
        <v>78.84</v>
      </c>
      <c r="CS295" s="8">
        <v>78.28</v>
      </c>
      <c r="CT295" s="8">
        <v>78.489999999999995</v>
      </c>
      <c r="CU295" s="8">
        <v>86.6</v>
      </c>
      <c r="CV295" s="8">
        <v>91.96</v>
      </c>
      <c r="CW295" s="8">
        <v>91.96</v>
      </c>
      <c r="CX295" s="8">
        <v>99.33</v>
      </c>
      <c r="CY295" s="8">
        <v>99.33</v>
      </c>
      <c r="CZ295" s="8">
        <v>74.69</v>
      </c>
      <c r="DA295" s="8">
        <v>100.72</v>
      </c>
      <c r="DB295" s="8">
        <v>84.28</v>
      </c>
      <c r="DC295" s="8">
        <v>90.27</v>
      </c>
      <c r="DD295" s="8">
        <v>103.59</v>
      </c>
      <c r="DE295" s="8">
        <v>74.540000000000006</v>
      </c>
      <c r="DF295" s="8">
        <v>84.28</v>
      </c>
      <c r="DG295" s="8">
        <v>102.81</v>
      </c>
      <c r="DH295" s="8">
        <v>77.52</v>
      </c>
      <c r="DI295" s="8">
        <v>77.75</v>
      </c>
      <c r="DJ295" s="8">
        <v>72.540000000000006</v>
      </c>
      <c r="DK295" s="8">
        <v>73.84</v>
      </c>
      <c r="DL295" s="8">
        <v>84.91</v>
      </c>
      <c r="DM295" s="8">
        <v>90.74</v>
      </c>
      <c r="DN295" s="8">
        <v>97.15</v>
      </c>
      <c r="DO295" s="8">
        <v>79.569999999999993</v>
      </c>
      <c r="DP295" s="8">
        <v>72.02</v>
      </c>
      <c r="DQ295" s="8">
        <v>82.09</v>
      </c>
      <c r="DR295" s="8">
        <v>87.53</v>
      </c>
      <c r="DS295" s="8">
        <v>79.319999999999993</v>
      </c>
      <c r="DT295" s="8">
        <v>79.319999999999993</v>
      </c>
      <c r="DU295" s="8">
        <v>85.77</v>
      </c>
      <c r="DV295" s="8">
        <v>78.03</v>
      </c>
      <c r="DW295" s="8">
        <v>77.42</v>
      </c>
      <c r="DX295" s="8">
        <v>78.86</v>
      </c>
      <c r="DY295" s="8">
        <v>67.41</v>
      </c>
      <c r="DZ295" s="8">
        <v>67.41</v>
      </c>
      <c r="EA295" s="8">
        <v>82.55</v>
      </c>
      <c r="EB295" s="8">
        <v>92.09</v>
      </c>
      <c r="EC295" s="8">
        <v>81.510000000000005</v>
      </c>
      <c r="ED295" s="9">
        <v>0.6</v>
      </c>
      <c r="EE295" s="9">
        <v>0.4</v>
      </c>
      <c r="EF295" s="9">
        <v>1.3</v>
      </c>
      <c r="EG295" s="9">
        <v>0.1</v>
      </c>
      <c r="EH295" s="9">
        <v>2.5</v>
      </c>
      <c r="EI295" s="9">
        <v>3.5</v>
      </c>
      <c r="EJ295" s="9">
        <v>-0.9</v>
      </c>
      <c r="EK295" s="9">
        <v>1.7</v>
      </c>
      <c r="EL295" s="9">
        <v>1.8</v>
      </c>
      <c r="EM295" s="9">
        <v>1.8</v>
      </c>
      <c r="EN295" s="9">
        <v>2.6</v>
      </c>
      <c r="EO295" s="9">
        <v>1.4</v>
      </c>
      <c r="EP295" s="9">
        <v>2.4</v>
      </c>
      <c r="EQ295" s="9">
        <v>0.8</v>
      </c>
      <c r="ER295" s="9">
        <v>2.2000000000000002</v>
      </c>
      <c r="ES295" s="9">
        <v>3.1</v>
      </c>
      <c r="ET295" s="9">
        <v>2.4</v>
      </c>
      <c r="EU295" s="9">
        <v>1.2</v>
      </c>
      <c r="EV295" s="9">
        <v>-2.8</v>
      </c>
      <c r="EW295" s="9">
        <v>-3.1</v>
      </c>
      <c r="EX295" s="9">
        <v>-2.6</v>
      </c>
      <c r="EY295" s="9">
        <v>0.3</v>
      </c>
      <c r="EZ295" s="9">
        <v>2.7</v>
      </c>
      <c r="FA295" s="9">
        <v>-0.3</v>
      </c>
      <c r="FB295" s="9">
        <v>0.4</v>
      </c>
      <c r="FC295" s="9">
        <v>0.3</v>
      </c>
      <c r="FD295" s="9">
        <v>-0.2</v>
      </c>
      <c r="FE295" s="9">
        <v>0.8</v>
      </c>
      <c r="FF295" s="9">
        <v>0.2</v>
      </c>
      <c r="FG295" s="9">
        <v>0.4</v>
      </c>
      <c r="FH295" s="9">
        <v>0.1</v>
      </c>
      <c r="FI295" s="9">
        <v>0.6</v>
      </c>
      <c r="FJ295" s="9">
        <v>0.6</v>
      </c>
      <c r="FK295" s="9">
        <v>0.6</v>
      </c>
      <c r="FL295" s="9">
        <v>2</v>
      </c>
      <c r="FM295" s="9">
        <v>1.1000000000000001</v>
      </c>
      <c r="FN295" s="9">
        <v>0.7</v>
      </c>
      <c r="FO295" s="9">
        <v>1.8</v>
      </c>
      <c r="FP295" s="9">
        <v>0.6</v>
      </c>
      <c r="FQ295" s="9">
        <v>3.4</v>
      </c>
      <c r="FR295" s="9">
        <v>3.4</v>
      </c>
      <c r="FS295" s="9">
        <v>1.4</v>
      </c>
      <c r="FT295" s="9">
        <v>1.1000000000000001</v>
      </c>
      <c r="FU295" s="9">
        <v>0.9</v>
      </c>
      <c r="FV295" s="9">
        <v>1.3</v>
      </c>
      <c r="FW295" s="9">
        <v>1</v>
      </c>
      <c r="FX295" s="9">
        <v>2.5</v>
      </c>
      <c r="FY295" s="9">
        <v>0.8</v>
      </c>
      <c r="FZ295" s="9">
        <v>2.7</v>
      </c>
      <c r="GA295" s="9">
        <v>5</v>
      </c>
      <c r="GB295" s="9">
        <v>1.5</v>
      </c>
      <c r="GC295" s="9">
        <v>1.7</v>
      </c>
      <c r="GD295" s="9">
        <v>0.4</v>
      </c>
      <c r="GE295" s="9">
        <v>0.3</v>
      </c>
      <c r="GF295" s="9">
        <v>0</v>
      </c>
      <c r="GG295" s="9">
        <v>0</v>
      </c>
      <c r="GH295" s="9">
        <v>-0.2</v>
      </c>
      <c r="GI295" s="9">
        <v>-0.2</v>
      </c>
      <c r="GJ295" s="9">
        <v>1.4</v>
      </c>
      <c r="GK295" s="9">
        <v>0.7</v>
      </c>
      <c r="GL295" s="9">
        <v>2.5</v>
      </c>
      <c r="GM295" s="9">
        <v>0.7</v>
      </c>
      <c r="GN295" s="9">
        <v>2.2000000000000002</v>
      </c>
      <c r="GO295" s="9">
        <v>-0.7</v>
      </c>
      <c r="GP295" s="9">
        <v>3</v>
      </c>
      <c r="GQ295" s="9">
        <v>1</v>
      </c>
      <c r="GR295" s="9">
        <v>2</v>
      </c>
      <c r="GS295" s="9">
        <v>2.4</v>
      </c>
      <c r="GT295" s="9">
        <v>0.4</v>
      </c>
      <c r="GU295" s="9">
        <v>1.1000000000000001</v>
      </c>
      <c r="GV295" s="9">
        <v>1.1000000000000001</v>
      </c>
      <c r="GW295" s="9">
        <v>0.5</v>
      </c>
      <c r="GX295" s="9">
        <v>-1</v>
      </c>
      <c r="GY295" s="9">
        <v>2.5</v>
      </c>
      <c r="GZ295" s="9">
        <v>0.5</v>
      </c>
      <c r="HA295" s="9">
        <v>0.6</v>
      </c>
      <c r="HB295" s="9">
        <v>0</v>
      </c>
      <c r="HC295" s="9">
        <v>0.3</v>
      </c>
      <c r="HD295" s="9">
        <v>-0.3</v>
      </c>
      <c r="HE295" s="9">
        <v>0.2</v>
      </c>
      <c r="HF295" s="9">
        <v>1.5</v>
      </c>
      <c r="HG295" s="9">
        <v>2.4</v>
      </c>
      <c r="HH295" s="9">
        <v>0.8</v>
      </c>
      <c r="HI295" s="9">
        <v>0.7</v>
      </c>
      <c r="HJ295" s="9">
        <v>-0.2</v>
      </c>
      <c r="HK295" s="9">
        <v>-0.9</v>
      </c>
      <c r="HL295" s="9">
        <v>-1</v>
      </c>
      <c r="HM295" s="9">
        <v>0</v>
      </c>
      <c r="HN295" s="9">
        <v>0</v>
      </c>
      <c r="HO295" s="9">
        <v>-0.1</v>
      </c>
      <c r="HP295" s="9">
        <v>0.6</v>
      </c>
      <c r="HQ295" s="9">
        <v>-0.2</v>
      </c>
      <c r="HR295" s="9">
        <v>-0.3</v>
      </c>
      <c r="HS295" s="9">
        <v>0.2</v>
      </c>
      <c r="HT295" s="9">
        <v>0.3</v>
      </c>
      <c r="HU295" s="9">
        <v>-2</v>
      </c>
      <c r="HV295" s="9">
        <v>0.3</v>
      </c>
      <c r="HW295" s="9">
        <v>1.3</v>
      </c>
      <c r="HX295" s="9">
        <v>1.1000000000000001</v>
      </c>
      <c r="HY295" s="9">
        <v>1.1000000000000001</v>
      </c>
      <c r="HZ295" s="9">
        <v>-1.1000000000000001</v>
      </c>
      <c r="IA295" s="9">
        <v>-1.1000000000000001</v>
      </c>
      <c r="IB295" s="9">
        <v>-0.3</v>
      </c>
      <c r="IC295" s="9">
        <v>-1.1000000000000001</v>
      </c>
      <c r="ID295" s="9">
        <v>1.6</v>
      </c>
      <c r="IE295" s="9">
        <v>-0.1</v>
      </c>
      <c r="IF295" s="9">
        <v>-1</v>
      </c>
      <c r="IG295" s="9">
        <v>1.3</v>
      </c>
      <c r="IH295" s="9">
        <v>1.3</v>
      </c>
      <c r="II295" s="9">
        <v>1.5</v>
      </c>
      <c r="IJ295" s="9">
        <v>1.2</v>
      </c>
      <c r="IK295" s="9">
        <v>3.1</v>
      </c>
      <c r="IL295" s="9">
        <v>0</v>
      </c>
      <c r="IM295" s="9">
        <v>6.1</v>
      </c>
      <c r="IN295" s="9">
        <v>0.1</v>
      </c>
      <c r="IO295" s="9">
        <v>1.2</v>
      </c>
      <c r="IP295" s="9">
        <v>-3.2</v>
      </c>
      <c r="IQ295" s="9">
        <v>0.8</v>
      </c>
    </row>
    <row r="296" spans="1:251" x14ac:dyDescent="0.2">
      <c r="A296" s="10">
        <v>43800</v>
      </c>
      <c r="B296" s="8">
        <v>80.7</v>
      </c>
      <c r="C296" s="8">
        <v>79.510000000000005</v>
      </c>
      <c r="D296" s="8">
        <v>78.5</v>
      </c>
      <c r="E296" s="8">
        <v>77.03</v>
      </c>
      <c r="F296" s="8">
        <v>79.28</v>
      </c>
      <c r="G296" s="8">
        <v>80.72</v>
      </c>
      <c r="H296" s="8">
        <v>78.83</v>
      </c>
      <c r="I296" s="8">
        <v>82.46</v>
      </c>
      <c r="J296" s="8">
        <v>76.7</v>
      </c>
      <c r="K296" s="8">
        <v>83.96</v>
      </c>
      <c r="L296" s="8">
        <v>82.56</v>
      </c>
      <c r="M296" s="8">
        <v>86.16</v>
      </c>
      <c r="N296" s="8">
        <v>83.55</v>
      </c>
      <c r="O296" s="8">
        <v>82.92</v>
      </c>
      <c r="P296" s="8">
        <v>77.900000000000006</v>
      </c>
      <c r="Q296" s="8">
        <v>77.47</v>
      </c>
      <c r="R296" s="8">
        <v>78.34</v>
      </c>
      <c r="S296" s="8">
        <v>77.959999999999994</v>
      </c>
      <c r="T296" s="8">
        <v>82.47</v>
      </c>
      <c r="U296" s="8">
        <v>82.97</v>
      </c>
      <c r="V296" s="8">
        <v>81.510000000000005</v>
      </c>
      <c r="W296" s="8">
        <v>76.08</v>
      </c>
      <c r="X296" s="8">
        <v>66.66</v>
      </c>
      <c r="Y296" s="8">
        <v>82.16</v>
      </c>
      <c r="Z296" s="8">
        <v>80.959999999999994</v>
      </c>
      <c r="AA296" s="8">
        <v>67</v>
      </c>
      <c r="AB296" s="8">
        <v>75.12</v>
      </c>
      <c r="AC296" s="8">
        <v>80.66</v>
      </c>
      <c r="AD296" s="8">
        <v>75.040000000000006</v>
      </c>
      <c r="AE296" s="8">
        <v>72.209999999999994</v>
      </c>
      <c r="AF296" s="8">
        <v>75.87</v>
      </c>
      <c r="AG296" s="8">
        <v>80.150000000000006</v>
      </c>
      <c r="AH296" s="8">
        <v>81.2</v>
      </c>
      <c r="AI296" s="8">
        <v>78.78</v>
      </c>
      <c r="AJ296" s="8">
        <v>73.430000000000007</v>
      </c>
      <c r="AK296" s="8">
        <v>84.38</v>
      </c>
      <c r="AL296" s="8">
        <v>79.39</v>
      </c>
      <c r="AM296" s="8">
        <v>91.68</v>
      </c>
      <c r="AN296" s="8">
        <v>80.92</v>
      </c>
      <c r="AO296" s="8">
        <v>57.55</v>
      </c>
      <c r="AP296" s="8">
        <v>57.55</v>
      </c>
      <c r="AQ296" s="8">
        <v>94.03</v>
      </c>
      <c r="AR296" s="8">
        <v>99.29</v>
      </c>
      <c r="AS296" s="8">
        <v>102.76</v>
      </c>
      <c r="AT296" s="8">
        <v>99.59</v>
      </c>
      <c r="AU296" s="8">
        <v>93.11</v>
      </c>
      <c r="AV296" s="8">
        <v>96.05</v>
      </c>
      <c r="AW296" s="8">
        <v>96.04</v>
      </c>
      <c r="AX296" s="8">
        <v>95.99</v>
      </c>
      <c r="AY296" s="8">
        <v>96.53</v>
      </c>
      <c r="AZ296" s="8">
        <v>81.400000000000006</v>
      </c>
      <c r="BA296" s="8">
        <v>81.99</v>
      </c>
      <c r="BB296" s="8">
        <v>77.11</v>
      </c>
      <c r="BC296" s="8">
        <v>77.260000000000005</v>
      </c>
      <c r="BD296" s="8">
        <v>82.24</v>
      </c>
      <c r="BE296" s="8">
        <v>82.24</v>
      </c>
      <c r="BF296" s="8">
        <v>70.58</v>
      </c>
      <c r="BG296" s="8">
        <v>70.58</v>
      </c>
      <c r="BH296" s="8">
        <v>78.599999999999994</v>
      </c>
      <c r="BI296" s="8">
        <v>80.489999999999995</v>
      </c>
      <c r="BJ296" s="8">
        <v>76.17</v>
      </c>
      <c r="BK296" s="8">
        <v>84.08</v>
      </c>
      <c r="BL296" s="8">
        <v>91</v>
      </c>
      <c r="BM296" s="8">
        <v>89.63</v>
      </c>
      <c r="BN296" s="8">
        <v>67.73</v>
      </c>
      <c r="BO296" s="8">
        <v>83.9</v>
      </c>
      <c r="BP296" s="8">
        <v>83.03</v>
      </c>
      <c r="BQ296" s="8">
        <v>83.57</v>
      </c>
      <c r="BR296" s="8">
        <v>80.45</v>
      </c>
      <c r="BS296" s="8">
        <v>90.29</v>
      </c>
      <c r="BT296" s="8">
        <v>90.29</v>
      </c>
      <c r="BU296" s="8">
        <v>92.01</v>
      </c>
      <c r="BV296" s="8">
        <v>90.42</v>
      </c>
      <c r="BW296" s="8">
        <v>93.32</v>
      </c>
      <c r="BX296" s="8">
        <v>97.46</v>
      </c>
      <c r="BY296" s="8">
        <v>87.62</v>
      </c>
      <c r="BZ296" s="8">
        <v>83.52</v>
      </c>
      <c r="CA296" s="8">
        <v>81.63</v>
      </c>
      <c r="CB296" s="8">
        <v>87.54</v>
      </c>
      <c r="CC296" s="8">
        <v>81.19</v>
      </c>
      <c r="CD296" s="8">
        <v>80.31</v>
      </c>
      <c r="CE296" s="8">
        <v>87.94</v>
      </c>
      <c r="CF296" s="8">
        <v>78.02</v>
      </c>
      <c r="CG296" s="8">
        <v>77.22</v>
      </c>
      <c r="CH296" s="8">
        <v>79.67</v>
      </c>
      <c r="CI296" s="8">
        <v>92.64</v>
      </c>
      <c r="CJ296" s="8">
        <v>92.58</v>
      </c>
      <c r="CK296" s="8">
        <v>93.09</v>
      </c>
      <c r="CL296" s="8">
        <v>77.010000000000005</v>
      </c>
      <c r="CM296" s="8">
        <v>75.989999999999995</v>
      </c>
      <c r="CN296" s="8">
        <v>85.34</v>
      </c>
      <c r="CO296" s="8">
        <v>83.08</v>
      </c>
      <c r="CP296" s="8">
        <v>82.75</v>
      </c>
      <c r="CQ296" s="8">
        <v>85.17</v>
      </c>
      <c r="CR296" s="8">
        <v>77.97</v>
      </c>
      <c r="CS296" s="8">
        <v>81.75</v>
      </c>
      <c r="CT296" s="8">
        <v>79.56</v>
      </c>
      <c r="CU296" s="8">
        <v>86.42</v>
      </c>
      <c r="CV296" s="8">
        <v>91.99</v>
      </c>
      <c r="CW296" s="8">
        <v>91.99</v>
      </c>
      <c r="CX296" s="8">
        <v>98.36</v>
      </c>
      <c r="CY296" s="8">
        <v>98.36</v>
      </c>
      <c r="CZ296" s="8">
        <v>73.459999999999994</v>
      </c>
      <c r="DA296" s="8">
        <v>99.76</v>
      </c>
      <c r="DB296" s="8">
        <v>85.06</v>
      </c>
      <c r="DC296" s="8">
        <v>90.18</v>
      </c>
      <c r="DD296" s="8">
        <v>101.86</v>
      </c>
      <c r="DE296" s="8">
        <v>76.33</v>
      </c>
      <c r="DF296" s="8">
        <v>83.75</v>
      </c>
      <c r="DG296" s="8">
        <v>101.74</v>
      </c>
      <c r="DH296" s="8">
        <v>77.180000000000007</v>
      </c>
      <c r="DI296" s="8">
        <v>79.23</v>
      </c>
      <c r="DJ296" s="8">
        <v>77.87</v>
      </c>
      <c r="DK296" s="8">
        <v>71.72</v>
      </c>
      <c r="DL296" s="8">
        <v>85</v>
      </c>
      <c r="DM296" s="8">
        <v>89.65</v>
      </c>
      <c r="DN296" s="8">
        <v>96.64</v>
      </c>
      <c r="DO296" s="8">
        <v>79.63</v>
      </c>
      <c r="DP296" s="8">
        <v>72.2</v>
      </c>
      <c r="DQ296" s="8">
        <v>83.26</v>
      </c>
      <c r="DR296" s="8">
        <v>87.53</v>
      </c>
      <c r="DS296" s="8">
        <v>79.36</v>
      </c>
      <c r="DT296" s="8">
        <v>79.36</v>
      </c>
      <c r="DU296" s="8">
        <v>85.94</v>
      </c>
      <c r="DV296" s="8">
        <v>78.03</v>
      </c>
      <c r="DW296" s="8">
        <v>77.42</v>
      </c>
      <c r="DX296" s="8">
        <v>79.2</v>
      </c>
      <c r="DY296" s="8">
        <v>67.66</v>
      </c>
      <c r="DZ296" s="8">
        <v>67.66</v>
      </c>
      <c r="EA296" s="8">
        <v>82.92</v>
      </c>
      <c r="EB296" s="8">
        <v>92.82</v>
      </c>
      <c r="EC296" s="8">
        <v>81.83</v>
      </c>
      <c r="ED296" s="9">
        <v>0.7</v>
      </c>
      <c r="EE296" s="9">
        <v>1.3</v>
      </c>
      <c r="EF296" s="9">
        <v>1.1000000000000001</v>
      </c>
      <c r="EG296" s="9">
        <v>0.1</v>
      </c>
      <c r="EH296" s="9">
        <v>2.1</v>
      </c>
      <c r="EI296" s="9">
        <v>0.1</v>
      </c>
      <c r="EJ296" s="9">
        <v>1.5</v>
      </c>
      <c r="EK296" s="9">
        <v>1.6</v>
      </c>
      <c r="EL296" s="9">
        <v>2.9</v>
      </c>
      <c r="EM296" s="9">
        <v>4.8</v>
      </c>
      <c r="EN296" s="9">
        <v>-0.9</v>
      </c>
      <c r="EO296" s="9">
        <v>-0.9</v>
      </c>
      <c r="EP296" s="9">
        <v>3.2</v>
      </c>
      <c r="EQ296" s="9">
        <v>0.3</v>
      </c>
      <c r="ER296" s="9">
        <v>1.3</v>
      </c>
      <c r="ES296" s="9">
        <v>1.7</v>
      </c>
      <c r="ET296" s="9">
        <v>2.4</v>
      </c>
      <c r="EU296" s="9">
        <v>-0.2</v>
      </c>
      <c r="EV296" s="9">
        <v>3.5</v>
      </c>
      <c r="EW296" s="9">
        <v>6.9</v>
      </c>
      <c r="EX296" s="9">
        <v>0.6</v>
      </c>
      <c r="EY296" s="9">
        <v>1.2</v>
      </c>
      <c r="EZ296" s="9">
        <v>1.2</v>
      </c>
      <c r="FA296" s="9">
        <v>0.5</v>
      </c>
      <c r="FB296" s="9">
        <v>0.3</v>
      </c>
      <c r="FC296" s="9">
        <v>0.3</v>
      </c>
      <c r="FD296" s="9">
        <v>1</v>
      </c>
      <c r="FE296" s="9">
        <v>2.7</v>
      </c>
      <c r="FF296" s="9">
        <v>-1.7</v>
      </c>
      <c r="FG296" s="9">
        <v>-0.1</v>
      </c>
      <c r="FH296" s="9">
        <v>-2.2000000000000002</v>
      </c>
      <c r="FI296" s="9">
        <v>1</v>
      </c>
      <c r="FJ296" s="9">
        <v>0.8</v>
      </c>
      <c r="FK296" s="9">
        <v>1.2</v>
      </c>
      <c r="FL296" s="9">
        <v>3</v>
      </c>
      <c r="FM296" s="9">
        <v>-0.7</v>
      </c>
      <c r="FN296" s="9">
        <v>-0.4</v>
      </c>
      <c r="FO296" s="9">
        <v>-1.6</v>
      </c>
      <c r="FP296" s="9">
        <v>-0.1</v>
      </c>
      <c r="FQ296" s="9">
        <v>8.4</v>
      </c>
      <c r="FR296" s="9">
        <v>8.4</v>
      </c>
      <c r="FS296" s="9">
        <v>-0.3</v>
      </c>
      <c r="FT296" s="9">
        <v>-1.4</v>
      </c>
      <c r="FU296" s="9">
        <v>-0.3</v>
      </c>
      <c r="FV296" s="9">
        <v>-2.4</v>
      </c>
      <c r="FW296" s="9">
        <v>0.3</v>
      </c>
      <c r="FX296" s="9">
        <v>-0.1</v>
      </c>
      <c r="FY296" s="9">
        <v>1.9</v>
      </c>
      <c r="FZ296" s="9">
        <v>-0.8</v>
      </c>
      <c r="GA296" s="9">
        <v>-1.1000000000000001</v>
      </c>
      <c r="GB296" s="9">
        <v>2.5</v>
      </c>
      <c r="GC296" s="9">
        <v>2.8</v>
      </c>
      <c r="GD296" s="9">
        <v>0.4</v>
      </c>
      <c r="GE296" s="9">
        <v>0.1</v>
      </c>
      <c r="GF296" s="9">
        <v>0</v>
      </c>
      <c r="GG296" s="9">
        <v>0</v>
      </c>
      <c r="GH296" s="9">
        <v>0.4</v>
      </c>
      <c r="GI296" s="9">
        <v>0.4</v>
      </c>
      <c r="GJ296" s="9">
        <v>0.3</v>
      </c>
      <c r="GK296" s="9">
        <v>0.5</v>
      </c>
      <c r="GL296" s="9">
        <v>0</v>
      </c>
      <c r="GM296" s="9">
        <v>-0.6</v>
      </c>
      <c r="GN296" s="9">
        <v>0.6</v>
      </c>
      <c r="GO296" s="9">
        <v>-0.6</v>
      </c>
      <c r="GP296" s="9">
        <v>-1.9</v>
      </c>
      <c r="GQ296" s="9">
        <v>-0.2</v>
      </c>
      <c r="GR296" s="9">
        <v>-0.9</v>
      </c>
      <c r="GS296" s="9">
        <v>-1.3</v>
      </c>
      <c r="GT296" s="9">
        <v>0.7</v>
      </c>
      <c r="GU296" s="9">
        <v>-3.6</v>
      </c>
      <c r="GV296" s="9">
        <v>-3.6</v>
      </c>
      <c r="GW296" s="9">
        <v>-1.3</v>
      </c>
      <c r="GX296" s="9">
        <v>-1.2</v>
      </c>
      <c r="GY296" s="9">
        <v>-1.6</v>
      </c>
      <c r="GZ296" s="9">
        <v>-2.5</v>
      </c>
      <c r="HA296" s="9">
        <v>0.3</v>
      </c>
      <c r="HB296" s="9">
        <v>-0.2</v>
      </c>
      <c r="HC296" s="9">
        <v>1.1000000000000001</v>
      </c>
      <c r="HD296" s="9">
        <v>-1</v>
      </c>
      <c r="HE296" s="9">
        <v>0.2</v>
      </c>
      <c r="HF296" s="9">
        <v>1.1000000000000001</v>
      </c>
      <c r="HG296" s="9">
        <v>1.6</v>
      </c>
      <c r="HH296" s="9">
        <v>0.5</v>
      </c>
      <c r="HI296" s="9">
        <v>1</v>
      </c>
      <c r="HJ296" s="9">
        <v>-0.3</v>
      </c>
      <c r="HK296" s="9">
        <v>-1.2</v>
      </c>
      <c r="HL296" s="9">
        <v>-1.3</v>
      </c>
      <c r="HM296" s="9">
        <v>0.1</v>
      </c>
      <c r="HN296" s="9">
        <v>-0.1</v>
      </c>
      <c r="HO296" s="9">
        <v>-0.2</v>
      </c>
      <c r="HP296" s="9">
        <v>0.5</v>
      </c>
      <c r="HQ296" s="9">
        <v>1.5</v>
      </c>
      <c r="HR296" s="9">
        <v>1.6</v>
      </c>
      <c r="HS296" s="9">
        <v>-0.6</v>
      </c>
      <c r="HT296" s="9">
        <v>-1.1000000000000001</v>
      </c>
      <c r="HU296" s="9">
        <v>4.4000000000000004</v>
      </c>
      <c r="HV296" s="9">
        <v>1.4</v>
      </c>
      <c r="HW296" s="9">
        <v>-0.2</v>
      </c>
      <c r="HX296" s="9">
        <v>0</v>
      </c>
      <c r="HY296" s="9">
        <v>0</v>
      </c>
      <c r="HZ296" s="9">
        <v>-1</v>
      </c>
      <c r="IA296" s="9">
        <v>-1</v>
      </c>
      <c r="IB296" s="9">
        <v>-1.6</v>
      </c>
      <c r="IC296" s="9">
        <v>-1</v>
      </c>
      <c r="ID296" s="9">
        <v>0.9</v>
      </c>
      <c r="IE296" s="9">
        <v>-0.1</v>
      </c>
      <c r="IF296" s="9">
        <v>-1.7</v>
      </c>
      <c r="IG296" s="9">
        <v>2.4</v>
      </c>
      <c r="IH296" s="9">
        <v>-0.6</v>
      </c>
      <c r="II296" s="9">
        <v>-1</v>
      </c>
      <c r="IJ296" s="9">
        <v>-0.4</v>
      </c>
      <c r="IK296" s="9">
        <v>1.9</v>
      </c>
      <c r="IL296" s="9">
        <v>7.3</v>
      </c>
      <c r="IM296" s="9">
        <v>-2.9</v>
      </c>
      <c r="IN296" s="9">
        <v>0.1</v>
      </c>
      <c r="IO296" s="9">
        <v>-1.2</v>
      </c>
      <c r="IP296" s="9">
        <v>-0.5</v>
      </c>
      <c r="IQ296" s="9">
        <v>0.1</v>
      </c>
    </row>
    <row r="297" spans="1:251" x14ac:dyDescent="0.2">
      <c r="A297" s="10">
        <v>43891</v>
      </c>
      <c r="B297" s="8">
        <v>81</v>
      </c>
      <c r="C297" s="8">
        <v>81.069999999999993</v>
      </c>
      <c r="D297" s="8">
        <v>79.42</v>
      </c>
      <c r="E297" s="8">
        <v>77.89</v>
      </c>
      <c r="F297" s="8">
        <v>79.36</v>
      </c>
      <c r="G297" s="8">
        <v>82.88</v>
      </c>
      <c r="H297" s="8">
        <v>82.32</v>
      </c>
      <c r="I297" s="8">
        <v>84.14</v>
      </c>
      <c r="J297" s="8">
        <v>79.39</v>
      </c>
      <c r="K297" s="8">
        <v>85.12</v>
      </c>
      <c r="L297" s="8">
        <v>84.91</v>
      </c>
      <c r="M297" s="8">
        <v>86.93</v>
      </c>
      <c r="N297" s="8">
        <v>85.58</v>
      </c>
      <c r="O297" s="8">
        <v>83.82</v>
      </c>
      <c r="P297" s="8">
        <v>78.73</v>
      </c>
      <c r="Q297" s="8">
        <v>78.09</v>
      </c>
      <c r="R297" s="8">
        <v>79.67</v>
      </c>
      <c r="S297" s="8">
        <v>78.569999999999993</v>
      </c>
      <c r="T297" s="8">
        <v>87.35</v>
      </c>
      <c r="U297" s="8">
        <v>84.97</v>
      </c>
      <c r="V297" s="8">
        <v>88.91</v>
      </c>
      <c r="W297" s="8">
        <v>77.819999999999993</v>
      </c>
      <c r="X297" s="8">
        <v>67.319999999999993</v>
      </c>
      <c r="Y297" s="8">
        <v>83.8</v>
      </c>
      <c r="Z297" s="8">
        <v>83.05</v>
      </c>
      <c r="AA297" s="8">
        <v>67.959999999999994</v>
      </c>
      <c r="AB297" s="8">
        <v>76.98</v>
      </c>
      <c r="AC297" s="8">
        <v>82.7</v>
      </c>
      <c r="AD297" s="8">
        <v>76.5</v>
      </c>
      <c r="AE297" s="8">
        <v>74.069999999999993</v>
      </c>
      <c r="AF297" s="8">
        <v>77.209999999999994</v>
      </c>
      <c r="AG297" s="8">
        <v>80.709999999999994</v>
      </c>
      <c r="AH297" s="8">
        <v>81.83</v>
      </c>
      <c r="AI297" s="8">
        <v>79.260000000000005</v>
      </c>
      <c r="AJ297" s="8">
        <v>74.62</v>
      </c>
      <c r="AK297" s="8">
        <v>85.48</v>
      </c>
      <c r="AL297" s="8">
        <v>81.12</v>
      </c>
      <c r="AM297" s="8">
        <v>92.57</v>
      </c>
      <c r="AN297" s="8">
        <v>81.89</v>
      </c>
      <c r="AO297" s="8">
        <v>58.72</v>
      </c>
      <c r="AP297" s="8">
        <v>58.72</v>
      </c>
      <c r="AQ297" s="8">
        <v>93.3</v>
      </c>
      <c r="AR297" s="8">
        <v>98.18</v>
      </c>
      <c r="AS297" s="8">
        <v>103.65</v>
      </c>
      <c r="AT297" s="8">
        <v>97.5</v>
      </c>
      <c r="AU297" s="8">
        <v>92</v>
      </c>
      <c r="AV297" s="8">
        <v>95.64</v>
      </c>
      <c r="AW297" s="8">
        <v>94.85</v>
      </c>
      <c r="AX297" s="8">
        <v>95.86</v>
      </c>
      <c r="AY297" s="8">
        <v>96.33</v>
      </c>
      <c r="AZ297" s="8">
        <v>81.3</v>
      </c>
      <c r="BA297" s="8">
        <v>81.84</v>
      </c>
      <c r="BB297" s="8">
        <v>77.319999999999993</v>
      </c>
      <c r="BC297" s="8">
        <v>77.540000000000006</v>
      </c>
      <c r="BD297" s="8">
        <v>82.29</v>
      </c>
      <c r="BE297" s="8">
        <v>82.29</v>
      </c>
      <c r="BF297" s="8">
        <v>70.89</v>
      </c>
      <c r="BG297" s="8">
        <v>70.89</v>
      </c>
      <c r="BH297" s="8">
        <v>78.77</v>
      </c>
      <c r="BI297" s="8">
        <v>80.81</v>
      </c>
      <c r="BJ297" s="8">
        <v>76.17</v>
      </c>
      <c r="BK297" s="8">
        <v>84.76</v>
      </c>
      <c r="BL297" s="8">
        <v>91</v>
      </c>
      <c r="BM297" s="8">
        <v>90.79</v>
      </c>
      <c r="BN297" s="8">
        <v>67.95</v>
      </c>
      <c r="BO297" s="8">
        <v>84.54</v>
      </c>
      <c r="BP297" s="8">
        <v>80.53</v>
      </c>
      <c r="BQ297" s="8">
        <v>80.42</v>
      </c>
      <c r="BR297" s="8">
        <v>80.64</v>
      </c>
      <c r="BS297" s="8">
        <v>93.7</v>
      </c>
      <c r="BT297" s="8">
        <v>93.7</v>
      </c>
      <c r="BU297" s="8">
        <v>92.51</v>
      </c>
      <c r="BV297" s="8">
        <v>91.83</v>
      </c>
      <c r="BW297" s="8">
        <v>92.46</v>
      </c>
      <c r="BX297" s="8">
        <v>98.38</v>
      </c>
      <c r="BY297" s="8">
        <v>87.86</v>
      </c>
      <c r="BZ297" s="8">
        <v>85.83</v>
      </c>
      <c r="CA297" s="8">
        <v>83.12</v>
      </c>
      <c r="CB297" s="8">
        <v>89.47</v>
      </c>
      <c r="CC297" s="8">
        <v>83.92</v>
      </c>
      <c r="CD297" s="8">
        <v>81.02</v>
      </c>
      <c r="CE297" s="8">
        <v>88.79</v>
      </c>
      <c r="CF297" s="8">
        <v>78.599999999999994</v>
      </c>
      <c r="CG297" s="8">
        <v>77.95</v>
      </c>
      <c r="CH297" s="8">
        <v>81</v>
      </c>
      <c r="CI297" s="8">
        <v>96.73</v>
      </c>
      <c r="CJ297" s="8">
        <v>97.31</v>
      </c>
      <c r="CK297" s="8">
        <v>92.89</v>
      </c>
      <c r="CL297" s="8">
        <v>77.77</v>
      </c>
      <c r="CM297" s="8">
        <v>76.81</v>
      </c>
      <c r="CN297" s="8">
        <v>85.67</v>
      </c>
      <c r="CO297" s="8">
        <v>81.489999999999995</v>
      </c>
      <c r="CP297" s="8">
        <v>81.040000000000006</v>
      </c>
      <c r="CQ297" s="8">
        <v>84.58</v>
      </c>
      <c r="CR297" s="8">
        <v>79.7</v>
      </c>
      <c r="CS297" s="8">
        <v>76.86</v>
      </c>
      <c r="CT297" s="8">
        <v>80.03</v>
      </c>
      <c r="CU297" s="8">
        <v>86.57</v>
      </c>
      <c r="CV297" s="8">
        <v>92.52</v>
      </c>
      <c r="CW297" s="8">
        <v>92.52</v>
      </c>
      <c r="CX297" s="8">
        <v>98.13</v>
      </c>
      <c r="CY297" s="8">
        <v>98.13</v>
      </c>
      <c r="CZ297" s="8">
        <v>74.569999999999993</v>
      </c>
      <c r="DA297" s="8">
        <v>99.47</v>
      </c>
      <c r="DB297" s="8">
        <v>83.6</v>
      </c>
      <c r="DC297" s="8">
        <v>88.3</v>
      </c>
      <c r="DD297" s="8">
        <v>99.63</v>
      </c>
      <c r="DE297" s="8">
        <v>74.87</v>
      </c>
      <c r="DF297" s="8">
        <v>84.17</v>
      </c>
      <c r="DG297" s="8">
        <v>101.72</v>
      </c>
      <c r="DH297" s="8">
        <v>77.760000000000005</v>
      </c>
      <c r="DI297" s="8">
        <v>76.790000000000006</v>
      </c>
      <c r="DJ297" s="8">
        <v>75.47</v>
      </c>
      <c r="DK297" s="8">
        <v>69.52</v>
      </c>
      <c r="DL297" s="8">
        <v>85.22</v>
      </c>
      <c r="DM297" s="8">
        <v>91</v>
      </c>
      <c r="DN297" s="8">
        <v>97.71</v>
      </c>
      <c r="DO297" s="8">
        <v>81.180000000000007</v>
      </c>
      <c r="DP297" s="8">
        <v>72.63</v>
      </c>
      <c r="DQ297" s="8">
        <v>82.37</v>
      </c>
      <c r="DR297" s="8">
        <v>87.04</v>
      </c>
      <c r="DS297" s="8">
        <v>81.39</v>
      </c>
      <c r="DT297" s="8">
        <v>81.39</v>
      </c>
      <c r="DU297" s="8">
        <v>88.46</v>
      </c>
      <c r="DV297" s="8">
        <v>80.69</v>
      </c>
      <c r="DW297" s="8">
        <v>78.459999999999994</v>
      </c>
      <c r="DX297" s="8">
        <v>79.739999999999995</v>
      </c>
      <c r="DY297" s="8">
        <v>68.13</v>
      </c>
      <c r="DZ297" s="8">
        <v>68.13</v>
      </c>
      <c r="EA297" s="8">
        <v>83.47</v>
      </c>
      <c r="EB297" s="8">
        <v>93.7</v>
      </c>
      <c r="EC297" s="8">
        <v>82.35</v>
      </c>
      <c r="ED297" s="9">
        <v>0.4</v>
      </c>
      <c r="EE297" s="9">
        <v>2</v>
      </c>
      <c r="EF297" s="9">
        <v>1.2</v>
      </c>
      <c r="EG297" s="9">
        <v>1.1000000000000001</v>
      </c>
      <c r="EH297" s="9">
        <v>0.1</v>
      </c>
      <c r="EI297" s="9">
        <v>2.7</v>
      </c>
      <c r="EJ297" s="9">
        <v>4.4000000000000004</v>
      </c>
      <c r="EK297" s="9">
        <v>2</v>
      </c>
      <c r="EL297" s="9">
        <v>3.5</v>
      </c>
      <c r="EM297" s="9">
        <v>1.4</v>
      </c>
      <c r="EN297" s="9">
        <v>2.8</v>
      </c>
      <c r="EO297" s="9">
        <v>0.9</v>
      </c>
      <c r="EP297" s="9">
        <v>2.4</v>
      </c>
      <c r="EQ297" s="9">
        <v>1.1000000000000001</v>
      </c>
      <c r="ER297" s="9">
        <v>1.1000000000000001</v>
      </c>
      <c r="ES297" s="9">
        <v>0.8</v>
      </c>
      <c r="ET297" s="9">
        <v>1.7</v>
      </c>
      <c r="EU297" s="9">
        <v>0.8</v>
      </c>
      <c r="EV297" s="9">
        <v>5.9</v>
      </c>
      <c r="EW297" s="9">
        <v>2.4</v>
      </c>
      <c r="EX297" s="9">
        <v>9.1</v>
      </c>
      <c r="EY297" s="9">
        <v>2.2999999999999998</v>
      </c>
      <c r="EZ297" s="9">
        <v>1</v>
      </c>
      <c r="FA297" s="9">
        <v>2</v>
      </c>
      <c r="FB297" s="9">
        <v>2.6</v>
      </c>
      <c r="FC297" s="9">
        <v>1.4</v>
      </c>
      <c r="FD297" s="9">
        <v>2.5</v>
      </c>
      <c r="FE297" s="9">
        <v>2.5</v>
      </c>
      <c r="FF297" s="9">
        <v>1.9</v>
      </c>
      <c r="FG297" s="9">
        <v>2.6</v>
      </c>
      <c r="FH297" s="9">
        <v>1.8</v>
      </c>
      <c r="FI297" s="9">
        <v>0.7</v>
      </c>
      <c r="FJ297" s="9">
        <v>0.8</v>
      </c>
      <c r="FK297" s="9">
        <v>0.6</v>
      </c>
      <c r="FL297" s="9">
        <v>1.6</v>
      </c>
      <c r="FM297" s="9">
        <v>1.3</v>
      </c>
      <c r="FN297" s="9">
        <v>2.2000000000000002</v>
      </c>
      <c r="FO297" s="9">
        <v>1</v>
      </c>
      <c r="FP297" s="9">
        <v>1.2</v>
      </c>
      <c r="FQ297" s="9">
        <v>2</v>
      </c>
      <c r="FR297" s="9">
        <v>2</v>
      </c>
      <c r="FS297" s="9">
        <v>-0.8</v>
      </c>
      <c r="FT297" s="9">
        <v>-1.1000000000000001</v>
      </c>
      <c r="FU297" s="9">
        <v>0.9</v>
      </c>
      <c r="FV297" s="9">
        <v>-2.1</v>
      </c>
      <c r="FW297" s="9">
        <v>-1.2</v>
      </c>
      <c r="FX297" s="9">
        <v>-0.4</v>
      </c>
      <c r="FY297" s="9">
        <v>-1.2</v>
      </c>
      <c r="FZ297" s="9">
        <v>-0.1</v>
      </c>
      <c r="GA297" s="9">
        <v>-0.2</v>
      </c>
      <c r="GB297" s="9">
        <v>-0.1</v>
      </c>
      <c r="GC297" s="9">
        <v>-0.2</v>
      </c>
      <c r="GD297" s="9">
        <v>0.3</v>
      </c>
      <c r="GE297" s="9">
        <v>0.4</v>
      </c>
      <c r="GF297" s="9">
        <v>0.1</v>
      </c>
      <c r="GG297" s="9">
        <v>0.1</v>
      </c>
      <c r="GH297" s="9">
        <v>0.4</v>
      </c>
      <c r="GI297" s="9">
        <v>0.4</v>
      </c>
      <c r="GJ297" s="9">
        <v>0.2</v>
      </c>
      <c r="GK297" s="9">
        <v>0.4</v>
      </c>
      <c r="GL297" s="9">
        <v>0</v>
      </c>
      <c r="GM297" s="9">
        <v>0.8</v>
      </c>
      <c r="GN297" s="9">
        <v>0</v>
      </c>
      <c r="GO297" s="9">
        <v>1.3</v>
      </c>
      <c r="GP297" s="9">
        <v>0.3</v>
      </c>
      <c r="GQ297" s="9">
        <v>0.8</v>
      </c>
      <c r="GR297" s="9">
        <v>-3</v>
      </c>
      <c r="GS297" s="9">
        <v>-3.8</v>
      </c>
      <c r="GT297" s="9">
        <v>0.2</v>
      </c>
      <c r="GU297" s="9">
        <v>3.8</v>
      </c>
      <c r="GV297" s="9">
        <v>3.8</v>
      </c>
      <c r="GW297" s="9">
        <v>0.5</v>
      </c>
      <c r="GX297" s="9">
        <v>1.6</v>
      </c>
      <c r="GY297" s="9">
        <v>-0.9</v>
      </c>
      <c r="GZ297" s="9">
        <v>0.9</v>
      </c>
      <c r="HA297" s="9">
        <v>0.3</v>
      </c>
      <c r="HB297" s="9">
        <v>2.8</v>
      </c>
      <c r="HC297" s="9">
        <v>1.8</v>
      </c>
      <c r="HD297" s="9">
        <v>2.2000000000000002</v>
      </c>
      <c r="HE297" s="9">
        <v>3.4</v>
      </c>
      <c r="HF297" s="9">
        <v>0.9</v>
      </c>
      <c r="HG297" s="9">
        <v>1</v>
      </c>
      <c r="HH297" s="9">
        <v>0.7</v>
      </c>
      <c r="HI297" s="9">
        <v>0.9</v>
      </c>
      <c r="HJ297" s="9">
        <v>1.7</v>
      </c>
      <c r="HK297" s="9">
        <v>4.4000000000000004</v>
      </c>
      <c r="HL297" s="9">
        <v>5.0999999999999996</v>
      </c>
      <c r="HM297" s="9">
        <v>-0.2</v>
      </c>
      <c r="HN297" s="9">
        <v>1</v>
      </c>
      <c r="HO297" s="9">
        <v>1.1000000000000001</v>
      </c>
      <c r="HP297" s="9">
        <v>0.4</v>
      </c>
      <c r="HQ297" s="9">
        <v>-1.9</v>
      </c>
      <c r="HR297" s="9">
        <v>-2.1</v>
      </c>
      <c r="HS297" s="9">
        <v>-0.7</v>
      </c>
      <c r="HT297" s="9">
        <v>2.2000000000000002</v>
      </c>
      <c r="HU297" s="9">
        <v>-6</v>
      </c>
      <c r="HV297" s="9">
        <v>0.6</v>
      </c>
      <c r="HW297" s="9">
        <v>0.2</v>
      </c>
      <c r="HX297" s="9">
        <v>0.6</v>
      </c>
      <c r="HY297" s="9">
        <v>0.6</v>
      </c>
      <c r="HZ297" s="9">
        <v>-0.2</v>
      </c>
      <c r="IA297" s="9">
        <v>-0.2</v>
      </c>
      <c r="IB297" s="9">
        <v>1.5</v>
      </c>
      <c r="IC297" s="9">
        <v>-0.3</v>
      </c>
      <c r="ID297" s="9">
        <v>-1.7</v>
      </c>
      <c r="IE297" s="9">
        <v>-2.1</v>
      </c>
      <c r="IF297" s="9">
        <v>-2.2000000000000002</v>
      </c>
      <c r="IG297" s="9">
        <v>-1.9</v>
      </c>
      <c r="IH297" s="9">
        <v>0.5</v>
      </c>
      <c r="II297" s="9">
        <v>0</v>
      </c>
      <c r="IJ297" s="9">
        <v>0.8</v>
      </c>
      <c r="IK297" s="9">
        <v>-3.1</v>
      </c>
      <c r="IL297" s="9">
        <v>-3.1</v>
      </c>
      <c r="IM297" s="9">
        <v>-3.1</v>
      </c>
      <c r="IN297" s="9">
        <v>0.3</v>
      </c>
      <c r="IO297" s="9">
        <v>1.5</v>
      </c>
      <c r="IP297" s="9">
        <v>1.1000000000000001</v>
      </c>
      <c r="IQ297" s="9">
        <v>1.9</v>
      </c>
    </row>
    <row r="298" spans="1:251" x14ac:dyDescent="0.2">
      <c r="A298" s="10">
        <v>43983</v>
      </c>
      <c r="B298" s="8">
        <v>79.44</v>
      </c>
      <c r="C298" s="8">
        <v>81.5</v>
      </c>
      <c r="D298" s="8">
        <v>80.180000000000007</v>
      </c>
      <c r="E298" s="8">
        <v>77.760000000000005</v>
      </c>
      <c r="F298" s="8">
        <v>79.66</v>
      </c>
      <c r="G298" s="8">
        <v>84.33</v>
      </c>
      <c r="H298" s="8">
        <v>87.29</v>
      </c>
      <c r="I298" s="8">
        <v>84.69</v>
      </c>
      <c r="J298" s="8">
        <v>78.459999999999994</v>
      </c>
      <c r="K298" s="8">
        <v>86.17</v>
      </c>
      <c r="L298" s="8">
        <v>85.09</v>
      </c>
      <c r="M298" s="8">
        <v>85.85</v>
      </c>
      <c r="N298" s="8">
        <v>87.13</v>
      </c>
      <c r="O298" s="8">
        <v>86.94</v>
      </c>
      <c r="P298" s="8">
        <v>79.52</v>
      </c>
      <c r="Q298" s="8">
        <v>78.62</v>
      </c>
      <c r="R298" s="8">
        <v>80.61</v>
      </c>
      <c r="S298" s="8">
        <v>79.52</v>
      </c>
      <c r="T298" s="8">
        <v>86.77</v>
      </c>
      <c r="U298" s="8">
        <v>85.17</v>
      </c>
      <c r="V298" s="8">
        <v>87.65</v>
      </c>
      <c r="W298" s="8">
        <v>78.709999999999994</v>
      </c>
      <c r="X298" s="8">
        <v>68.650000000000006</v>
      </c>
      <c r="Y298" s="8">
        <v>86.09</v>
      </c>
      <c r="Z298" s="8">
        <v>83.36</v>
      </c>
      <c r="AA298" s="8">
        <v>69</v>
      </c>
      <c r="AB298" s="8">
        <v>76.97</v>
      </c>
      <c r="AC298" s="8">
        <v>84.92</v>
      </c>
      <c r="AD298" s="8">
        <v>78.010000000000005</v>
      </c>
      <c r="AE298" s="8">
        <v>75.400000000000006</v>
      </c>
      <c r="AF298" s="8">
        <v>78.77</v>
      </c>
      <c r="AG298" s="8">
        <v>80.98</v>
      </c>
      <c r="AH298" s="8">
        <v>81.849999999999994</v>
      </c>
      <c r="AI298" s="8">
        <v>79.84</v>
      </c>
      <c r="AJ298" s="8">
        <v>75.77</v>
      </c>
      <c r="AK298" s="8">
        <v>86.06</v>
      </c>
      <c r="AL298" s="8">
        <v>81.099999999999994</v>
      </c>
      <c r="AM298" s="8">
        <v>93.41</v>
      </c>
      <c r="AN298" s="8">
        <v>82.53</v>
      </c>
      <c r="AO298" s="8">
        <v>60.28</v>
      </c>
      <c r="AP298" s="8">
        <v>60.28</v>
      </c>
      <c r="AQ298" s="8">
        <v>93.39</v>
      </c>
      <c r="AR298" s="8">
        <v>99.03</v>
      </c>
      <c r="AS298" s="8">
        <v>101.52</v>
      </c>
      <c r="AT298" s="8">
        <v>100.28</v>
      </c>
      <c r="AU298" s="8">
        <v>91.27</v>
      </c>
      <c r="AV298" s="8">
        <v>94.2</v>
      </c>
      <c r="AW298" s="8">
        <v>91.55</v>
      </c>
      <c r="AX298" s="8">
        <v>94.97</v>
      </c>
      <c r="AY298" s="8">
        <v>95.85</v>
      </c>
      <c r="AZ298" s="8">
        <v>80.63</v>
      </c>
      <c r="BA298" s="8">
        <v>81.02</v>
      </c>
      <c r="BB298" s="8">
        <v>77.5</v>
      </c>
      <c r="BC298" s="8">
        <v>77.010000000000005</v>
      </c>
      <c r="BD298" s="8">
        <v>81.22</v>
      </c>
      <c r="BE298" s="8">
        <v>81.22</v>
      </c>
      <c r="BF298" s="8">
        <v>70.94</v>
      </c>
      <c r="BG298" s="8">
        <v>70.94</v>
      </c>
      <c r="BH298" s="8">
        <v>78.91</v>
      </c>
      <c r="BI298" s="8">
        <v>81.06</v>
      </c>
      <c r="BJ298" s="8">
        <v>76.17</v>
      </c>
      <c r="BK298" s="8">
        <v>83.31</v>
      </c>
      <c r="BL298" s="8">
        <v>90.47</v>
      </c>
      <c r="BM298" s="8">
        <v>88.56</v>
      </c>
      <c r="BN298" s="8">
        <v>67.37</v>
      </c>
      <c r="BO298" s="8">
        <v>75.02</v>
      </c>
      <c r="BP298" s="8">
        <v>83.19</v>
      </c>
      <c r="BQ298" s="8">
        <v>83.53</v>
      </c>
      <c r="BR298" s="8">
        <v>81.41</v>
      </c>
      <c r="BS298" s="8">
        <v>93.55</v>
      </c>
      <c r="BT298" s="8">
        <v>93.55</v>
      </c>
      <c r="BU298" s="8">
        <v>94.47</v>
      </c>
      <c r="BV298" s="8">
        <v>94.57</v>
      </c>
      <c r="BW298" s="8">
        <v>93.7</v>
      </c>
      <c r="BX298" s="8">
        <v>100.42</v>
      </c>
      <c r="BY298" s="8">
        <v>89.48</v>
      </c>
      <c r="BZ298" s="8">
        <v>89.11</v>
      </c>
      <c r="CA298" s="8">
        <v>88.29</v>
      </c>
      <c r="CB298" s="8">
        <v>91.48</v>
      </c>
      <c r="CC298" s="8">
        <v>87.76</v>
      </c>
      <c r="CD298" s="8">
        <v>48.57</v>
      </c>
      <c r="CE298" s="8">
        <v>4.4400000000000004</v>
      </c>
      <c r="CF298" s="8">
        <v>78.69</v>
      </c>
      <c r="CG298" s="8">
        <v>78.099999999999994</v>
      </c>
      <c r="CH298" s="8">
        <v>80.84</v>
      </c>
      <c r="CI298" s="8">
        <v>96.37</v>
      </c>
      <c r="CJ298" s="8">
        <v>96.85</v>
      </c>
      <c r="CK298" s="8">
        <v>93.18</v>
      </c>
      <c r="CL298" s="8">
        <v>77.66</v>
      </c>
      <c r="CM298" s="8">
        <v>76.66</v>
      </c>
      <c r="CN298" s="8">
        <v>85.87</v>
      </c>
      <c r="CO298" s="8">
        <v>75.989999999999995</v>
      </c>
      <c r="CP298" s="8">
        <v>75.3</v>
      </c>
      <c r="CQ298" s="8">
        <v>85.01</v>
      </c>
      <c r="CR298" s="8">
        <v>79.31</v>
      </c>
      <c r="CS298" s="8">
        <v>61.95</v>
      </c>
      <c r="CT298" s="8">
        <v>80.680000000000007</v>
      </c>
      <c r="CU298" s="8">
        <v>83.68</v>
      </c>
      <c r="CV298" s="8">
        <v>90.66</v>
      </c>
      <c r="CW298" s="8">
        <v>90.66</v>
      </c>
      <c r="CX298" s="8">
        <v>96.86</v>
      </c>
      <c r="CY298" s="8">
        <v>96.86</v>
      </c>
      <c r="CZ298" s="8">
        <v>73.540000000000006</v>
      </c>
      <c r="DA298" s="8">
        <v>98.18</v>
      </c>
      <c r="DB298" s="8">
        <v>82.73</v>
      </c>
      <c r="DC298" s="8">
        <v>89.13</v>
      </c>
      <c r="DD298" s="8">
        <v>101.44</v>
      </c>
      <c r="DE298" s="8">
        <v>74.569999999999993</v>
      </c>
      <c r="DF298" s="8">
        <v>85.27</v>
      </c>
      <c r="DG298" s="8">
        <v>104.26</v>
      </c>
      <c r="DH298" s="8">
        <v>78.33</v>
      </c>
      <c r="DI298" s="8">
        <v>75.3</v>
      </c>
      <c r="DJ298" s="8">
        <v>74.02</v>
      </c>
      <c r="DK298" s="8">
        <v>68.16</v>
      </c>
      <c r="DL298" s="8">
        <v>84.46</v>
      </c>
      <c r="DM298" s="8">
        <v>91.5</v>
      </c>
      <c r="DN298" s="8">
        <v>97.01</v>
      </c>
      <c r="DO298" s="8">
        <v>81.760000000000005</v>
      </c>
      <c r="DP298" s="8">
        <v>72.83</v>
      </c>
      <c r="DQ298" s="8">
        <v>80.77</v>
      </c>
      <c r="DR298" s="8">
        <v>85.36</v>
      </c>
      <c r="DS298" s="8">
        <v>78.41</v>
      </c>
      <c r="DT298" s="8">
        <v>78.41</v>
      </c>
      <c r="DU298" s="8">
        <v>74.13</v>
      </c>
      <c r="DV298" s="8">
        <v>80.59</v>
      </c>
      <c r="DW298" s="8">
        <v>78.459999999999994</v>
      </c>
      <c r="DX298" s="8">
        <v>80.05</v>
      </c>
      <c r="DY298" s="8">
        <v>68.64</v>
      </c>
      <c r="DZ298" s="8">
        <v>68.64</v>
      </c>
      <c r="EA298" s="8">
        <v>83.71</v>
      </c>
      <c r="EB298" s="8">
        <v>92.36</v>
      </c>
      <c r="EC298" s="8">
        <v>82.77</v>
      </c>
      <c r="ED298" s="9">
        <v>-1.9</v>
      </c>
      <c r="EE298" s="9">
        <v>0.5</v>
      </c>
      <c r="EF298" s="9">
        <v>1</v>
      </c>
      <c r="EG298" s="9">
        <v>-0.2</v>
      </c>
      <c r="EH298" s="9">
        <v>0.4</v>
      </c>
      <c r="EI298" s="9">
        <v>1.7</v>
      </c>
      <c r="EJ298" s="9">
        <v>6</v>
      </c>
      <c r="EK298" s="9">
        <v>0.7</v>
      </c>
      <c r="EL298" s="9">
        <v>-1.2</v>
      </c>
      <c r="EM298" s="9">
        <v>1.2</v>
      </c>
      <c r="EN298" s="9">
        <v>0.2</v>
      </c>
      <c r="EO298" s="9">
        <v>-1.2</v>
      </c>
      <c r="EP298" s="9">
        <v>1.8</v>
      </c>
      <c r="EQ298" s="9">
        <v>3.7</v>
      </c>
      <c r="ER298" s="9">
        <v>1</v>
      </c>
      <c r="ES298" s="9">
        <v>0.7</v>
      </c>
      <c r="ET298" s="9">
        <v>1.2</v>
      </c>
      <c r="EU298" s="9">
        <v>1.2</v>
      </c>
      <c r="EV298" s="9">
        <v>-0.7</v>
      </c>
      <c r="EW298" s="9">
        <v>0.2</v>
      </c>
      <c r="EX298" s="9">
        <v>-1.4</v>
      </c>
      <c r="EY298" s="9">
        <v>1.1000000000000001</v>
      </c>
      <c r="EZ298" s="9">
        <v>2</v>
      </c>
      <c r="FA298" s="9">
        <v>2.7</v>
      </c>
      <c r="FB298" s="9">
        <v>0.4</v>
      </c>
      <c r="FC298" s="9">
        <v>1.5</v>
      </c>
      <c r="FD298" s="9">
        <v>0</v>
      </c>
      <c r="FE298" s="9">
        <v>2.7</v>
      </c>
      <c r="FF298" s="9">
        <v>2</v>
      </c>
      <c r="FG298" s="9">
        <v>1.8</v>
      </c>
      <c r="FH298" s="9">
        <v>2</v>
      </c>
      <c r="FI298" s="9">
        <v>0.3</v>
      </c>
      <c r="FJ298" s="9">
        <v>0</v>
      </c>
      <c r="FK298" s="9">
        <v>0.7</v>
      </c>
      <c r="FL298" s="9">
        <v>1.5</v>
      </c>
      <c r="FM298" s="9">
        <v>0.7</v>
      </c>
      <c r="FN298" s="9">
        <v>0</v>
      </c>
      <c r="FO298" s="9">
        <v>0.9</v>
      </c>
      <c r="FP298" s="9">
        <v>0.8</v>
      </c>
      <c r="FQ298" s="9">
        <v>2.7</v>
      </c>
      <c r="FR298" s="9">
        <v>2.7</v>
      </c>
      <c r="FS298" s="9">
        <v>0.1</v>
      </c>
      <c r="FT298" s="9">
        <v>0.9</v>
      </c>
      <c r="FU298" s="9">
        <v>-2.1</v>
      </c>
      <c r="FV298" s="9">
        <v>2.9</v>
      </c>
      <c r="FW298" s="9">
        <v>-0.8</v>
      </c>
      <c r="FX298" s="9">
        <v>-1.5</v>
      </c>
      <c r="FY298" s="9">
        <v>-3.5</v>
      </c>
      <c r="FZ298" s="9">
        <v>-0.9</v>
      </c>
      <c r="GA298" s="9">
        <v>-0.5</v>
      </c>
      <c r="GB298" s="9">
        <v>-0.8</v>
      </c>
      <c r="GC298" s="9">
        <v>-1</v>
      </c>
      <c r="GD298" s="9">
        <v>0.2</v>
      </c>
      <c r="GE298" s="9">
        <v>-0.7</v>
      </c>
      <c r="GF298" s="9">
        <v>-1.3</v>
      </c>
      <c r="GG298" s="9">
        <v>-1.3</v>
      </c>
      <c r="GH298" s="9">
        <v>0.1</v>
      </c>
      <c r="GI298" s="9">
        <v>0.1</v>
      </c>
      <c r="GJ298" s="9">
        <v>0.2</v>
      </c>
      <c r="GK298" s="9">
        <v>0.3</v>
      </c>
      <c r="GL298" s="9">
        <v>0</v>
      </c>
      <c r="GM298" s="9">
        <v>-1.7</v>
      </c>
      <c r="GN298" s="9">
        <v>-0.6</v>
      </c>
      <c r="GO298" s="9">
        <v>-2.5</v>
      </c>
      <c r="GP298" s="9">
        <v>-0.9</v>
      </c>
      <c r="GQ298" s="9">
        <v>-11.3</v>
      </c>
      <c r="GR298" s="9">
        <v>3.3</v>
      </c>
      <c r="GS298" s="9">
        <v>3.9</v>
      </c>
      <c r="GT298" s="9">
        <v>1</v>
      </c>
      <c r="GU298" s="9">
        <v>-0.2</v>
      </c>
      <c r="GV298" s="9">
        <v>-0.2</v>
      </c>
      <c r="GW298" s="9">
        <v>2.1</v>
      </c>
      <c r="GX298" s="9">
        <v>3</v>
      </c>
      <c r="GY298" s="9">
        <v>1.3</v>
      </c>
      <c r="GZ298" s="9">
        <v>2.1</v>
      </c>
      <c r="HA298" s="9">
        <v>1.8</v>
      </c>
      <c r="HB298" s="9">
        <v>3.8</v>
      </c>
      <c r="HC298" s="9">
        <v>6.2</v>
      </c>
      <c r="HD298" s="9">
        <v>2.2000000000000002</v>
      </c>
      <c r="HE298" s="9">
        <v>4.5999999999999996</v>
      </c>
      <c r="HF298" s="9">
        <v>-40.1</v>
      </c>
      <c r="HG298" s="9">
        <v>-95</v>
      </c>
      <c r="HH298" s="9">
        <v>0.1</v>
      </c>
      <c r="HI298" s="9">
        <v>0.2</v>
      </c>
      <c r="HJ298" s="9">
        <v>-0.2</v>
      </c>
      <c r="HK298" s="9">
        <v>-0.4</v>
      </c>
      <c r="HL298" s="9">
        <v>-0.5</v>
      </c>
      <c r="HM298" s="9">
        <v>0.3</v>
      </c>
      <c r="HN298" s="9">
        <v>-0.1</v>
      </c>
      <c r="HO298" s="9">
        <v>-0.2</v>
      </c>
      <c r="HP298" s="9">
        <v>0.2</v>
      </c>
      <c r="HQ298" s="9">
        <v>-6.7</v>
      </c>
      <c r="HR298" s="9">
        <v>-7.1</v>
      </c>
      <c r="HS298" s="9">
        <v>0.5</v>
      </c>
      <c r="HT298" s="9">
        <v>-0.5</v>
      </c>
      <c r="HU298" s="9">
        <v>-19.399999999999999</v>
      </c>
      <c r="HV298" s="9">
        <v>0.8</v>
      </c>
      <c r="HW298" s="9">
        <v>-3.3</v>
      </c>
      <c r="HX298" s="9">
        <v>-2</v>
      </c>
      <c r="HY298" s="9">
        <v>-2</v>
      </c>
      <c r="HZ298" s="9">
        <v>-1.3</v>
      </c>
      <c r="IA298" s="9">
        <v>-1.3</v>
      </c>
      <c r="IB298" s="9">
        <v>-1.4</v>
      </c>
      <c r="IC298" s="9">
        <v>-1.3</v>
      </c>
      <c r="ID298" s="9">
        <v>-1</v>
      </c>
      <c r="IE298" s="9">
        <v>0.9</v>
      </c>
      <c r="IF298" s="9">
        <v>1.8</v>
      </c>
      <c r="IG298" s="9">
        <v>-0.4</v>
      </c>
      <c r="IH298" s="9">
        <v>1.3</v>
      </c>
      <c r="II298" s="9">
        <v>2.5</v>
      </c>
      <c r="IJ298" s="9">
        <v>0.7</v>
      </c>
      <c r="IK298" s="9">
        <v>-1.9</v>
      </c>
      <c r="IL298" s="9">
        <v>-1.9</v>
      </c>
      <c r="IM298" s="9">
        <v>-2</v>
      </c>
      <c r="IN298" s="9">
        <v>-0.9</v>
      </c>
      <c r="IO298" s="9">
        <v>0.5</v>
      </c>
      <c r="IP298" s="9">
        <v>-0.7</v>
      </c>
      <c r="IQ298" s="9">
        <v>0.7</v>
      </c>
    </row>
    <row r="299" spans="1:251" x14ac:dyDescent="0.2">
      <c r="A299" s="10">
        <v>44075</v>
      </c>
      <c r="B299" s="8">
        <v>80.67</v>
      </c>
      <c r="C299" s="8">
        <v>81.150000000000006</v>
      </c>
      <c r="D299" s="8">
        <v>78.67</v>
      </c>
      <c r="E299" s="8">
        <v>77.400000000000006</v>
      </c>
      <c r="F299" s="8">
        <v>78.260000000000005</v>
      </c>
      <c r="G299" s="8">
        <v>80.14</v>
      </c>
      <c r="H299" s="8">
        <v>83.53</v>
      </c>
      <c r="I299" s="8">
        <v>85.52</v>
      </c>
      <c r="J299" s="8">
        <v>80.53</v>
      </c>
      <c r="K299" s="8">
        <v>86.38</v>
      </c>
      <c r="L299" s="8">
        <v>85.99</v>
      </c>
      <c r="M299" s="8">
        <v>87.22</v>
      </c>
      <c r="N299" s="8">
        <v>88.26</v>
      </c>
      <c r="O299" s="8">
        <v>85.7</v>
      </c>
      <c r="P299" s="8">
        <v>79.349999999999994</v>
      </c>
      <c r="Q299" s="8">
        <v>78.37</v>
      </c>
      <c r="R299" s="8">
        <v>80.430000000000007</v>
      </c>
      <c r="S299" s="8">
        <v>79.45</v>
      </c>
      <c r="T299" s="8">
        <v>86.78</v>
      </c>
      <c r="U299" s="8">
        <v>84.77</v>
      </c>
      <c r="V299" s="8">
        <v>88.02</v>
      </c>
      <c r="W299" s="8">
        <v>77.459999999999994</v>
      </c>
      <c r="X299" s="8">
        <v>68.47</v>
      </c>
      <c r="Y299" s="8">
        <v>85.92</v>
      </c>
      <c r="Z299" s="8">
        <v>82.44</v>
      </c>
      <c r="AA299" s="8">
        <v>67.52</v>
      </c>
      <c r="AB299" s="8">
        <v>76.37</v>
      </c>
      <c r="AC299" s="8">
        <v>81.92</v>
      </c>
      <c r="AD299" s="8">
        <v>77.97</v>
      </c>
      <c r="AE299" s="8">
        <v>74.040000000000006</v>
      </c>
      <c r="AF299" s="8">
        <v>79.12</v>
      </c>
      <c r="AG299" s="8">
        <v>80.599999999999994</v>
      </c>
      <c r="AH299" s="8">
        <v>81.599999999999994</v>
      </c>
      <c r="AI299" s="8">
        <v>79.31</v>
      </c>
      <c r="AJ299" s="8">
        <v>77.010000000000005</v>
      </c>
      <c r="AK299" s="8">
        <v>86.44</v>
      </c>
      <c r="AL299" s="8">
        <v>81.45</v>
      </c>
      <c r="AM299" s="8">
        <v>94.65</v>
      </c>
      <c r="AN299" s="8">
        <v>82.28</v>
      </c>
      <c r="AO299" s="8">
        <v>62.19</v>
      </c>
      <c r="AP299" s="8">
        <v>62.19</v>
      </c>
      <c r="AQ299" s="8">
        <v>93.86</v>
      </c>
      <c r="AR299" s="8">
        <v>99.96</v>
      </c>
      <c r="AS299" s="8">
        <v>101.67</v>
      </c>
      <c r="AT299" s="8">
        <v>101.76</v>
      </c>
      <c r="AU299" s="8">
        <v>91.68</v>
      </c>
      <c r="AV299" s="8">
        <v>94.35</v>
      </c>
      <c r="AW299" s="8">
        <v>91.93</v>
      </c>
      <c r="AX299" s="8">
        <v>95.33</v>
      </c>
      <c r="AY299" s="8">
        <v>94.78</v>
      </c>
      <c r="AZ299" s="8">
        <v>80.31</v>
      </c>
      <c r="BA299" s="8">
        <v>80.540000000000006</v>
      </c>
      <c r="BB299" s="8">
        <v>78</v>
      </c>
      <c r="BC299" s="8">
        <v>77.010000000000005</v>
      </c>
      <c r="BD299" s="8">
        <v>81.03</v>
      </c>
      <c r="BE299" s="8">
        <v>81.03</v>
      </c>
      <c r="BF299" s="8">
        <v>71.3</v>
      </c>
      <c r="BG299" s="8">
        <v>71.3</v>
      </c>
      <c r="BH299" s="8">
        <v>79.48</v>
      </c>
      <c r="BI299" s="8">
        <v>81.3</v>
      </c>
      <c r="BJ299" s="8">
        <v>77.150000000000006</v>
      </c>
      <c r="BK299" s="8">
        <v>82.37</v>
      </c>
      <c r="BL299" s="8">
        <v>88.05</v>
      </c>
      <c r="BM299" s="8">
        <v>87.97</v>
      </c>
      <c r="BN299" s="8">
        <v>66.92</v>
      </c>
      <c r="BO299" s="8">
        <v>84.06</v>
      </c>
      <c r="BP299" s="8">
        <v>87.77</v>
      </c>
      <c r="BQ299" s="8">
        <v>88.86</v>
      </c>
      <c r="BR299" s="8">
        <v>82.84</v>
      </c>
      <c r="BS299" s="8">
        <v>98.56</v>
      </c>
      <c r="BT299" s="8">
        <v>98.56</v>
      </c>
      <c r="BU299" s="8">
        <v>98.68</v>
      </c>
      <c r="BV299" s="8">
        <v>99.67</v>
      </c>
      <c r="BW299" s="8">
        <v>99.13</v>
      </c>
      <c r="BX299" s="8">
        <v>105.81</v>
      </c>
      <c r="BY299" s="8">
        <v>90.75</v>
      </c>
      <c r="BZ299" s="8">
        <v>85.83</v>
      </c>
      <c r="CA299" s="8">
        <v>84.44</v>
      </c>
      <c r="CB299" s="8">
        <v>88.74</v>
      </c>
      <c r="CC299" s="8">
        <v>84.19</v>
      </c>
      <c r="CD299" s="8">
        <v>72.459999999999994</v>
      </c>
      <c r="CE299" s="8">
        <v>65.459999999999994</v>
      </c>
      <c r="CF299" s="8">
        <v>79.099999999999994</v>
      </c>
      <c r="CG299" s="8">
        <v>78.989999999999995</v>
      </c>
      <c r="CH299" s="8">
        <v>80.680000000000007</v>
      </c>
      <c r="CI299" s="8">
        <v>94.65</v>
      </c>
      <c r="CJ299" s="8">
        <v>94.85</v>
      </c>
      <c r="CK299" s="8">
        <v>93.38</v>
      </c>
      <c r="CL299" s="8">
        <v>77.81</v>
      </c>
      <c r="CM299" s="8">
        <v>76.81</v>
      </c>
      <c r="CN299" s="8">
        <v>86</v>
      </c>
      <c r="CO299" s="8">
        <v>78.53</v>
      </c>
      <c r="CP299" s="8">
        <v>78.19</v>
      </c>
      <c r="CQ299" s="8">
        <v>87.16</v>
      </c>
      <c r="CR299" s="8">
        <v>79.959999999999994</v>
      </c>
      <c r="CS299" s="8">
        <v>67.790000000000006</v>
      </c>
      <c r="CT299" s="8">
        <v>80.569999999999993</v>
      </c>
      <c r="CU299" s="8">
        <v>85.1</v>
      </c>
      <c r="CV299" s="8">
        <v>87.43</v>
      </c>
      <c r="CW299" s="8">
        <v>87.43</v>
      </c>
      <c r="CX299" s="8">
        <v>96.12</v>
      </c>
      <c r="CY299" s="8">
        <v>96.12</v>
      </c>
      <c r="CZ299" s="8">
        <v>72.75</v>
      </c>
      <c r="DA299" s="8">
        <v>97.44</v>
      </c>
      <c r="DB299" s="8">
        <v>83.67</v>
      </c>
      <c r="DC299" s="8">
        <v>90.03</v>
      </c>
      <c r="DD299" s="8">
        <v>103.06</v>
      </c>
      <c r="DE299" s="8">
        <v>74.650000000000006</v>
      </c>
      <c r="DF299" s="8">
        <v>85.16</v>
      </c>
      <c r="DG299" s="8">
        <v>103.34</v>
      </c>
      <c r="DH299" s="8">
        <v>78.53</v>
      </c>
      <c r="DI299" s="8">
        <v>76.45</v>
      </c>
      <c r="DJ299" s="8">
        <v>75.14</v>
      </c>
      <c r="DK299" s="8">
        <v>69.22</v>
      </c>
      <c r="DL299" s="8">
        <v>85.12</v>
      </c>
      <c r="DM299" s="8">
        <v>91.86</v>
      </c>
      <c r="DN299" s="8">
        <v>97.77</v>
      </c>
      <c r="DO299" s="8">
        <v>81.2</v>
      </c>
      <c r="DP299" s="8">
        <v>73.25</v>
      </c>
      <c r="DQ299" s="8">
        <v>81.319999999999993</v>
      </c>
      <c r="DR299" s="8">
        <v>86.88</v>
      </c>
      <c r="DS299" s="8">
        <v>80.06</v>
      </c>
      <c r="DT299" s="8">
        <v>80.06</v>
      </c>
      <c r="DU299" s="8">
        <v>82.29</v>
      </c>
      <c r="DV299" s="8">
        <v>80.59</v>
      </c>
      <c r="DW299" s="8">
        <v>78.39</v>
      </c>
      <c r="DX299" s="8">
        <v>80.069999999999993</v>
      </c>
      <c r="DY299" s="8">
        <v>68.98</v>
      </c>
      <c r="DZ299" s="8">
        <v>68.98</v>
      </c>
      <c r="EA299" s="8">
        <v>83.63</v>
      </c>
      <c r="EB299" s="8">
        <v>92.59</v>
      </c>
      <c r="EC299" s="8">
        <v>82.65</v>
      </c>
      <c r="ED299" s="9">
        <v>1.5</v>
      </c>
      <c r="EE299" s="9">
        <v>-0.4</v>
      </c>
      <c r="EF299" s="9">
        <v>-1.9</v>
      </c>
      <c r="EG299" s="9">
        <v>-0.5</v>
      </c>
      <c r="EH299" s="9">
        <v>-1.8</v>
      </c>
      <c r="EI299" s="9">
        <v>-5</v>
      </c>
      <c r="EJ299" s="9">
        <v>-4.3</v>
      </c>
      <c r="EK299" s="9">
        <v>1</v>
      </c>
      <c r="EL299" s="9">
        <v>2.6</v>
      </c>
      <c r="EM299" s="9">
        <v>0.2</v>
      </c>
      <c r="EN299" s="9">
        <v>1.1000000000000001</v>
      </c>
      <c r="EO299" s="9">
        <v>1.6</v>
      </c>
      <c r="EP299" s="9">
        <v>1.3</v>
      </c>
      <c r="EQ299" s="9">
        <v>-1.4</v>
      </c>
      <c r="ER299" s="9">
        <v>-0.2</v>
      </c>
      <c r="ES299" s="9">
        <v>-0.3</v>
      </c>
      <c r="ET299" s="9">
        <v>-0.2</v>
      </c>
      <c r="EU299" s="9">
        <v>-0.1</v>
      </c>
      <c r="EV299" s="9">
        <v>0</v>
      </c>
      <c r="EW299" s="9">
        <v>-0.5</v>
      </c>
      <c r="EX299" s="9">
        <v>0.4</v>
      </c>
      <c r="EY299" s="9">
        <v>-1.6</v>
      </c>
      <c r="EZ299" s="9">
        <v>-0.3</v>
      </c>
      <c r="FA299" s="9">
        <v>-0.2</v>
      </c>
      <c r="FB299" s="9">
        <v>-1.1000000000000001</v>
      </c>
      <c r="FC299" s="9">
        <v>-2.1</v>
      </c>
      <c r="FD299" s="9">
        <v>-0.8</v>
      </c>
      <c r="FE299" s="9">
        <v>-3.5</v>
      </c>
      <c r="FF299" s="9">
        <v>-0.1</v>
      </c>
      <c r="FG299" s="9">
        <v>-1.8</v>
      </c>
      <c r="FH299" s="9">
        <v>0.4</v>
      </c>
      <c r="FI299" s="9">
        <v>-0.5</v>
      </c>
      <c r="FJ299" s="9">
        <v>-0.3</v>
      </c>
      <c r="FK299" s="9">
        <v>-0.7</v>
      </c>
      <c r="FL299" s="9">
        <v>1.6</v>
      </c>
      <c r="FM299" s="9">
        <v>0.4</v>
      </c>
      <c r="FN299" s="9">
        <v>0.4</v>
      </c>
      <c r="FO299" s="9">
        <v>1.3</v>
      </c>
      <c r="FP299" s="9">
        <v>-0.3</v>
      </c>
      <c r="FQ299" s="9">
        <v>3.2</v>
      </c>
      <c r="FR299" s="9">
        <v>3.2</v>
      </c>
      <c r="FS299" s="9">
        <v>0.5</v>
      </c>
      <c r="FT299" s="9">
        <v>0.9</v>
      </c>
      <c r="FU299" s="9">
        <v>0.1</v>
      </c>
      <c r="FV299" s="9">
        <v>1.5</v>
      </c>
      <c r="FW299" s="9">
        <v>0.4</v>
      </c>
      <c r="FX299" s="9">
        <v>0.2</v>
      </c>
      <c r="FY299" s="9">
        <v>0.4</v>
      </c>
      <c r="FZ299" s="9">
        <v>0.4</v>
      </c>
      <c r="GA299" s="9">
        <v>-1.1000000000000001</v>
      </c>
      <c r="GB299" s="9">
        <v>-0.4</v>
      </c>
      <c r="GC299" s="9">
        <v>-0.6</v>
      </c>
      <c r="GD299" s="9">
        <v>0.6</v>
      </c>
      <c r="GE299" s="9">
        <v>0</v>
      </c>
      <c r="GF299" s="9">
        <v>-0.2</v>
      </c>
      <c r="GG299" s="9">
        <v>-0.2</v>
      </c>
      <c r="GH299" s="9">
        <v>0.5</v>
      </c>
      <c r="GI299" s="9">
        <v>0.5</v>
      </c>
      <c r="GJ299" s="9">
        <v>0.7</v>
      </c>
      <c r="GK299" s="9">
        <v>0.3</v>
      </c>
      <c r="GL299" s="9">
        <v>1.3</v>
      </c>
      <c r="GM299" s="9">
        <v>-1.1000000000000001</v>
      </c>
      <c r="GN299" s="9">
        <v>-2.7</v>
      </c>
      <c r="GO299" s="9">
        <v>-0.7</v>
      </c>
      <c r="GP299" s="9">
        <v>-0.7</v>
      </c>
      <c r="GQ299" s="9">
        <v>12.1</v>
      </c>
      <c r="GR299" s="9">
        <v>5.5</v>
      </c>
      <c r="GS299" s="9">
        <v>6.4</v>
      </c>
      <c r="GT299" s="9">
        <v>1.8</v>
      </c>
      <c r="GU299" s="9">
        <v>5.4</v>
      </c>
      <c r="GV299" s="9">
        <v>5.4</v>
      </c>
      <c r="GW299" s="9">
        <v>4.5</v>
      </c>
      <c r="GX299" s="9">
        <v>5.4</v>
      </c>
      <c r="GY299" s="9">
        <v>5.8</v>
      </c>
      <c r="GZ299" s="9">
        <v>5.4</v>
      </c>
      <c r="HA299" s="9">
        <v>1.4</v>
      </c>
      <c r="HB299" s="9">
        <v>-3.7</v>
      </c>
      <c r="HC299" s="9">
        <v>-4.4000000000000004</v>
      </c>
      <c r="HD299" s="9">
        <v>-3</v>
      </c>
      <c r="HE299" s="9">
        <v>-4.0999999999999996</v>
      </c>
      <c r="HF299" s="9">
        <v>49.2</v>
      </c>
      <c r="HG299" s="9">
        <v>1374.3</v>
      </c>
      <c r="HH299" s="9">
        <v>0.5</v>
      </c>
      <c r="HI299" s="9">
        <v>1.1000000000000001</v>
      </c>
      <c r="HJ299" s="9">
        <v>-0.2</v>
      </c>
      <c r="HK299" s="9">
        <v>-1.8</v>
      </c>
      <c r="HL299" s="9">
        <v>-2.1</v>
      </c>
      <c r="HM299" s="9">
        <v>0.2</v>
      </c>
      <c r="HN299" s="9">
        <v>0.2</v>
      </c>
      <c r="HO299" s="9">
        <v>0.2</v>
      </c>
      <c r="HP299" s="9">
        <v>0.2</v>
      </c>
      <c r="HQ299" s="9">
        <v>3.3</v>
      </c>
      <c r="HR299" s="9">
        <v>3.8</v>
      </c>
      <c r="HS299" s="9">
        <v>2.5</v>
      </c>
      <c r="HT299" s="9">
        <v>0.8</v>
      </c>
      <c r="HU299" s="9">
        <v>9.4</v>
      </c>
      <c r="HV299" s="9">
        <v>-0.1</v>
      </c>
      <c r="HW299" s="9">
        <v>1.7</v>
      </c>
      <c r="HX299" s="9">
        <v>-3.6</v>
      </c>
      <c r="HY299" s="9">
        <v>-3.6</v>
      </c>
      <c r="HZ299" s="9">
        <v>-0.8</v>
      </c>
      <c r="IA299" s="9">
        <v>-0.8</v>
      </c>
      <c r="IB299" s="9">
        <v>-1.1000000000000001</v>
      </c>
      <c r="IC299" s="9">
        <v>-0.8</v>
      </c>
      <c r="ID299" s="9">
        <v>1.1000000000000001</v>
      </c>
      <c r="IE299" s="9">
        <v>1</v>
      </c>
      <c r="IF299" s="9">
        <v>1.6</v>
      </c>
      <c r="IG299" s="9">
        <v>0.1</v>
      </c>
      <c r="IH299" s="9">
        <v>-0.1</v>
      </c>
      <c r="II299" s="9">
        <v>-0.9</v>
      </c>
      <c r="IJ299" s="9">
        <v>0.3</v>
      </c>
      <c r="IK299" s="9">
        <v>1.5</v>
      </c>
      <c r="IL299" s="9">
        <v>1.5</v>
      </c>
      <c r="IM299" s="9">
        <v>1.6</v>
      </c>
      <c r="IN299" s="9">
        <v>0.8</v>
      </c>
      <c r="IO299" s="9">
        <v>0.4</v>
      </c>
      <c r="IP299" s="9">
        <v>0.8</v>
      </c>
      <c r="IQ299" s="9">
        <v>-0.7</v>
      </c>
    </row>
    <row r="300" spans="1:251" x14ac:dyDescent="0.2">
      <c r="A300" s="10">
        <v>44166</v>
      </c>
      <c r="B300" s="8">
        <v>81.400000000000006</v>
      </c>
      <c r="C300" s="8">
        <v>81.34</v>
      </c>
      <c r="D300" s="8">
        <v>79.27</v>
      </c>
      <c r="E300" s="8">
        <v>78.209999999999994</v>
      </c>
      <c r="F300" s="8">
        <v>78.650000000000006</v>
      </c>
      <c r="G300" s="8">
        <v>82.08</v>
      </c>
      <c r="H300" s="8">
        <v>83.25</v>
      </c>
      <c r="I300" s="8">
        <v>85.61</v>
      </c>
      <c r="J300" s="8">
        <v>82.94</v>
      </c>
      <c r="K300" s="8">
        <v>86.7</v>
      </c>
      <c r="L300" s="8">
        <v>83.77</v>
      </c>
      <c r="M300" s="8">
        <v>86.13</v>
      </c>
      <c r="N300" s="8">
        <v>87.72</v>
      </c>
      <c r="O300" s="8">
        <v>86.06</v>
      </c>
      <c r="P300" s="8">
        <v>79.31</v>
      </c>
      <c r="Q300" s="8">
        <v>78.91</v>
      </c>
      <c r="R300" s="8">
        <v>79.91</v>
      </c>
      <c r="S300" s="8">
        <v>79.19</v>
      </c>
      <c r="T300" s="8">
        <v>85.18</v>
      </c>
      <c r="U300" s="8">
        <v>87.64</v>
      </c>
      <c r="V300" s="8">
        <v>82.74</v>
      </c>
      <c r="W300" s="8">
        <v>77.78</v>
      </c>
      <c r="X300" s="8">
        <v>67.92</v>
      </c>
      <c r="Y300" s="8">
        <v>85.89</v>
      </c>
      <c r="Z300" s="8">
        <v>82.21</v>
      </c>
      <c r="AA300" s="8">
        <v>67.31</v>
      </c>
      <c r="AB300" s="8">
        <v>76.459999999999994</v>
      </c>
      <c r="AC300" s="8">
        <v>83.52</v>
      </c>
      <c r="AD300" s="8">
        <v>77.45</v>
      </c>
      <c r="AE300" s="8">
        <v>73.52</v>
      </c>
      <c r="AF300" s="8">
        <v>78.61</v>
      </c>
      <c r="AG300" s="8">
        <v>81.489999999999995</v>
      </c>
      <c r="AH300" s="8">
        <v>82.62</v>
      </c>
      <c r="AI300" s="8">
        <v>80.040000000000006</v>
      </c>
      <c r="AJ300" s="8">
        <v>80.25</v>
      </c>
      <c r="AK300" s="8">
        <v>86.14</v>
      </c>
      <c r="AL300" s="8">
        <v>81.16</v>
      </c>
      <c r="AM300" s="8">
        <v>93.83</v>
      </c>
      <c r="AN300" s="8">
        <v>82.38</v>
      </c>
      <c r="AO300" s="8">
        <v>68.98</v>
      </c>
      <c r="AP300" s="8">
        <v>68.98</v>
      </c>
      <c r="AQ300" s="8">
        <v>92.88</v>
      </c>
      <c r="AR300" s="8">
        <v>97.67</v>
      </c>
      <c r="AS300" s="8">
        <v>103.6</v>
      </c>
      <c r="AT300" s="8">
        <v>96.25</v>
      </c>
      <c r="AU300" s="8">
        <v>93.23</v>
      </c>
      <c r="AV300" s="8">
        <v>97.48</v>
      </c>
      <c r="AW300" s="8">
        <v>96.89</v>
      </c>
      <c r="AX300" s="8">
        <v>97.4</v>
      </c>
      <c r="AY300" s="8">
        <v>99.05</v>
      </c>
      <c r="AZ300" s="8">
        <v>79.89</v>
      </c>
      <c r="BA300" s="8">
        <v>79.94</v>
      </c>
      <c r="BB300" s="8">
        <v>78.69</v>
      </c>
      <c r="BC300" s="8">
        <v>76.540000000000006</v>
      </c>
      <c r="BD300" s="8">
        <v>81.14</v>
      </c>
      <c r="BE300" s="8">
        <v>81.14</v>
      </c>
      <c r="BF300" s="8">
        <v>71.739999999999995</v>
      </c>
      <c r="BG300" s="8">
        <v>71.739999999999995</v>
      </c>
      <c r="BH300" s="8">
        <v>79.819999999999993</v>
      </c>
      <c r="BI300" s="8">
        <v>81.89</v>
      </c>
      <c r="BJ300" s="8">
        <v>77.150000000000006</v>
      </c>
      <c r="BK300" s="8">
        <v>78.53</v>
      </c>
      <c r="BL300" s="8">
        <v>88.05</v>
      </c>
      <c r="BM300" s="8">
        <v>81.349999999999994</v>
      </c>
      <c r="BN300" s="8">
        <v>65.98</v>
      </c>
      <c r="BO300" s="8">
        <v>86.95</v>
      </c>
      <c r="BP300" s="8">
        <v>86.98</v>
      </c>
      <c r="BQ300" s="8">
        <v>87.84</v>
      </c>
      <c r="BR300" s="8">
        <v>83.05</v>
      </c>
      <c r="BS300" s="8">
        <v>96.61</v>
      </c>
      <c r="BT300" s="8">
        <v>96.61</v>
      </c>
      <c r="BU300" s="8">
        <v>98.48</v>
      </c>
      <c r="BV300" s="8">
        <v>99.4</v>
      </c>
      <c r="BW300" s="8">
        <v>101.34</v>
      </c>
      <c r="BX300" s="8">
        <v>103.11</v>
      </c>
      <c r="BY300" s="8">
        <v>91.07</v>
      </c>
      <c r="BZ300" s="8">
        <v>84.43</v>
      </c>
      <c r="CA300" s="8">
        <v>84.93</v>
      </c>
      <c r="CB300" s="8">
        <v>87.09</v>
      </c>
      <c r="CC300" s="8">
        <v>82.61</v>
      </c>
      <c r="CD300" s="8">
        <v>82.45</v>
      </c>
      <c r="CE300" s="8">
        <v>90.08</v>
      </c>
      <c r="CF300" s="8">
        <v>79.28</v>
      </c>
      <c r="CG300" s="8">
        <v>80.19</v>
      </c>
      <c r="CH300" s="8">
        <v>81.739999999999995</v>
      </c>
      <c r="CI300" s="8">
        <v>92.35</v>
      </c>
      <c r="CJ300" s="8">
        <v>92.17</v>
      </c>
      <c r="CK300" s="8">
        <v>93.56</v>
      </c>
      <c r="CL300" s="8">
        <v>79.56</v>
      </c>
      <c r="CM300" s="8">
        <v>78.739999999999995</v>
      </c>
      <c r="CN300" s="8">
        <v>86.23</v>
      </c>
      <c r="CO300" s="8">
        <v>79.23</v>
      </c>
      <c r="CP300" s="8">
        <v>78.75</v>
      </c>
      <c r="CQ300" s="8">
        <v>88.73</v>
      </c>
      <c r="CR300" s="8">
        <v>78.22</v>
      </c>
      <c r="CS300" s="8">
        <v>68.13</v>
      </c>
      <c r="CT300" s="8">
        <v>80.64</v>
      </c>
      <c r="CU300" s="8">
        <v>86.55</v>
      </c>
      <c r="CV300" s="8">
        <v>91.37</v>
      </c>
      <c r="CW300" s="8">
        <v>91.37</v>
      </c>
      <c r="CX300" s="8">
        <v>95.79</v>
      </c>
      <c r="CY300" s="8">
        <v>95.79</v>
      </c>
      <c r="CZ300" s="8">
        <v>72.77</v>
      </c>
      <c r="DA300" s="8">
        <v>97.09</v>
      </c>
      <c r="DB300" s="8">
        <v>85.06</v>
      </c>
      <c r="DC300" s="8">
        <v>89.57</v>
      </c>
      <c r="DD300" s="8">
        <v>101.53</v>
      </c>
      <c r="DE300" s="8">
        <v>75.67</v>
      </c>
      <c r="DF300" s="8">
        <v>84.6</v>
      </c>
      <c r="DG300" s="8">
        <v>100.12</v>
      </c>
      <c r="DH300" s="8">
        <v>78.91</v>
      </c>
      <c r="DI300" s="8">
        <v>81.09</v>
      </c>
      <c r="DJ300" s="8">
        <v>79.84</v>
      </c>
      <c r="DK300" s="8">
        <v>69.86</v>
      </c>
      <c r="DL300" s="8">
        <v>85.72</v>
      </c>
      <c r="DM300" s="8">
        <v>91.5</v>
      </c>
      <c r="DN300" s="8">
        <v>99.44</v>
      </c>
      <c r="DO300" s="8">
        <v>81.11</v>
      </c>
      <c r="DP300" s="8">
        <v>73.459999999999994</v>
      </c>
      <c r="DQ300" s="8">
        <v>82.27</v>
      </c>
      <c r="DR300" s="8">
        <v>87.6</v>
      </c>
      <c r="DS300" s="8">
        <v>80.98</v>
      </c>
      <c r="DT300" s="8">
        <v>80.98</v>
      </c>
      <c r="DU300" s="8">
        <v>86.76</v>
      </c>
      <c r="DV300" s="8">
        <v>80.59</v>
      </c>
      <c r="DW300" s="8">
        <v>78.39</v>
      </c>
      <c r="DX300" s="8">
        <v>80.180000000000007</v>
      </c>
      <c r="DY300" s="8">
        <v>69.45</v>
      </c>
      <c r="DZ300" s="8">
        <v>69.45</v>
      </c>
      <c r="EA300" s="8">
        <v>83.6</v>
      </c>
      <c r="EB300" s="8">
        <v>93.25</v>
      </c>
      <c r="EC300" s="8">
        <v>82.54</v>
      </c>
      <c r="ED300" s="9">
        <v>0.9</v>
      </c>
      <c r="EE300" s="9">
        <v>0.2</v>
      </c>
      <c r="EF300" s="9">
        <v>0.8</v>
      </c>
      <c r="EG300" s="9">
        <v>1</v>
      </c>
      <c r="EH300" s="9">
        <v>0.5</v>
      </c>
      <c r="EI300" s="9">
        <v>2.4</v>
      </c>
      <c r="EJ300" s="9">
        <v>-0.3</v>
      </c>
      <c r="EK300" s="9">
        <v>0.1</v>
      </c>
      <c r="EL300" s="9">
        <v>3</v>
      </c>
      <c r="EM300" s="9">
        <v>0.4</v>
      </c>
      <c r="EN300" s="9">
        <v>-2.6</v>
      </c>
      <c r="EO300" s="9">
        <v>-1.2</v>
      </c>
      <c r="EP300" s="9">
        <v>-0.6</v>
      </c>
      <c r="EQ300" s="9">
        <v>0.4</v>
      </c>
      <c r="ER300" s="9">
        <v>-0.1</v>
      </c>
      <c r="ES300" s="9">
        <v>0.7</v>
      </c>
      <c r="ET300" s="9">
        <v>-0.6</v>
      </c>
      <c r="EU300" s="9">
        <v>-0.3</v>
      </c>
      <c r="EV300" s="9">
        <v>-1.8</v>
      </c>
      <c r="EW300" s="9">
        <v>3.4</v>
      </c>
      <c r="EX300" s="9">
        <v>-6</v>
      </c>
      <c r="EY300" s="9">
        <v>0.4</v>
      </c>
      <c r="EZ300" s="9">
        <v>-0.8</v>
      </c>
      <c r="FA300" s="9">
        <v>0</v>
      </c>
      <c r="FB300" s="9">
        <v>-0.3</v>
      </c>
      <c r="FC300" s="9">
        <v>-0.3</v>
      </c>
      <c r="FD300" s="9">
        <v>0.1</v>
      </c>
      <c r="FE300" s="9">
        <v>2</v>
      </c>
      <c r="FF300" s="9">
        <v>-0.7</v>
      </c>
      <c r="FG300" s="9">
        <v>-0.7</v>
      </c>
      <c r="FH300" s="9">
        <v>-0.6</v>
      </c>
      <c r="FI300" s="9">
        <v>1.1000000000000001</v>
      </c>
      <c r="FJ300" s="9">
        <v>1.3</v>
      </c>
      <c r="FK300" s="9">
        <v>0.9</v>
      </c>
      <c r="FL300" s="9">
        <v>4.2</v>
      </c>
      <c r="FM300" s="9">
        <v>-0.3</v>
      </c>
      <c r="FN300" s="9">
        <v>-0.4</v>
      </c>
      <c r="FO300" s="9">
        <v>-0.9</v>
      </c>
      <c r="FP300" s="9">
        <v>0.1</v>
      </c>
      <c r="FQ300" s="9">
        <v>10.9</v>
      </c>
      <c r="FR300" s="9">
        <v>10.9</v>
      </c>
      <c r="FS300" s="9">
        <v>-1</v>
      </c>
      <c r="FT300" s="9">
        <v>-2.2999999999999998</v>
      </c>
      <c r="FU300" s="9">
        <v>1.9</v>
      </c>
      <c r="FV300" s="9">
        <v>-5.4</v>
      </c>
      <c r="FW300" s="9">
        <v>1.7</v>
      </c>
      <c r="FX300" s="9">
        <v>3.3</v>
      </c>
      <c r="FY300" s="9">
        <v>5.4</v>
      </c>
      <c r="FZ300" s="9">
        <v>2.2000000000000002</v>
      </c>
      <c r="GA300" s="9">
        <v>4.5</v>
      </c>
      <c r="GB300" s="9">
        <v>-0.5</v>
      </c>
      <c r="GC300" s="9">
        <v>-0.7</v>
      </c>
      <c r="GD300" s="9">
        <v>0.9</v>
      </c>
      <c r="GE300" s="9">
        <v>-0.6</v>
      </c>
      <c r="GF300" s="9">
        <v>0.1</v>
      </c>
      <c r="GG300" s="9">
        <v>0.1</v>
      </c>
      <c r="GH300" s="9">
        <v>0.6</v>
      </c>
      <c r="GI300" s="9">
        <v>0.6</v>
      </c>
      <c r="GJ300" s="9">
        <v>0.4</v>
      </c>
      <c r="GK300" s="9">
        <v>0.7</v>
      </c>
      <c r="GL300" s="9">
        <v>0</v>
      </c>
      <c r="GM300" s="9">
        <v>-4.7</v>
      </c>
      <c r="GN300" s="9">
        <v>0</v>
      </c>
      <c r="GO300" s="9">
        <v>-7.5</v>
      </c>
      <c r="GP300" s="9">
        <v>-1.4</v>
      </c>
      <c r="GQ300" s="9">
        <v>3.4</v>
      </c>
      <c r="GR300" s="9">
        <v>-0.9</v>
      </c>
      <c r="GS300" s="9">
        <v>-1.1000000000000001</v>
      </c>
      <c r="GT300" s="9">
        <v>0.3</v>
      </c>
      <c r="GU300" s="9">
        <v>-2</v>
      </c>
      <c r="GV300" s="9">
        <v>-2</v>
      </c>
      <c r="GW300" s="9">
        <v>-0.2</v>
      </c>
      <c r="GX300" s="9">
        <v>-0.3</v>
      </c>
      <c r="GY300" s="9">
        <v>2.2000000000000002</v>
      </c>
      <c r="GZ300" s="9">
        <v>-2.6</v>
      </c>
      <c r="HA300" s="9">
        <v>0.4</v>
      </c>
      <c r="HB300" s="9">
        <v>-1.6</v>
      </c>
      <c r="HC300" s="9">
        <v>0.6</v>
      </c>
      <c r="HD300" s="9">
        <v>-1.9</v>
      </c>
      <c r="HE300" s="9">
        <v>-1.9</v>
      </c>
      <c r="HF300" s="9">
        <v>13.8</v>
      </c>
      <c r="HG300" s="9">
        <v>37.6</v>
      </c>
      <c r="HH300" s="9">
        <v>0.2</v>
      </c>
      <c r="HI300" s="9">
        <v>1.5</v>
      </c>
      <c r="HJ300" s="9">
        <v>1.3</v>
      </c>
      <c r="HK300" s="9">
        <v>-2.4</v>
      </c>
      <c r="HL300" s="9">
        <v>-2.8</v>
      </c>
      <c r="HM300" s="9">
        <v>0.2</v>
      </c>
      <c r="HN300" s="9">
        <v>2.2000000000000002</v>
      </c>
      <c r="HO300" s="9">
        <v>2.5</v>
      </c>
      <c r="HP300" s="9">
        <v>0.3</v>
      </c>
      <c r="HQ300" s="9">
        <v>0.9</v>
      </c>
      <c r="HR300" s="9">
        <v>0.7</v>
      </c>
      <c r="HS300" s="9">
        <v>1.8</v>
      </c>
      <c r="HT300" s="9">
        <v>-2.2000000000000002</v>
      </c>
      <c r="HU300" s="9">
        <v>0.5</v>
      </c>
      <c r="HV300" s="9">
        <v>0.1</v>
      </c>
      <c r="HW300" s="9">
        <v>1.7</v>
      </c>
      <c r="HX300" s="9">
        <v>4.5</v>
      </c>
      <c r="HY300" s="9">
        <v>4.5</v>
      </c>
      <c r="HZ300" s="9">
        <v>-0.3</v>
      </c>
      <c r="IA300" s="9">
        <v>-0.3</v>
      </c>
      <c r="IB300" s="9">
        <v>0</v>
      </c>
      <c r="IC300" s="9">
        <v>-0.4</v>
      </c>
      <c r="ID300" s="9">
        <v>1.7</v>
      </c>
      <c r="IE300" s="9">
        <v>-0.5</v>
      </c>
      <c r="IF300" s="9">
        <v>-1.5</v>
      </c>
      <c r="IG300" s="9">
        <v>1.4</v>
      </c>
      <c r="IH300" s="9">
        <v>-0.7</v>
      </c>
      <c r="II300" s="9">
        <v>-3.1</v>
      </c>
      <c r="IJ300" s="9">
        <v>0.5</v>
      </c>
      <c r="IK300" s="9">
        <v>6.1</v>
      </c>
      <c r="IL300" s="9">
        <v>6.3</v>
      </c>
      <c r="IM300" s="9">
        <v>0.9</v>
      </c>
      <c r="IN300" s="9">
        <v>0.7</v>
      </c>
      <c r="IO300" s="9">
        <v>-0.4</v>
      </c>
      <c r="IP300" s="9">
        <v>1.7</v>
      </c>
      <c r="IQ300" s="9">
        <v>-0.1</v>
      </c>
    </row>
    <row r="301" spans="1:251" x14ac:dyDescent="0.2">
      <c r="A301" s="10">
        <v>44256</v>
      </c>
      <c r="B301" s="8">
        <v>81.87</v>
      </c>
      <c r="C301" s="8">
        <v>81.64</v>
      </c>
      <c r="D301" s="8">
        <v>79.319999999999993</v>
      </c>
      <c r="E301" s="8">
        <v>78.209999999999994</v>
      </c>
      <c r="F301" s="8">
        <v>79.62</v>
      </c>
      <c r="G301" s="8">
        <v>80.78</v>
      </c>
      <c r="H301" s="8">
        <v>80.959999999999994</v>
      </c>
      <c r="I301" s="8">
        <v>86.56</v>
      </c>
      <c r="J301" s="8">
        <v>86</v>
      </c>
      <c r="K301" s="8">
        <v>86.78</v>
      </c>
      <c r="L301" s="8">
        <v>86.31</v>
      </c>
      <c r="M301" s="8">
        <v>86.76</v>
      </c>
      <c r="N301" s="8">
        <v>87.75</v>
      </c>
      <c r="O301" s="8">
        <v>85.09</v>
      </c>
      <c r="P301" s="8">
        <v>79.02</v>
      </c>
      <c r="Q301" s="8">
        <v>78.7</v>
      </c>
      <c r="R301" s="8">
        <v>79.73</v>
      </c>
      <c r="S301" s="8">
        <v>78.7</v>
      </c>
      <c r="T301" s="8">
        <v>84.69</v>
      </c>
      <c r="U301" s="8">
        <v>86.22</v>
      </c>
      <c r="V301" s="8">
        <v>83.02</v>
      </c>
      <c r="W301" s="8">
        <v>78.05</v>
      </c>
      <c r="X301" s="8">
        <v>67.930000000000007</v>
      </c>
      <c r="Y301" s="8">
        <v>85.03</v>
      </c>
      <c r="Z301" s="8">
        <v>83.31</v>
      </c>
      <c r="AA301" s="8">
        <v>68.45</v>
      </c>
      <c r="AB301" s="8">
        <v>76.94</v>
      </c>
      <c r="AC301" s="8">
        <v>82.91</v>
      </c>
      <c r="AD301" s="8">
        <v>78.3</v>
      </c>
      <c r="AE301" s="8">
        <v>73.38</v>
      </c>
      <c r="AF301" s="8">
        <v>79.77</v>
      </c>
      <c r="AG301" s="8">
        <v>81.92</v>
      </c>
      <c r="AH301" s="8">
        <v>83</v>
      </c>
      <c r="AI301" s="8">
        <v>80.510000000000005</v>
      </c>
      <c r="AJ301" s="8">
        <v>80.53</v>
      </c>
      <c r="AK301" s="8">
        <v>87.05</v>
      </c>
      <c r="AL301" s="8">
        <v>82.27</v>
      </c>
      <c r="AM301" s="8">
        <v>94.86</v>
      </c>
      <c r="AN301" s="8">
        <v>83.1</v>
      </c>
      <c r="AO301" s="8">
        <v>68.569999999999993</v>
      </c>
      <c r="AP301" s="8">
        <v>68.569999999999993</v>
      </c>
      <c r="AQ301" s="8">
        <v>93.35</v>
      </c>
      <c r="AR301" s="8">
        <v>96.37</v>
      </c>
      <c r="AS301" s="8">
        <v>102.51</v>
      </c>
      <c r="AT301" s="8">
        <v>95.23</v>
      </c>
      <c r="AU301" s="8">
        <v>90.72</v>
      </c>
      <c r="AV301" s="8">
        <v>96.14</v>
      </c>
      <c r="AW301" s="8">
        <v>93.93</v>
      </c>
      <c r="AX301" s="8">
        <v>96.91</v>
      </c>
      <c r="AY301" s="8">
        <v>97.09</v>
      </c>
      <c r="AZ301" s="8">
        <v>85.03</v>
      </c>
      <c r="BA301" s="8">
        <v>85.76</v>
      </c>
      <c r="BB301" s="8">
        <v>79.73</v>
      </c>
      <c r="BC301" s="8">
        <v>76.599999999999994</v>
      </c>
      <c r="BD301" s="8">
        <v>81.14</v>
      </c>
      <c r="BE301" s="8">
        <v>81.14</v>
      </c>
      <c r="BF301" s="8">
        <v>71.73</v>
      </c>
      <c r="BG301" s="8">
        <v>71.73</v>
      </c>
      <c r="BH301" s="8">
        <v>80.319999999999993</v>
      </c>
      <c r="BI301" s="8">
        <v>82.77</v>
      </c>
      <c r="BJ301" s="8">
        <v>77.150000000000006</v>
      </c>
      <c r="BK301" s="8">
        <v>78.430000000000007</v>
      </c>
      <c r="BL301" s="8">
        <v>88.22</v>
      </c>
      <c r="BM301" s="8">
        <v>80.62</v>
      </c>
      <c r="BN301" s="8">
        <v>67.03</v>
      </c>
      <c r="BO301" s="8">
        <v>86.79</v>
      </c>
      <c r="BP301" s="8">
        <v>84.55</v>
      </c>
      <c r="BQ301" s="8">
        <v>85.17</v>
      </c>
      <c r="BR301" s="8">
        <v>81.67</v>
      </c>
      <c r="BS301" s="8">
        <v>95.06</v>
      </c>
      <c r="BT301" s="8">
        <v>95.06</v>
      </c>
      <c r="BU301" s="8">
        <v>97.08</v>
      </c>
      <c r="BV301" s="8">
        <v>98.63</v>
      </c>
      <c r="BW301" s="8">
        <v>99.08</v>
      </c>
      <c r="BX301" s="8">
        <v>100.1</v>
      </c>
      <c r="BY301" s="8">
        <v>91.13</v>
      </c>
      <c r="BZ301" s="8">
        <v>84.79</v>
      </c>
      <c r="CA301" s="8">
        <v>83.79</v>
      </c>
      <c r="CB301" s="8">
        <v>87.71</v>
      </c>
      <c r="CC301" s="8">
        <v>83.06</v>
      </c>
      <c r="CD301" s="8">
        <v>83.77</v>
      </c>
      <c r="CE301" s="8">
        <v>92.04</v>
      </c>
      <c r="CF301" s="8">
        <v>80.19</v>
      </c>
      <c r="CG301" s="8">
        <v>81.150000000000006</v>
      </c>
      <c r="CH301" s="8">
        <v>83.39</v>
      </c>
      <c r="CI301" s="8">
        <v>96.66</v>
      </c>
      <c r="CJ301" s="8">
        <v>97.07</v>
      </c>
      <c r="CK301" s="8">
        <v>94.05</v>
      </c>
      <c r="CL301" s="8">
        <v>80.66</v>
      </c>
      <c r="CM301" s="8">
        <v>79.92</v>
      </c>
      <c r="CN301" s="8">
        <v>86.71</v>
      </c>
      <c r="CO301" s="8">
        <v>81.75</v>
      </c>
      <c r="CP301" s="8">
        <v>81.38</v>
      </c>
      <c r="CQ301" s="8">
        <v>89.33</v>
      </c>
      <c r="CR301" s="8">
        <v>79.66</v>
      </c>
      <c r="CS301" s="8">
        <v>74.09</v>
      </c>
      <c r="CT301" s="8">
        <v>81.45</v>
      </c>
      <c r="CU301" s="8">
        <v>86.48</v>
      </c>
      <c r="CV301" s="8">
        <v>91.55</v>
      </c>
      <c r="CW301" s="8">
        <v>91.55</v>
      </c>
      <c r="CX301" s="8">
        <v>96.21</v>
      </c>
      <c r="CY301" s="8">
        <v>96.21</v>
      </c>
      <c r="CZ301" s="8">
        <v>73.63</v>
      </c>
      <c r="DA301" s="8">
        <v>97.48</v>
      </c>
      <c r="DB301" s="8">
        <v>84.87</v>
      </c>
      <c r="DC301" s="8">
        <v>88.62</v>
      </c>
      <c r="DD301" s="8">
        <v>99.86</v>
      </c>
      <c r="DE301" s="8">
        <v>75.69</v>
      </c>
      <c r="DF301" s="8">
        <v>85.58</v>
      </c>
      <c r="DG301" s="8">
        <v>103.24</v>
      </c>
      <c r="DH301" s="8">
        <v>79.13</v>
      </c>
      <c r="DI301" s="8">
        <v>79.709999999999994</v>
      </c>
      <c r="DJ301" s="8">
        <v>78.41</v>
      </c>
      <c r="DK301" s="8">
        <v>70.22</v>
      </c>
      <c r="DL301" s="8">
        <v>86.39</v>
      </c>
      <c r="DM301" s="8">
        <v>92.6</v>
      </c>
      <c r="DN301" s="8">
        <v>99.09</v>
      </c>
      <c r="DO301" s="8">
        <v>81.819999999999993</v>
      </c>
      <c r="DP301" s="8">
        <v>74.150000000000006</v>
      </c>
      <c r="DQ301" s="8">
        <v>81.010000000000005</v>
      </c>
      <c r="DR301" s="8">
        <v>90.91</v>
      </c>
      <c r="DS301" s="8">
        <v>81.34</v>
      </c>
      <c r="DT301" s="8">
        <v>81.34</v>
      </c>
      <c r="DU301" s="8">
        <v>87.71</v>
      </c>
      <c r="DV301" s="8">
        <v>82.07</v>
      </c>
      <c r="DW301" s="8">
        <v>77.11</v>
      </c>
      <c r="DX301" s="8">
        <v>80.2</v>
      </c>
      <c r="DY301" s="8">
        <v>69.7</v>
      </c>
      <c r="DZ301" s="8">
        <v>69.7</v>
      </c>
      <c r="EA301" s="8">
        <v>83.52</v>
      </c>
      <c r="EB301" s="8">
        <v>93.07</v>
      </c>
      <c r="EC301" s="8">
        <v>82.48</v>
      </c>
      <c r="ED301" s="9">
        <v>0.6</v>
      </c>
      <c r="EE301" s="9">
        <v>0.4</v>
      </c>
      <c r="EF301" s="9">
        <v>0.1</v>
      </c>
      <c r="EG301" s="9">
        <v>0</v>
      </c>
      <c r="EH301" s="9">
        <v>1.2</v>
      </c>
      <c r="EI301" s="9">
        <v>-1.6</v>
      </c>
      <c r="EJ301" s="9">
        <v>-2.8</v>
      </c>
      <c r="EK301" s="9">
        <v>1.1000000000000001</v>
      </c>
      <c r="EL301" s="9">
        <v>3.7</v>
      </c>
      <c r="EM301" s="9">
        <v>0.1</v>
      </c>
      <c r="EN301" s="9">
        <v>3</v>
      </c>
      <c r="EO301" s="9">
        <v>0.7</v>
      </c>
      <c r="EP301" s="9">
        <v>0</v>
      </c>
      <c r="EQ301" s="9">
        <v>-1.1000000000000001</v>
      </c>
      <c r="ER301" s="9">
        <v>-0.4</v>
      </c>
      <c r="ES301" s="9">
        <v>-0.3</v>
      </c>
      <c r="ET301" s="9">
        <v>-0.2</v>
      </c>
      <c r="EU301" s="9">
        <v>-0.6</v>
      </c>
      <c r="EV301" s="9">
        <v>-0.6</v>
      </c>
      <c r="EW301" s="9">
        <v>-1.6</v>
      </c>
      <c r="EX301" s="9">
        <v>0.3</v>
      </c>
      <c r="EY301" s="9">
        <v>0.3</v>
      </c>
      <c r="EZ301" s="9">
        <v>0</v>
      </c>
      <c r="FA301" s="9">
        <v>-1</v>
      </c>
      <c r="FB301" s="9">
        <v>1.3</v>
      </c>
      <c r="FC301" s="9">
        <v>1.7</v>
      </c>
      <c r="FD301" s="9">
        <v>0.6</v>
      </c>
      <c r="FE301" s="9">
        <v>-0.7</v>
      </c>
      <c r="FF301" s="9">
        <v>1.1000000000000001</v>
      </c>
      <c r="FG301" s="9">
        <v>-0.2</v>
      </c>
      <c r="FH301" s="9">
        <v>1.5</v>
      </c>
      <c r="FI301" s="9">
        <v>0.5</v>
      </c>
      <c r="FJ301" s="9">
        <v>0.5</v>
      </c>
      <c r="FK301" s="9">
        <v>0.6</v>
      </c>
      <c r="FL301" s="9">
        <v>0.3</v>
      </c>
      <c r="FM301" s="9">
        <v>1.1000000000000001</v>
      </c>
      <c r="FN301" s="9">
        <v>1.4</v>
      </c>
      <c r="FO301" s="9">
        <v>1.1000000000000001</v>
      </c>
      <c r="FP301" s="9">
        <v>0.9</v>
      </c>
      <c r="FQ301" s="9">
        <v>-0.6</v>
      </c>
      <c r="FR301" s="9">
        <v>-0.6</v>
      </c>
      <c r="FS301" s="9">
        <v>0.5</v>
      </c>
      <c r="FT301" s="9">
        <v>-1.3</v>
      </c>
      <c r="FU301" s="9">
        <v>-1.1000000000000001</v>
      </c>
      <c r="FV301" s="9">
        <v>-1.1000000000000001</v>
      </c>
      <c r="FW301" s="9">
        <v>-2.7</v>
      </c>
      <c r="FX301" s="9">
        <v>-1.4</v>
      </c>
      <c r="FY301" s="9">
        <v>-3.1</v>
      </c>
      <c r="FZ301" s="9">
        <v>-0.5</v>
      </c>
      <c r="GA301" s="9">
        <v>-2</v>
      </c>
      <c r="GB301" s="9">
        <v>6.4</v>
      </c>
      <c r="GC301" s="9">
        <v>7.3</v>
      </c>
      <c r="GD301" s="9">
        <v>1.3</v>
      </c>
      <c r="GE301" s="9">
        <v>0.1</v>
      </c>
      <c r="GF301" s="9">
        <v>0</v>
      </c>
      <c r="GG301" s="9">
        <v>0</v>
      </c>
      <c r="GH301" s="9">
        <v>0</v>
      </c>
      <c r="GI301" s="9">
        <v>0</v>
      </c>
      <c r="GJ301" s="9">
        <v>0.6</v>
      </c>
      <c r="GK301" s="9">
        <v>1.1000000000000001</v>
      </c>
      <c r="GL301" s="9">
        <v>0</v>
      </c>
      <c r="GM301" s="9">
        <v>-0.1</v>
      </c>
      <c r="GN301" s="9">
        <v>0.2</v>
      </c>
      <c r="GO301" s="9">
        <v>-0.9</v>
      </c>
      <c r="GP301" s="9">
        <v>1.6</v>
      </c>
      <c r="GQ301" s="9">
        <v>-0.2</v>
      </c>
      <c r="GR301" s="9">
        <v>-2.8</v>
      </c>
      <c r="GS301" s="9">
        <v>-3</v>
      </c>
      <c r="GT301" s="9">
        <v>-1.7</v>
      </c>
      <c r="GU301" s="9">
        <v>-1.6</v>
      </c>
      <c r="GV301" s="9">
        <v>-1.6</v>
      </c>
      <c r="GW301" s="9">
        <v>-1.4</v>
      </c>
      <c r="GX301" s="9">
        <v>-0.8</v>
      </c>
      <c r="GY301" s="9">
        <v>-2.2000000000000002</v>
      </c>
      <c r="GZ301" s="9">
        <v>-2.9</v>
      </c>
      <c r="HA301" s="9">
        <v>0.1</v>
      </c>
      <c r="HB301" s="9">
        <v>0.4</v>
      </c>
      <c r="HC301" s="9">
        <v>-1.3</v>
      </c>
      <c r="HD301" s="9">
        <v>0.7</v>
      </c>
      <c r="HE301" s="9">
        <v>0.5</v>
      </c>
      <c r="HF301" s="9">
        <v>1.6</v>
      </c>
      <c r="HG301" s="9">
        <v>2.2000000000000002</v>
      </c>
      <c r="HH301" s="9">
        <v>1.1000000000000001</v>
      </c>
      <c r="HI301" s="9">
        <v>1.2</v>
      </c>
      <c r="HJ301" s="9">
        <v>2</v>
      </c>
      <c r="HK301" s="9">
        <v>4.7</v>
      </c>
      <c r="HL301" s="9">
        <v>5.3</v>
      </c>
      <c r="HM301" s="9">
        <v>0.5</v>
      </c>
      <c r="HN301" s="9">
        <v>1.4</v>
      </c>
      <c r="HO301" s="9">
        <v>1.5</v>
      </c>
      <c r="HP301" s="9">
        <v>0.6</v>
      </c>
      <c r="HQ301" s="9">
        <v>3.2</v>
      </c>
      <c r="HR301" s="9">
        <v>3.3</v>
      </c>
      <c r="HS301" s="9">
        <v>0.7</v>
      </c>
      <c r="HT301" s="9">
        <v>1.8</v>
      </c>
      <c r="HU301" s="9">
        <v>8.6999999999999993</v>
      </c>
      <c r="HV301" s="9">
        <v>1</v>
      </c>
      <c r="HW301" s="9">
        <v>-0.1</v>
      </c>
      <c r="HX301" s="9">
        <v>0.2</v>
      </c>
      <c r="HY301" s="9">
        <v>0.2</v>
      </c>
      <c r="HZ301" s="9">
        <v>0.4</v>
      </c>
      <c r="IA301" s="9">
        <v>0.4</v>
      </c>
      <c r="IB301" s="9">
        <v>1.2</v>
      </c>
      <c r="IC301" s="9">
        <v>0.4</v>
      </c>
      <c r="ID301" s="9">
        <v>-0.2</v>
      </c>
      <c r="IE301" s="9">
        <v>-1.1000000000000001</v>
      </c>
      <c r="IF301" s="9">
        <v>-1.6</v>
      </c>
      <c r="IG301" s="9">
        <v>0</v>
      </c>
      <c r="IH301" s="9">
        <v>1.2</v>
      </c>
      <c r="II301" s="9">
        <v>3.1</v>
      </c>
      <c r="IJ301" s="9">
        <v>0.3</v>
      </c>
      <c r="IK301" s="9">
        <v>-1.7</v>
      </c>
      <c r="IL301" s="9">
        <v>-1.8</v>
      </c>
      <c r="IM301" s="9">
        <v>0.5</v>
      </c>
      <c r="IN301" s="9">
        <v>0.8</v>
      </c>
      <c r="IO301" s="9">
        <v>1.2</v>
      </c>
      <c r="IP301" s="9">
        <v>-0.4</v>
      </c>
      <c r="IQ301" s="9">
        <v>0.9</v>
      </c>
    </row>
    <row r="302" spans="1:251" x14ac:dyDescent="0.2">
      <c r="A302" s="10">
        <v>44348</v>
      </c>
      <c r="B302" s="8">
        <v>82.47</v>
      </c>
      <c r="C302" s="8">
        <v>82.05</v>
      </c>
      <c r="D302" s="8">
        <v>79.239999999999995</v>
      </c>
      <c r="E302" s="8">
        <v>78.12</v>
      </c>
      <c r="F302" s="8">
        <v>79.47</v>
      </c>
      <c r="G302" s="8">
        <v>80.12</v>
      </c>
      <c r="H302" s="8">
        <v>81.67</v>
      </c>
      <c r="I302" s="8">
        <v>87.16</v>
      </c>
      <c r="J302" s="8">
        <v>89.08</v>
      </c>
      <c r="K302" s="8">
        <v>85.78</v>
      </c>
      <c r="L302" s="8">
        <v>86.67</v>
      </c>
      <c r="M302" s="8">
        <v>86.34</v>
      </c>
      <c r="N302" s="8">
        <v>88.99</v>
      </c>
      <c r="O302" s="8">
        <v>84.38</v>
      </c>
      <c r="P302" s="8">
        <v>79.13</v>
      </c>
      <c r="Q302" s="8">
        <v>78.61</v>
      </c>
      <c r="R302" s="8">
        <v>79.78</v>
      </c>
      <c r="S302" s="8">
        <v>79.11</v>
      </c>
      <c r="T302" s="8">
        <v>89.07</v>
      </c>
      <c r="U302" s="8">
        <v>90.33</v>
      </c>
      <c r="V302" s="8">
        <v>87.59</v>
      </c>
      <c r="W302" s="8">
        <v>77.47</v>
      </c>
      <c r="X302" s="8">
        <v>67.64</v>
      </c>
      <c r="Y302" s="8">
        <v>85.75</v>
      </c>
      <c r="Z302" s="8">
        <v>82.41</v>
      </c>
      <c r="AA302" s="8">
        <v>68.48</v>
      </c>
      <c r="AB302" s="8">
        <v>76.2</v>
      </c>
      <c r="AC302" s="8">
        <v>82.12</v>
      </c>
      <c r="AD302" s="8">
        <v>78.58</v>
      </c>
      <c r="AE302" s="8">
        <v>72.739999999999995</v>
      </c>
      <c r="AF302" s="8">
        <v>80.36</v>
      </c>
      <c r="AG302" s="8">
        <v>81.39</v>
      </c>
      <c r="AH302" s="8">
        <v>82.54</v>
      </c>
      <c r="AI302" s="8">
        <v>79.91</v>
      </c>
      <c r="AJ302" s="8">
        <v>80.83</v>
      </c>
      <c r="AK302" s="8">
        <v>87.32</v>
      </c>
      <c r="AL302" s="8">
        <v>82.62</v>
      </c>
      <c r="AM302" s="8">
        <v>94.48</v>
      </c>
      <c r="AN302" s="8">
        <v>83.84</v>
      </c>
      <c r="AO302" s="8">
        <v>68.900000000000006</v>
      </c>
      <c r="AP302" s="8">
        <v>68.900000000000006</v>
      </c>
      <c r="AQ302" s="8">
        <v>93.78</v>
      </c>
      <c r="AR302" s="8">
        <v>97.33</v>
      </c>
      <c r="AS302" s="8">
        <v>102.88</v>
      </c>
      <c r="AT302" s="8">
        <v>96</v>
      </c>
      <c r="AU302" s="8">
        <v>93.21</v>
      </c>
      <c r="AV302" s="8">
        <v>98.81</v>
      </c>
      <c r="AW302" s="8">
        <v>94.38</v>
      </c>
      <c r="AX302" s="8">
        <v>101.16</v>
      </c>
      <c r="AY302" s="8">
        <v>97.16</v>
      </c>
      <c r="AZ302" s="8">
        <v>83.14</v>
      </c>
      <c r="BA302" s="8">
        <v>83.5</v>
      </c>
      <c r="BB302" s="8">
        <v>80.02</v>
      </c>
      <c r="BC302" s="8">
        <v>76.91</v>
      </c>
      <c r="BD302" s="8">
        <v>81.19</v>
      </c>
      <c r="BE302" s="8">
        <v>81.19</v>
      </c>
      <c r="BF302" s="8">
        <v>71.66</v>
      </c>
      <c r="BG302" s="8">
        <v>71.66</v>
      </c>
      <c r="BH302" s="8">
        <v>80.69</v>
      </c>
      <c r="BI302" s="8">
        <v>83.4</v>
      </c>
      <c r="BJ302" s="8">
        <v>77.150000000000006</v>
      </c>
      <c r="BK302" s="8">
        <v>79.83</v>
      </c>
      <c r="BL302" s="8">
        <v>88.22</v>
      </c>
      <c r="BM302" s="8">
        <v>83.3</v>
      </c>
      <c r="BN302" s="8">
        <v>66.8</v>
      </c>
      <c r="BO302" s="8">
        <v>87.73</v>
      </c>
      <c r="BP302" s="8">
        <v>87.36</v>
      </c>
      <c r="BQ302" s="8">
        <v>88.41</v>
      </c>
      <c r="BR302" s="8">
        <v>82.61</v>
      </c>
      <c r="BS302" s="8">
        <v>96.98</v>
      </c>
      <c r="BT302" s="8">
        <v>96.98</v>
      </c>
      <c r="BU302" s="8">
        <v>97.94</v>
      </c>
      <c r="BV302" s="8">
        <v>98.14</v>
      </c>
      <c r="BW302" s="8">
        <v>99.6</v>
      </c>
      <c r="BX302" s="8">
        <v>103.2</v>
      </c>
      <c r="BY302" s="8">
        <v>91.59</v>
      </c>
      <c r="BZ302" s="8">
        <v>84.65</v>
      </c>
      <c r="CA302" s="8">
        <v>84.15</v>
      </c>
      <c r="CB302" s="8">
        <v>87.47</v>
      </c>
      <c r="CC302" s="8">
        <v>82.91</v>
      </c>
      <c r="CD302" s="8">
        <v>84.47</v>
      </c>
      <c r="CE302" s="8">
        <v>93.17</v>
      </c>
      <c r="CF302" s="8">
        <v>80.569999999999993</v>
      </c>
      <c r="CG302" s="8">
        <v>81.67</v>
      </c>
      <c r="CH302" s="8">
        <v>84.66</v>
      </c>
      <c r="CI302" s="8">
        <v>95.69</v>
      </c>
      <c r="CJ302" s="8">
        <v>95.96</v>
      </c>
      <c r="CK302" s="8">
        <v>93.89</v>
      </c>
      <c r="CL302" s="8">
        <v>82.4</v>
      </c>
      <c r="CM302" s="8">
        <v>81.849999999999994</v>
      </c>
      <c r="CN302" s="8">
        <v>86.81</v>
      </c>
      <c r="CO302" s="8">
        <v>84.1</v>
      </c>
      <c r="CP302" s="8">
        <v>83.82</v>
      </c>
      <c r="CQ302" s="8">
        <v>91.3</v>
      </c>
      <c r="CR302" s="8">
        <v>79.87</v>
      </c>
      <c r="CS302" s="8">
        <v>78.92</v>
      </c>
      <c r="CT302" s="8">
        <v>82.4</v>
      </c>
      <c r="CU302" s="8">
        <v>86.41</v>
      </c>
      <c r="CV302" s="8">
        <v>91.67</v>
      </c>
      <c r="CW302" s="8">
        <v>91.67</v>
      </c>
      <c r="CX302" s="8">
        <v>95.67</v>
      </c>
      <c r="CY302" s="8">
        <v>95.67</v>
      </c>
      <c r="CZ302" s="8">
        <v>75.31</v>
      </c>
      <c r="DA302" s="8">
        <v>96.8</v>
      </c>
      <c r="DB302" s="8">
        <v>84.83</v>
      </c>
      <c r="DC302" s="8">
        <v>88.77</v>
      </c>
      <c r="DD302" s="8">
        <v>99.44</v>
      </c>
      <c r="DE302" s="8">
        <v>76.62</v>
      </c>
      <c r="DF302" s="8">
        <v>86.05</v>
      </c>
      <c r="DG302" s="8">
        <v>102.46</v>
      </c>
      <c r="DH302" s="8">
        <v>80.040000000000006</v>
      </c>
      <c r="DI302" s="8">
        <v>78.930000000000007</v>
      </c>
      <c r="DJ302" s="8">
        <v>77.37</v>
      </c>
      <c r="DK302" s="8">
        <v>76.27</v>
      </c>
      <c r="DL302" s="8">
        <v>86.63</v>
      </c>
      <c r="DM302" s="8">
        <v>93.14</v>
      </c>
      <c r="DN302" s="8">
        <v>98.09</v>
      </c>
      <c r="DO302" s="8">
        <v>81.28</v>
      </c>
      <c r="DP302" s="8">
        <v>75.959999999999994</v>
      </c>
      <c r="DQ302" s="8">
        <v>81.99</v>
      </c>
      <c r="DR302" s="8">
        <v>90.46</v>
      </c>
      <c r="DS302" s="8">
        <v>81.37</v>
      </c>
      <c r="DT302" s="8">
        <v>81.37</v>
      </c>
      <c r="DU302" s="8">
        <v>87.85</v>
      </c>
      <c r="DV302" s="8">
        <v>82.07</v>
      </c>
      <c r="DW302" s="8">
        <v>77.11</v>
      </c>
      <c r="DX302" s="8">
        <v>80.53</v>
      </c>
      <c r="DY302" s="8">
        <v>70.61</v>
      </c>
      <c r="DZ302" s="8">
        <v>70.61</v>
      </c>
      <c r="EA302" s="8">
        <v>83.64</v>
      </c>
      <c r="EB302" s="8">
        <v>92.14</v>
      </c>
      <c r="EC302" s="8">
        <v>82.72</v>
      </c>
      <c r="ED302" s="9">
        <v>0.7</v>
      </c>
      <c r="EE302" s="9">
        <v>0.5</v>
      </c>
      <c r="EF302" s="9">
        <v>-0.1</v>
      </c>
      <c r="EG302" s="9">
        <v>-0.1</v>
      </c>
      <c r="EH302" s="9">
        <v>-0.2</v>
      </c>
      <c r="EI302" s="9">
        <v>-0.8</v>
      </c>
      <c r="EJ302" s="9">
        <v>0.9</v>
      </c>
      <c r="EK302" s="9">
        <v>0.7</v>
      </c>
      <c r="EL302" s="9">
        <v>3.6</v>
      </c>
      <c r="EM302" s="9">
        <v>-1.2</v>
      </c>
      <c r="EN302" s="9">
        <v>0.4</v>
      </c>
      <c r="EO302" s="9">
        <v>-0.5</v>
      </c>
      <c r="EP302" s="9">
        <v>1.4</v>
      </c>
      <c r="EQ302" s="9">
        <v>-0.8</v>
      </c>
      <c r="ER302" s="9">
        <v>0.1</v>
      </c>
      <c r="ES302" s="9">
        <v>-0.1</v>
      </c>
      <c r="ET302" s="9">
        <v>0.1</v>
      </c>
      <c r="EU302" s="9">
        <v>0.5</v>
      </c>
      <c r="EV302" s="9">
        <v>5.2</v>
      </c>
      <c r="EW302" s="9">
        <v>4.8</v>
      </c>
      <c r="EX302" s="9">
        <v>5.5</v>
      </c>
      <c r="EY302" s="9">
        <v>-0.7</v>
      </c>
      <c r="EZ302" s="9">
        <v>-0.4</v>
      </c>
      <c r="FA302" s="9">
        <v>0.8</v>
      </c>
      <c r="FB302" s="9">
        <v>-1.1000000000000001</v>
      </c>
      <c r="FC302" s="9">
        <v>0</v>
      </c>
      <c r="FD302" s="9">
        <v>-1</v>
      </c>
      <c r="FE302" s="9">
        <v>-1</v>
      </c>
      <c r="FF302" s="9">
        <v>0.4</v>
      </c>
      <c r="FG302" s="9">
        <v>-0.9</v>
      </c>
      <c r="FH302" s="9">
        <v>0.7</v>
      </c>
      <c r="FI302" s="9">
        <v>-0.6</v>
      </c>
      <c r="FJ302" s="9">
        <v>-0.6</v>
      </c>
      <c r="FK302" s="9">
        <v>-0.7</v>
      </c>
      <c r="FL302" s="9">
        <v>0.4</v>
      </c>
      <c r="FM302" s="9">
        <v>0.3</v>
      </c>
      <c r="FN302" s="9">
        <v>0.4</v>
      </c>
      <c r="FO302" s="9">
        <v>-0.4</v>
      </c>
      <c r="FP302" s="9">
        <v>0.9</v>
      </c>
      <c r="FQ302" s="9">
        <v>0.5</v>
      </c>
      <c r="FR302" s="9">
        <v>0.5</v>
      </c>
      <c r="FS302" s="9">
        <v>0.5</v>
      </c>
      <c r="FT302" s="9">
        <v>1</v>
      </c>
      <c r="FU302" s="9">
        <v>0.4</v>
      </c>
      <c r="FV302" s="9">
        <v>0.8</v>
      </c>
      <c r="FW302" s="9">
        <v>2.7</v>
      </c>
      <c r="FX302" s="9">
        <v>2.8</v>
      </c>
      <c r="FY302" s="9">
        <v>0.5</v>
      </c>
      <c r="FZ302" s="9">
        <v>4.4000000000000004</v>
      </c>
      <c r="GA302" s="9">
        <v>0.1</v>
      </c>
      <c r="GB302" s="9">
        <v>-2.2000000000000002</v>
      </c>
      <c r="GC302" s="9">
        <v>-2.6</v>
      </c>
      <c r="GD302" s="9">
        <v>0.4</v>
      </c>
      <c r="GE302" s="9">
        <v>0.4</v>
      </c>
      <c r="GF302" s="9">
        <v>0.1</v>
      </c>
      <c r="GG302" s="9">
        <v>0.1</v>
      </c>
      <c r="GH302" s="9">
        <v>-0.1</v>
      </c>
      <c r="GI302" s="9">
        <v>-0.1</v>
      </c>
      <c r="GJ302" s="9">
        <v>0.5</v>
      </c>
      <c r="GK302" s="9">
        <v>0.8</v>
      </c>
      <c r="GL302" s="9">
        <v>0</v>
      </c>
      <c r="GM302" s="9">
        <v>1.8</v>
      </c>
      <c r="GN302" s="9">
        <v>0</v>
      </c>
      <c r="GO302" s="9">
        <v>3.3</v>
      </c>
      <c r="GP302" s="9">
        <v>-0.3</v>
      </c>
      <c r="GQ302" s="9">
        <v>1.1000000000000001</v>
      </c>
      <c r="GR302" s="9">
        <v>3.3</v>
      </c>
      <c r="GS302" s="9">
        <v>3.8</v>
      </c>
      <c r="GT302" s="9">
        <v>1.2</v>
      </c>
      <c r="GU302" s="9">
        <v>2</v>
      </c>
      <c r="GV302" s="9">
        <v>2</v>
      </c>
      <c r="GW302" s="9">
        <v>0.9</v>
      </c>
      <c r="GX302" s="9">
        <v>-0.5</v>
      </c>
      <c r="GY302" s="9">
        <v>0.5</v>
      </c>
      <c r="GZ302" s="9">
        <v>3.1</v>
      </c>
      <c r="HA302" s="9">
        <v>0.5</v>
      </c>
      <c r="HB302" s="9">
        <v>-0.2</v>
      </c>
      <c r="HC302" s="9">
        <v>0.4</v>
      </c>
      <c r="HD302" s="9">
        <v>-0.3</v>
      </c>
      <c r="HE302" s="9">
        <v>-0.2</v>
      </c>
      <c r="HF302" s="9">
        <v>0.8</v>
      </c>
      <c r="HG302" s="9">
        <v>1.2</v>
      </c>
      <c r="HH302" s="9">
        <v>0.5</v>
      </c>
      <c r="HI302" s="9">
        <v>0.6</v>
      </c>
      <c r="HJ302" s="9">
        <v>1.5</v>
      </c>
      <c r="HK302" s="9">
        <v>-1</v>
      </c>
      <c r="HL302" s="9">
        <v>-1.1000000000000001</v>
      </c>
      <c r="HM302" s="9">
        <v>-0.2</v>
      </c>
      <c r="HN302" s="9">
        <v>2.2000000000000002</v>
      </c>
      <c r="HO302" s="9">
        <v>2.4</v>
      </c>
      <c r="HP302" s="9">
        <v>0.1</v>
      </c>
      <c r="HQ302" s="9">
        <v>2.9</v>
      </c>
      <c r="HR302" s="9">
        <v>3</v>
      </c>
      <c r="HS302" s="9">
        <v>2.2000000000000002</v>
      </c>
      <c r="HT302" s="9">
        <v>0.3</v>
      </c>
      <c r="HU302" s="9">
        <v>6.5</v>
      </c>
      <c r="HV302" s="9">
        <v>1.2</v>
      </c>
      <c r="HW302" s="9">
        <v>-0.1</v>
      </c>
      <c r="HX302" s="9">
        <v>0.1</v>
      </c>
      <c r="HY302" s="9">
        <v>0.1</v>
      </c>
      <c r="HZ302" s="9">
        <v>-0.6</v>
      </c>
      <c r="IA302" s="9">
        <v>-0.6</v>
      </c>
      <c r="IB302" s="9">
        <v>2.2999999999999998</v>
      </c>
      <c r="IC302" s="9">
        <v>-0.7</v>
      </c>
      <c r="ID302" s="9">
        <v>0</v>
      </c>
      <c r="IE302" s="9">
        <v>0.2</v>
      </c>
      <c r="IF302" s="9">
        <v>-0.4</v>
      </c>
      <c r="IG302" s="9">
        <v>1.2</v>
      </c>
      <c r="IH302" s="9">
        <v>0.5</v>
      </c>
      <c r="II302" s="9">
        <v>-0.8</v>
      </c>
      <c r="IJ302" s="9">
        <v>1.2</v>
      </c>
      <c r="IK302" s="9">
        <v>-1</v>
      </c>
      <c r="IL302" s="9">
        <v>-1.3</v>
      </c>
      <c r="IM302" s="9">
        <v>8.6</v>
      </c>
      <c r="IN302" s="9">
        <v>0.3</v>
      </c>
      <c r="IO302" s="9">
        <v>0.6</v>
      </c>
      <c r="IP302" s="9">
        <v>-1</v>
      </c>
      <c r="IQ302" s="9">
        <v>-0.7</v>
      </c>
    </row>
    <row r="303" spans="1:251" x14ac:dyDescent="0.2">
      <c r="A303" s="10">
        <v>44440</v>
      </c>
      <c r="B303" s="8">
        <v>83.17</v>
      </c>
      <c r="C303" s="8">
        <v>82.3</v>
      </c>
      <c r="D303" s="8">
        <v>79.19</v>
      </c>
      <c r="E303" s="8">
        <v>78.02</v>
      </c>
      <c r="F303" s="8">
        <v>79.150000000000006</v>
      </c>
      <c r="G303" s="8">
        <v>80.59</v>
      </c>
      <c r="H303" s="8">
        <v>82.4</v>
      </c>
      <c r="I303" s="8">
        <v>87.64</v>
      </c>
      <c r="J303" s="8">
        <v>89.32</v>
      </c>
      <c r="K303" s="8">
        <v>86.03</v>
      </c>
      <c r="L303" s="8">
        <v>86.77</v>
      </c>
      <c r="M303" s="8">
        <v>86.92</v>
      </c>
      <c r="N303" s="8">
        <v>89.49</v>
      </c>
      <c r="O303" s="8">
        <v>85.49</v>
      </c>
      <c r="P303" s="8">
        <v>79.41</v>
      </c>
      <c r="Q303" s="8">
        <v>78.88</v>
      </c>
      <c r="R303" s="8">
        <v>79.98</v>
      </c>
      <c r="S303" s="8">
        <v>79.459999999999994</v>
      </c>
      <c r="T303" s="8">
        <v>85.96</v>
      </c>
      <c r="U303" s="8">
        <v>82.8</v>
      </c>
      <c r="V303" s="8">
        <v>88.15</v>
      </c>
      <c r="W303" s="8">
        <v>78.12</v>
      </c>
      <c r="X303" s="8">
        <v>68.260000000000005</v>
      </c>
      <c r="Y303" s="8">
        <v>85.61</v>
      </c>
      <c r="Z303" s="8">
        <v>83.48</v>
      </c>
      <c r="AA303" s="8">
        <v>70.38</v>
      </c>
      <c r="AB303" s="8">
        <v>76.28</v>
      </c>
      <c r="AC303" s="8">
        <v>83.13</v>
      </c>
      <c r="AD303" s="8">
        <v>79.260000000000005</v>
      </c>
      <c r="AE303" s="8">
        <v>73.16</v>
      </c>
      <c r="AF303" s="8">
        <v>81.12</v>
      </c>
      <c r="AG303" s="8">
        <v>82.61</v>
      </c>
      <c r="AH303" s="8">
        <v>83.85</v>
      </c>
      <c r="AI303" s="8">
        <v>81</v>
      </c>
      <c r="AJ303" s="8">
        <v>80.400000000000006</v>
      </c>
      <c r="AK303" s="8">
        <v>87.06</v>
      </c>
      <c r="AL303" s="8">
        <v>82.51</v>
      </c>
      <c r="AM303" s="8">
        <v>94.43</v>
      </c>
      <c r="AN303" s="8">
        <v>83.34</v>
      </c>
      <c r="AO303" s="8">
        <v>68.3</v>
      </c>
      <c r="AP303" s="8">
        <v>68.3</v>
      </c>
      <c r="AQ303" s="8">
        <v>90.23</v>
      </c>
      <c r="AR303" s="8">
        <v>92.07</v>
      </c>
      <c r="AS303" s="8">
        <v>97.11</v>
      </c>
      <c r="AT303" s="8">
        <v>91.15</v>
      </c>
      <c r="AU303" s="8">
        <v>87.42</v>
      </c>
      <c r="AV303" s="8">
        <v>93.83</v>
      </c>
      <c r="AW303" s="8">
        <v>90.46</v>
      </c>
      <c r="AX303" s="8">
        <v>94.19</v>
      </c>
      <c r="AY303" s="8">
        <v>98.3</v>
      </c>
      <c r="AZ303" s="8">
        <v>83.94</v>
      </c>
      <c r="BA303" s="8">
        <v>84.3</v>
      </c>
      <c r="BB303" s="8">
        <v>80.88</v>
      </c>
      <c r="BC303" s="8">
        <v>78.19</v>
      </c>
      <c r="BD303" s="8">
        <v>81.319999999999993</v>
      </c>
      <c r="BE303" s="8">
        <v>81.319999999999993</v>
      </c>
      <c r="BF303" s="8">
        <v>74.06</v>
      </c>
      <c r="BG303" s="8">
        <v>74.06</v>
      </c>
      <c r="BH303" s="8">
        <v>82.43</v>
      </c>
      <c r="BI303" s="8">
        <v>84.57</v>
      </c>
      <c r="BJ303" s="8">
        <v>79.680000000000007</v>
      </c>
      <c r="BK303" s="8">
        <v>80.13</v>
      </c>
      <c r="BL303" s="8">
        <v>88.33</v>
      </c>
      <c r="BM303" s="8">
        <v>83.45</v>
      </c>
      <c r="BN303" s="8">
        <v>67.58</v>
      </c>
      <c r="BO303" s="8">
        <v>89.13</v>
      </c>
      <c r="BP303" s="8">
        <v>90.3</v>
      </c>
      <c r="BQ303" s="8">
        <v>91.82</v>
      </c>
      <c r="BR303" s="8">
        <v>83.52</v>
      </c>
      <c r="BS303" s="8">
        <v>99.94</v>
      </c>
      <c r="BT303" s="8">
        <v>99.94</v>
      </c>
      <c r="BU303" s="8">
        <v>98.05</v>
      </c>
      <c r="BV303" s="8">
        <v>96.43</v>
      </c>
      <c r="BW303" s="8">
        <v>97.8</v>
      </c>
      <c r="BX303" s="8">
        <v>105.35</v>
      </c>
      <c r="BY303" s="8">
        <v>93.08</v>
      </c>
      <c r="BZ303" s="8">
        <v>85.58</v>
      </c>
      <c r="CA303" s="8">
        <v>84.82</v>
      </c>
      <c r="CB303" s="8">
        <v>88.3</v>
      </c>
      <c r="CC303" s="8">
        <v>83.96</v>
      </c>
      <c r="CD303" s="8">
        <v>85.76</v>
      </c>
      <c r="CE303" s="8">
        <v>95.16</v>
      </c>
      <c r="CF303" s="8">
        <v>81.16</v>
      </c>
      <c r="CG303" s="8">
        <v>82.88</v>
      </c>
      <c r="CH303" s="8">
        <v>84.71</v>
      </c>
      <c r="CI303" s="8">
        <v>94.19</v>
      </c>
      <c r="CJ303" s="8">
        <v>94.22</v>
      </c>
      <c r="CK303" s="8">
        <v>93.99</v>
      </c>
      <c r="CL303" s="8">
        <v>82.77</v>
      </c>
      <c r="CM303" s="8">
        <v>82.24</v>
      </c>
      <c r="CN303" s="8">
        <v>87</v>
      </c>
      <c r="CO303" s="8">
        <v>86.72</v>
      </c>
      <c r="CP303" s="8">
        <v>86.54</v>
      </c>
      <c r="CQ303" s="8">
        <v>92.6</v>
      </c>
      <c r="CR303" s="8">
        <v>80.78</v>
      </c>
      <c r="CS303" s="8">
        <v>84.53</v>
      </c>
      <c r="CT303" s="8">
        <v>83.24</v>
      </c>
      <c r="CU303" s="8">
        <v>87.04</v>
      </c>
      <c r="CV303" s="8">
        <v>92.23</v>
      </c>
      <c r="CW303" s="8">
        <v>92.23</v>
      </c>
      <c r="CX303" s="8">
        <v>95.11</v>
      </c>
      <c r="CY303" s="8">
        <v>95.11</v>
      </c>
      <c r="CZ303" s="8">
        <v>75.650000000000006</v>
      </c>
      <c r="DA303" s="8">
        <v>96.19</v>
      </c>
      <c r="DB303" s="8">
        <v>85.58</v>
      </c>
      <c r="DC303" s="8">
        <v>89.87</v>
      </c>
      <c r="DD303" s="8">
        <v>101.31</v>
      </c>
      <c r="DE303" s="8">
        <v>76.69</v>
      </c>
      <c r="DF303" s="8">
        <v>86.78</v>
      </c>
      <c r="DG303" s="8">
        <v>102.41</v>
      </c>
      <c r="DH303" s="8">
        <v>81.040000000000006</v>
      </c>
      <c r="DI303" s="8">
        <v>79.36</v>
      </c>
      <c r="DJ303" s="8">
        <v>77.959999999999994</v>
      </c>
      <c r="DK303" s="8">
        <v>72.53</v>
      </c>
      <c r="DL303" s="8">
        <v>87.43</v>
      </c>
      <c r="DM303" s="8">
        <v>92.92</v>
      </c>
      <c r="DN303" s="8">
        <v>99.51</v>
      </c>
      <c r="DO303" s="8">
        <v>81.510000000000005</v>
      </c>
      <c r="DP303" s="8">
        <v>77.42</v>
      </c>
      <c r="DQ303" s="8">
        <v>83.16</v>
      </c>
      <c r="DR303" s="8">
        <v>91.04</v>
      </c>
      <c r="DS303" s="8">
        <v>81.42</v>
      </c>
      <c r="DT303" s="8">
        <v>81.42</v>
      </c>
      <c r="DU303" s="8">
        <v>88.07</v>
      </c>
      <c r="DV303" s="8">
        <v>82.07</v>
      </c>
      <c r="DW303" s="8">
        <v>77.13</v>
      </c>
      <c r="DX303" s="8">
        <v>80.95</v>
      </c>
      <c r="DY303" s="8">
        <v>71.489999999999995</v>
      </c>
      <c r="DZ303" s="8">
        <v>71.489999999999995</v>
      </c>
      <c r="EA303" s="8">
        <v>83.87</v>
      </c>
      <c r="EB303" s="8">
        <v>89.91</v>
      </c>
      <c r="EC303" s="8">
        <v>83.26</v>
      </c>
      <c r="ED303" s="9">
        <v>0.8</v>
      </c>
      <c r="EE303" s="9">
        <v>0.3</v>
      </c>
      <c r="EF303" s="9">
        <v>-0.1</v>
      </c>
      <c r="EG303" s="9">
        <v>-0.1</v>
      </c>
      <c r="EH303" s="9">
        <v>-0.4</v>
      </c>
      <c r="EI303" s="9">
        <v>0.6</v>
      </c>
      <c r="EJ303" s="9">
        <v>0.9</v>
      </c>
      <c r="EK303" s="9">
        <v>0.6</v>
      </c>
      <c r="EL303" s="9">
        <v>0.3</v>
      </c>
      <c r="EM303" s="9">
        <v>0.3</v>
      </c>
      <c r="EN303" s="9">
        <v>0.1</v>
      </c>
      <c r="EO303" s="9">
        <v>0.7</v>
      </c>
      <c r="EP303" s="9">
        <v>0.6</v>
      </c>
      <c r="EQ303" s="9">
        <v>1.3</v>
      </c>
      <c r="ER303" s="9">
        <v>0.4</v>
      </c>
      <c r="ES303" s="9">
        <v>0.3</v>
      </c>
      <c r="ET303" s="9">
        <v>0.3</v>
      </c>
      <c r="EU303" s="9">
        <v>0.4</v>
      </c>
      <c r="EV303" s="9">
        <v>-3.5</v>
      </c>
      <c r="EW303" s="9">
        <v>-8.3000000000000007</v>
      </c>
      <c r="EX303" s="9">
        <v>0.6</v>
      </c>
      <c r="EY303" s="9">
        <v>0.8</v>
      </c>
      <c r="EZ303" s="9">
        <v>0.9</v>
      </c>
      <c r="FA303" s="9">
        <v>-0.2</v>
      </c>
      <c r="FB303" s="9">
        <v>1.3</v>
      </c>
      <c r="FC303" s="9">
        <v>2.8</v>
      </c>
      <c r="FD303" s="9">
        <v>0.1</v>
      </c>
      <c r="FE303" s="9">
        <v>1.2</v>
      </c>
      <c r="FF303" s="9">
        <v>0.9</v>
      </c>
      <c r="FG303" s="9">
        <v>0.6</v>
      </c>
      <c r="FH303" s="9">
        <v>0.9</v>
      </c>
      <c r="FI303" s="9">
        <v>1.5</v>
      </c>
      <c r="FJ303" s="9">
        <v>1.6</v>
      </c>
      <c r="FK303" s="9">
        <v>1.4</v>
      </c>
      <c r="FL303" s="9">
        <v>-0.5</v>
      </c>
      <c r="FM303" s="9">
        <v>-0.3</v>
      </c>
      <c r="FN303" s="9">
        <v>-0.1</v>
      </c>
      <c r="FO303" s="9">
        <v>-0.1</v>
      </c>
      <c r="FP303" s="9">
        <v>-0.6</v>
      </c>
      <c r="FQ303" s="9">
        <v>-0.9</v>
      </c>
      <c r="FR303" s="9">
        <v>-0.9</v>
      </c>
      <c r="FS303" s="9">
        <v>-3.8</v>
      </c>
      <c r="FT303" s="9">
        <v>-5.4</v>
      </c>
      <c r="FU303" s="9">
        <v>-5.6</v>
      </c>
      <c r="FV303" s="9">
        <v>-5.0999999999999996</v>
      </c>
      <c r="FW303" s="9">
        <v>-6.2</v>
      </c>
      <c r="FX303" s="9">
        <v>-5</v>
      </c>
      <c r="FY303" s="9">
        <v>-4.2</v>
      </c>
      <c r="FZ303" s="9">
        <v>-6.9</v>
      </c>
      <c r="GA303" s="9">
        <v>1.2</v>
      </c>
      <c r="GB303" s="9">
        <v>1</v>
      </c>
      <c r="GC303" s="9">
        <v>1</v>
      </c>
      <c r="GD303" s="9">
        <v>1.1000000000000001</v>
      </c>
      <c r="GE303" s="9">
        <v>1.7</v>
      </c>
      <c r="GF303" s="9">
        <v>0.2</v>
      </c>
      <c r="GG303" s="9">
        <v>0.2</v>
      </c>
      <c r="GH303" s="9">
        <v>3.3</v>
      </c>
      <c r="GI303" s="9">
        <v>3.3</v>
      </c>
      <c r="GJ303" s="9">
        <v>2.2000000000000002</v>
      </c>
      <c r="GK303" s="9">
        <v>1.4</v>
      </c>
      <c r="GL303" s="9">
        <v>3.3</v>
      </c>
      <c r="GM303" s="9">
        <v>0.4</v>
      </c>
      <c r="GN303" s="9">
        <v>0.1</v>
      </c>
      <c r="GO303" s="9">
        <v>0.2</v>
      </c>
      <c r="GP303" s="9">
        <v>1.2</v>
      </c>
      <c r="GQ303" s="9">
        <v>1.6</v>
      </c>
      <c r="GR303" s="9">
        <v>3.4</v>
      </c>
      <c r="GS303" s="9">
        <v>3.9</v>
      </c>
      <c r="GT303" s="9">
        <v>1.1000000000000001</v>
      </c>
      <c r="GU303" s="9">
        <v>3.1</v>
      </c>
      <c r="GV303" s="9">
        <v>3.1</v>
      </c>
      <c r="GW303" s="9">
        <v>0.1</v>
      </c>
      <c r="GX303" s="9">
        <v>-1.7</v>
      </c>
      <c r="GY303" s="9">
        <v>-1.8</v>
      </c>
      <c r="GZ303" s="9">
        <v>2.1</v>
      </c>
      <c r="HA303" s="9">
        <v>1.6</v>
      </c>
      <c r="HB303" s="9">
        <v>1.1000000000000001</v>
      </c>
      <c r="HC303" s="9">
        <v>0.8</v>
      </c>
      <c r="HD303" s="9">
        <v>0.9</v>
      </c>
      <c r="HE303" s="9">
        <v>1.3</v>
      </c>
      <c r="HF303" s="9">
        <v>1.5</v>
      </c>
      <c r="HG303" s="9">
        <v>2.1</v>
      </c>
      <c r="HH303" s="9">
        <v>0.7</v>
      </c>
      <c r="HI303" s="9">
        <v>1.5</v>
      </c>
      <c r="HJ303" s="9">
        <v>0.1</v>
      </c>
      <c r="HK303" s="9">
        <v>-1.6</v>
      </c>
      <c r="HL303" s="9">
        <v>-1.8</v>
      </c>
      <c r="HM303" s="9">
        <v>0.1</v>
      </c>
      <c r="HN303" s="9">
        <v>0.4</v>
      </c>
      <c r="HO303" s="9">
        <v>0.5</v>
      </c>
      <c r="HP303" s="9">
        <v>0.2</v>
      </c>
      <c r="HQ303" s="9">
        <v>3.1</v>
      </c>
      <c r="HR303" s="9">
        <v>3.2</v>
      </c>
      <c r="HS303" s="9">
        <v>1.4</v>
      </c>
      <c r="HT303" s="9">
        <v>1.1000000000000001</v>
      </c>
      <c r="HU303" s="9">
        <v>7.1</v>
      </c>
      <c r="HV303" s="9">
        <v>1</v>
      </c>
      <c r="HW303" s="9">
        <v>0.7</v>
      </c>
      <c r="HX303" s="9">
        <v>0.6</v>
      </c>
      <c r="HY303" s="9">
        <v>0.6</v>
      </c>
      <c r="HZ303" s="9">
        <v>-0.6</v>
      </c>
      <c r="IA303" s="9">
        <v>-0.6</v>
      </c>
      <c r="IB303" s="9">
        <v>0.5</v>
      </c>
      <c r="IC303" s="9">
        <v>-0.6</v>
      </c>
      <c r="ID303" s="9">
        <v>0.9</v>
      </c>
      <c r="IE303" s="9">
        <v>1.2</v>
      </c>
      <c r="IF303" s="9">
        <v>1.9</v>
      </c>
      <c r="IG303" s="9">
        <v>0.1</v>
      </c>
      <c r="IH303" s="9">
        <v>0.8</v>
      </c>
      <c r="II303" s="9">
        <v>0</v>
      </c>
      <c r="IJ303" s="9">
        <v>1.2</v>
      </c>
      <c r="IK303" s="9">
        <v>0.5</v>
      </c>
      <c r="IL303" s="9">
        <v>0.8</v>
      </c>
      <c r="IM303" s="9">
        <v>-4.9000000000000004</v>
      </c>
      <c r="IN303" s="9">
        <v>0.9</v>
      </c>
      <c r="IO303" s="9">
        <v>-0.2</v>
      </c>
      <c r="IP303" s="9">
        <v>1.4</v>
      </c>
      <c r="IQ303" s="9">
        <v>0.3</v>
      </c>
    </row>
    <row r="304" spans="1:251" x14ac:dyDescent="0.2">
      <c r="A304" s="10">
        <v>44531</v>
      </c>
      <c r="B304" s="8">
        <v>84.23</v>
      </c>
      <c r="C304" s="8">
        <v>82.83</v>
      </c>
      <c r="D304" s="8">
        <v>80.209999999999994</v>
      </c>
      <c r="E304" s="8">
        <v>78.61</v>
      </c>
      <c r="F304" s="8">
        <v>80.33</v>
      </c>
      <c r="G304" s="8">
        <v>81.39</v>
      </c>
      <c r="H304" s="8">
        <v>84.35</v>
      </c>
      <c r="I304" s="8">
        <v>87.73</v>
      </c>
      <c r="J304" s="8">
        <v>89.64</v>
      </c>
      <c r="K304" s="8">
        <v>87.26</v>
      </c>
      <c r="L304" s="8">
        <v>86.5</v>
      </c>
      <c r="M304" s="8">
        <v>85.44</v>
      </c>
      <c r="N304" s="8">
        <v>89.94</v>
      </c>
      <c r="O304" s="8">
        <v>86</v>
      </c>
      <c r="P304" s="8">
        <v>80.739999999999995</v>
      </c>
      <c r="Q304" s="8">
        <v>79.959999999999994</v>
      </c>
      <c r="R304" s="8">
        <v>81.48</v>
      </c>
      <c r="S304" s="8">
        <v>80.94</v>
      </c>
      <c r="T304" s="8">
        <v>85.32</v>
      </c>
      <c r="U304" s="8">
        <v>81.81</v>
      </c>
      <c r="V304" s="8">
        <v>87.81</v>
      </c>
      <c r="W304" s="8">
        <v>79.09</v>
      </c>
      <c r="X304" s="8">
        <v>67.989999999999995</v>
      </c>
      <c r="Y304" s="8">
        <v>86.22</v>
      </c>
      <c r="Z304" s="8">
        <v>84.23</v>
      </c>
      <c r="AA304" s="8">
        <v>70.95</v>
      </c>
      <c r="AB304" s="8">
        <v>77.099999999999994</v>
      </c>
      <c r="AC304" s="8">
        <v>85.16</v>
      </c>
      <c r="AD304" s="8">
        <v>78.97</v>
      </c>
      <c r="AE304" s="8">
        <v>74.31</v>
      </c>
      <c r="AF304" s="8">
        <v>80.38</v>
      </c>
      <c r="AG304" s="8">
        <v>83.46</v>
      </c>
      <c r="AH304" s="8">
        <v>84.88</v>
      </c>
      <c r="AI304" s="8">
        <v>81.66</v>
      </c>
      <c r="AJ304" s="8">
        <v>81.12</v>
      </c>
      <c r="AK304" s="8">
        <v>87.13</v>
      </c>
      <c r="AL304" s="8">
        <v>83.08</v>
      </c>
      <c r="AM304" s="8">
        <v>93.75</v>
      </c>
      <c r="AN304" s="8">
        <v>83.76</v>
      </c>
      <c r="AO304" s="8">
        <v>69.77</v>
      </c>
      <c r="AP304" s="8">
        <v>69.77</v>
      </c>
      <c r="AQ304" s="8">
        <v>92.53</v>
      </c>
      <c r="AR304" s="8">
        <v>94.6</v>
      </c>
      <c r="AS304" s="8">
        <v>97.31</v>
      </c>
      <c r="AT304" s="8">
        <v>94.6</v>
      </c>
      <c r="AU304" s="8">
        <v>90.38</v>
      </c>
      <c r="AV304" s="8">
        <v>97.76</v>
      </c>
      <c r="AW304" s="8">
        <v>94.56</v>
      </c>
      <c r="AX304" s="8">
        <v>98.49</v>
      </c>
      <c r="AY304" s="8">
        <v>100.5</v>
      </c>
      <c r="AZ304" s="8">
        <v>84.92</v>
      </c>
      <c r="BA304" s="8">
        <v>85.38</v>
      </c>
      <c r="BB304" s="8">
        <v>81.180000000000007</v>
      </c>
      <c r="BC304" s="8">
        <v>79.64</v>
      </c>
      <c r="BD304" s="8">
        <v>81.400000000000006</v>
      </c>
      <c r="BE304" s="8">
        <v>81.400000000000006</v>
      </c>
      <c r="BF304" s="8">
        <v>77.12</v>
      </c>
      <c r="BG304" s="8">
        <v>77.12</v>
      </c>
      <c r="BH304" s="8">
        <v>83.58</v>
      </c>
      <c r="BI304" s="8">
        <v>86.58</v>
      </c>
      <c r="BJ304" s="8">
        <v>79.680000000000007</v>
      </c>
      <c r="BK304" s="8">
        <v>80.34</v>
      </c>
      <c r="BL304" s="8">
        <v>88.34</v>
      </c>
      <c r="BM304" s="8">
        <v>83.78</v>
      </c>
      <c r="BN304" s="8">
        <v>67.69</v>
      </c>
      <c r="BO304" s="8">
        <v>90.04</v>
      </c>
      <c r="BP304" s="8">
        <v>91.22</v>
      </c>
      <c r="BQ304" s="8">
        <v>92.9</v>
      </c>
      <c r="BR304" s="8">
        <v>83.79</v>
      </c>
      <c r="BS304" s="8">
        <v>97.04</v>
      </c>
      <c r="BT304" s="8">
        <v>97.04</v>
      </c>
      <c r="BU304" s="8">
        <v>98.08</v>
      </c>
      <c r="BV304" s="8">
        <v>96.88</v>
      </c>
      <c r="BW304" s="8">
        <v>99.39</v>
      </c>
      <c r="BX304" s="8">
        <v>102.4</v>
      </c>
      <c r="BY304" s="8">
        <v>94.19</v>
      </c>
      <c r="BZ304" s="8">
        <v>87.47</v>
      </c>
      <c r="CA304" s="8">
        <v>86.12</v>
      </c>
      <c r="CB304" s="8">
        <v>88.59</v>
      </c>
      <c r="CC304" s="8">
        <v>87.02</v>
      </c>
      <c r="CD304" s="8">
        <v>86.87</v>
      </c>
      <c r="CE304" s="8">
        <v>95.94</v>
      </c>
      <c r="CF304" s="8">
        <v>82.18</v>
      </c>
      <c r="CG304" s="8">
        <v>84.5</v>
      </c>
      <c r="CH304" s="8">
        <v>84.43</v>
      </c>
      <c r="CI304" s="8">
        <v>93.15</v>
      </c>
      <c r="CJ304" s="8">
        <v>93.01</v>
      </c>
      <c r="CK304" s="8">
        <v>94.05</v>
      </c>
      <c r="CL304" s="8">
        <v>82.65</v>
      </c>
      <c r="CM304" s="8">
        <v>82.1</v>
      </c>
      <c r="CN304" s="8">
        <v>87.07</v>
      </c>
      <c r="CO304" s="8">
        <v>89.21</v>
      </c>
      <c r="CP304" s="8">
        <v>89.11</v>
      </c>
      <c r="CQ304" s="8">
        <v>94.33</v>
      </c>
      <c r="CR304" s="8">
        <v>81.73</v>
      </c>
      <c r="CS304" s="8">
        <v>90.19</v>
      </c>
      <c r="CT304" s="8">
        <v>84.03</v>
      </c>
      <c r="CU304" s="8">
        <v>87.17</v>
      </c>
      <c r="CV304" s="8">
        <v>92.27</v>
      </c>
      <c r="CW304" s="8">
        <v>92.27</v>
      </c>
      <c r="CX304" s="8">
        <v>95.26</v>
      </c>
      <c r="CY304" s="8">
        <v>95.26</v>
      </c>
      <c r="CZ304" s="8">
        <v>76.12</v>
      </c>
      <c r="DA304" s="8">
        <v>96.32</v>
      </c>
      <c r="DB304" s="8">
        <v>86.8</v>
      </c>
      <c r="DC304" s="8">
        <v>90.74</v>
      </c>
      <c r="DD304" s="8">
        <v>101.84</v>
      </c>
      <c r="DE304" s="8">
        <v>78.09</v>
      </c>
      <c r="DF304" s="8">
        <v>85.82</v>
      </c>
      <c r="DG304" s="8">
        <v>99.5</v>
      </c>
      <c r="DH304" s="8">
        <v>80.78</v>
      </c>
      <c r="DI304" s="8">
        <v>83.54</v>
      </c>
      <c r="DJ304" s="8">
        <v>81.739999999999995</v>
      </c>
      <c r="DK304" s="8">
        <v>84.36</v>
      </c>
      <c r="DL304" s="8">
        <v>87.47</v>
      </c>
      <c r="DM304" s="8">
        <v>93.75</v>
      </c>
      <c r="DN304" s="8">
        <v>98.39</v>
      </c>
      <c r="DO304" s="8">
        <v>81.83</v>
      </c>
      <c r="DP304" s="8">
        <v>77.900000000000006</v>
      </c>
      <c r="DQ304" s="8">
        <v>82.99</v>
      </c>
      <c r="DR304" s="8">
        <v>91.1</v>
      </c>
      <c r="DS304" s="8">
        <v>81.430000000000007</v>
      </c>
      <c r="DT304" s="8">
        <v>81.430000000000007</v>
      </c>
      <c r="DU304" s="8">
        <v>88.13</v>
      </c>
      <c r="DV304" s="8">
        <v>82.07</v>
      </c>
      <c r="DW304" s="8">
        <v>77.13</v>
      </c>
      <c r="DX304" s="8">
        <v>81.92</v>
      </c>
      <c r="DY304" s="8">
        <v>71.84</v>
      </c>
      <c r="DZ304" s="8">
        <v>71.84</v>
      </c>
      <c r="EA304" s="8">
        <v>85.04</v>
      </c>
      <c r="EB304" s="8">
        <v>90.37</v>
      </c>
      <c r="EC304" s="8">
        <v>84.5</v>
      </c>
      <c r="ED304" s="9">
        <v>1.3</v>
      </c>
      <c r="EE304" s="9">
        <v>0.6</v>
      </c>
      <c r="EF304" s="9">
        <v>1.3</v>
      </c>
      <c r="EG304" s="9">
        <v>0.8</v>
      </c>
      <c r="EH304" s="9">
        <v>1.5</v>
      </c>
      <c r="EI304" s="9">
        <v>1</v>
      </c>
      <c r="EJ304" s="9">
        <v>2.4</v>
      </c>
      <c r="EK304" s="9">
        <v>0.1</v>
      </c>
      <c r="EL304" s="9">
        <v>0.4</v>
      </c>
      <c r="EM304" s="9">
        <v>1.4</v>
      </c>
      <c r="EN304" s="9">
        <v>-0.3</v>
      </c>
      <c r="EO304" s="9">
        <v>-1.7</v>
      </c>
      <c r="EP304" s="9">
        <v>0.5</v>
      </c>
      <c r="EQ304" s="9">
        <v>0.6</v>
      </c>
      <c r="ER304" s="9">
        <v>1.7</v>
      </c>
      <c r="ES304" s="9">
        <v>1.4</v>
      </c>
      <c r="ET304" s="9">
        <v>1.9</v>
      </c>
      <c r="EU304" s="9">
        <v>1.9</v>
      </c>
      <c r="EV304" s="9">
        <v>-0.7</v>
      </c>
      <c r="EW304" s="9">
        <v>-1.2</v>
      </c>
      <c r="EX304" s="9">
        <v>-0.4</v>
      </c>
      <c r="EY304" s="9">
        <v>1.2</v>
      </c>
      <c r="EZ304" s="9">
        <v>-0.4</v>
      </c>
      <c r="FA304" s="9">
        <v>0.7</v>
      </c>
      <c r="FB304" s="9">
        <v>0.9</v>
      </c>
      <c r="FC304" s="9">
        <v>0.8</v>
      </c>
      <c r="FD304" s="9">
        <v>1.1000000000000001</v>
      </c>
      <c r="FE304" s="9">
        <v>2.4</v>
      </c>
      <c r="FF304" s="9">
        <v>-0.4</v>
      </c>
      <c r="FG304" s="9">
        <v>1.6</v>
      </c>
      <c r="FH304" s="9">
        <v>-0.9</v>
      </c>
      <c r="FI304" s="9">
        <v>1</v>
      </c>
      <c r="FJ304" s="9">
        <v>1.2</v>
      </c>
      <c r="FK304" s="9">
        <v>0.8</v>
      </c>
      <c r="FL304" s="9">
        <v>0.9</v>
      </c>
      <c r="FM304" s="9">
        <v>0.1</v>
      </c>
      <c r="FN304" s="9">
        <v>0.7</v>
      </c>
      <c r="FO304" s="9">
        <v>-0.7</v>
      </c>
      <c r="FP304" s="9">
        <v>0.5</v>
      </c>
      <c r="FQ304" s="9">
        <v>2.2000000000000002</v>
      </c>
      <c r="FR304" s="9">
        <v>2.2000000000000002</v>
      </c>
      <c r="FS304" s="9">
        <v>2.5</v>
      </c>
      <c r="FT304" s="9">
        <v>2.7</v>
      </c>
      <c r="FU304" s="9">
        <v>0.2</v>
      </c>
      <c r="FV304" s="9">
        <v>3.8</v>
      </c>
      <c r="FW304" s="9">
        <v>3.4</v>
      </c>
      <c r="FX304" s="9">
        <v>4.2</v>
      </c>
      <c r="FY304" s="9">
        <v>4.5</v>
      </c>
      <c r="FZ304" s="9">
        <v>4.5999999999999996</v>
      </c>
      <c r="GA304" s="9">
        <v>2.2000000000000002</v>
      </c>
      <c r="GB304" s="9">
        <v>1.2</v>
      </c>
      <c r="GC304" s="9">
        <v>1.3</v>
      </c>
      <c r="GD304" s="9">
        <v>0.4</v>
      </c>
      <c r="GE304" s="9">
        <v>1.9</v>
      </c>
      <c r="GF304" s="9">
        <v>0.1</v>
      </c>
      <c r="GG304" s="9">
        <v>0.1</v>
      </c>
      <c r="GH304" s="9">
        <v>4.0999999999999996</v>
      </c>
      <c r="GI304" s="9">
        <v>4.0999999999999996</v>
      </c>
      <c r="GJ304" s="9">
        <v>1.4</v>
      </c>
      <c r="GK304" s="9">
        <v>2.4</v>
      </c>
      <c r="GL304" s="9">
        <v>0</v>
      </c>
      <c r="GM304" s="9">
        <v>0.3</v>
      </c>
      <c r="GN304" s="9">
        <v>0</v>
      </c>
      <c r="GO304" s="9">
        <v>0.4</v>
      </c>
      <c r="GP304" s="9">
        <v>0.2</v>
      </c>
      <c r="GQ304" s="9">
        <v>1</v>
      </c>
      <c r="GR304" s="9">
        <v>1</v>
      </c>
      <c r="GS304" s="9">
        <v>1.2</v>
      </c>
      <c r="GT304" s="9">
        <v>0.3</v>
      </c>
      <c r="GU304" s="9">
        <v>-2.9</v>
      </c>
      <c r="GV304" s="9">
        <v>-2.9</v>
      </c>
      <c r="GW304" s="9">
        <v>0</v>
      </c>
      <c r="GX304" s="9">
        <v>0.5</v>
      </c>
      <c r="GY304" s="9">
        <v>1.6</v>
      </c>
      <c r="GZ304" s="9">
        <v>-2.8</v>
      </c>
      <c r="HA304" s="9">
        <v>1.2</v>
      </c>
      <c r="HB304" s="9">
        <v>2.2000000000000002</v>
      </c>
      <c r="HC304" s="9">
        <v>1.5</v>
      </c>
      <c r="HD304" s="9">
        <v>0.3</v>
      </c>
      <c r="HE304" s="9">
        <v>3.6</v>
      </c>
      <c r="HF304" s="9">
        <v>1.3</v>
      </c>
      <c r="HG304" s="9">
        <v>0.8</v>
      </c>
      <c r="HH304" s="9">
        <v>1.3</v>
      </c>
      <c r="HI304" s="9">
        <v>2</v>
      </c>
      <c r="HJ304" s="9">
        <v>-0.3</v>
      </c>
      <c r="HK304" s="9">
        <v>-1.1000000000000001</v>
      </c>
      <c r="HL304" s="9">
        <v>-1.3</v>
      </c>
      <c r="HM304" s="9">
        <v>0.1</v>
      </c>
      <c r="HN304" s="9">
        <v>-0.1</v>
      </c>
      <c r="HO304" s="9">
        <v>-0.2</v>
      </c>
      <c r="HP304" s="9">
        <v>0.1</v>
      </c>
      <c r="HQ304" s="9">
        <v>2.9</v>
      </c>
      <c r="HR304" s="9">
        <v>3</v>
      </c>
      <c r="HS304" s="9">
        <v>1.9</v>
      </c>
      <c r="HT304" s="9">
        <v>1.2</v>
      </c>
      <c r="HU304" s="9">
        <v>6.7</v>
      </c>
      <c r="HV304" s="9">
        <v>0.9</v>
      </c>
      <c r="HW304" s="9">
        <v>0.1</v>
      </c>
      <c r="HX304" s="9">
        <v>0</v>
      </c>
      <c r="HY304" s="9">
        <v>0</v>
      </c>
      <c r="HZ304" s="9">
        <v>0.2</v>
      </c>
      <c r="IA304" s="9">
        <v>0.2</v>
      </c>
      <c r="IB304" s="9">
        <v>0.6</v>
      </c>
      <c r="IC304" s="9">
        <v>0.1</v>
      </c>
      <c r="ID304" s="9">
        <v>1.4</v>
      </c>
      <c r="IE304" s="9">
        <v>1</v>
      </c>
      <c r="IF304" s="9">
        <v>0.5</v>
      </c>
      <c r="IG304" s="9">
        <v>1.8</v>
      </c>
      <c r="IH304" s="9">
        <v>-1.1000000000000001</v>
      </c>
      <c r="II304" s="9">
        <v>-2.8</v>
      </c>
      <c r="IJ304" s="9">
        <v>-0.3</v>
      </c>
      <c r="IK304" s="9">
        <v>5.3</v>
      </c>
      <c r="IL304" s="9">
        <v>4.8</v>
      </c>
      <c r="IM304" s="9">
        <v>16.3</v>
      </c>
      <c r="IN304" s="9">
        <v>0</v>
      </c>
      <c r="IO304" s="9">
        <v>0.9</v>
      </c>
      <c r="IP304" s="9">
        <v>-1.1000000000000001</v>
      </c>
      <c r="IQ304" s="9">
        <v>0.4</v>
      </c>
    </row>
    <row r="305" spans="1:251" x14ac:dyDescent="0.2">
      <c r="A305" s="10">
        <v>44621</v>
      </c>
      <c r="B305" s="8">
        <v>86.05</v>
      </c>
      <c r="C305" s="8">
        <v>85.12</v>
      </c>
      <c r="D305" s="8">
        <v>81.67</v>
      </c>
      <c r="E305" s="8">
        <v>80.260000000000005</v>
      </c>
      <c r="F305" s="8">
        <v>81.33</v>
      </c>
      <c r="G305" s="8">
        <v>83</v>
      </c>
      <c r="H305" s="8">
        <v>86.86</v>
      </c>
      <c r="I305" s="8">
        <v>91.94</v>
      </c>
      <c r="J305" s="8">
        <v>96.38</v>
      </c>
      <c r="K305" s="8">
        <v>89.64</v>
      </c>
      <c r="L305" s="8">
        <v>92.58</v>
      </c>
      <c r="M305" s="8">
        <v>89.99</v>
      </c>
      <c r="N305" s="8">
        <v>94.09</v>
      </c>
      <c r="O305" s="8">
        <v>86.92</v>
      </c>
      <c r="P305" s="8">
        <v>82.26</v>
      </c>
      <c r="Q305" s="8">
        <v>82.13</v>
      </c>
      <c r="R305" s="8">
        <v>82.36</v>
      </c>
      <c r="S305" s="8">
        <v>82.25</v>
      </c>
      <c r="T305" s="8">
        <v>90.33</v>
      </c>
      <c r="U305" s="8">
        <v>85.81</v>
      </c>
      <c r="V305" s="8">
        <v>93.61</v>
      </c>
      <c r="W305" s="8">
        <v>81.33</v>
      </c>
      <c r="X305" s="8">
        <v>69</v>
      </c>
      <c r="Y305" s="8">
        <v>86.89</v>
      </c>
      <c r="Z305" s="8">
        <v>87.64</v>
      </c>
      <c r="AA305" s="8">
        <v>74.27</v>
      </c>
      <c r="AB305" s="8">
        <v>79.319999999999993</v>
      </c>
      <c r="AC305" s="8">
        <v>86.97</v>
      </c>
      <c r="AD305" s="8">
        <v>83.59</v>
      </c>
      <c r="AE305" s="8">
        <v>79.400000000000006</v>
      </c>
      <c r="AF305" s="8">
        <v>84.84</v>
      </c>
      <c r="AG305" s="8">
        <v>84.04</v>
      </c>
      <c r="AH305" s="8">
        <v>85.37</v>
      </c>
      <c r="AI305" s="8">
        <v>82.34</v>
      </c>
      <c r="AJ305" s="8">
        <v>81.99</v>
      </c>
      <c r="AK305" s="8">
        <v>87.98</v>
      </c>
      <c r="AL305" s="8">
        <v>83.93</v>
      </c>
      <c r="AM305" s="8">
        <v>94.91</v>
      </c>
      <c r="AN305" s="8">
        <v>84.39</v>
      </c>
      <c r="AO305" s="8">
        <v>70.62</v>
      </c>
      <c r="AP305" s="8">
        <v>70.62</v>
      </c>
      <c r="AQ305" s="8">
        <v>91.92</v>
      </c>
      <c r="AR305" s="8">
        <v>93.56</v>
      </c>
      <c r="AS305" s="8">
        <v>97.21</v>
      </c>
      <c r="AT305" s="8">
        <v>92.89</v>
      </c>
      <c r="AU305" s="8">
        <v>90.19</v>
      </c>
      <c r="AV305" s="8">
        <v>95.45</v>
      </c>
      <c r="AW305" s="8">
        <v>94.29</v>
      </c>
      <c r="AX305" s="8">
        <v>94.78</v>
      </c>
      <c r="AY305" s="8">
        <v>100.3</v>
      </c>
      <c r="AZ305" s="8">
        <v>86.08</v>
      </c>
      <c r="BA305" s="8">
        <v>86.48</v>
      </c>
      <c r="BB305" s="8">
        <v>82.66</v>
      </c>
      <c r="BC305" s="8">
        <v>81.75</v>
      </c>
      <c r="BD305" s="8">
        <v>81.95</v>
      </c>
      <c r="BE305" s="8">
        <v>81.95</v>
      </c>
      <c r="BF305" s="8">
        <v>81.540000000000006</v>
      </c>
      <c r="BG305" s="8">
        <v>81.540000000000006</v>
      </c>
      <c r="BH305" s="8">
        <v>83.96</v>
      </c>
      <c r="BI305" s="8">
        <v>87.24</v>
      </c>
      <c r="BJ305" s="8">
        <v>79.680000000000007</v>
      </c>
      <c r="BK305" s="8">
        <v>81.27</v>
      </c>
      <c r="BL305" s="8">
        <v>88.34</v>
      </c>
      <c r="BM305" s="8">
        <v>83.45</v>
      </c>
      <c r="BN305" s="8">
        <v>71.959999999999994</v>
      </c>
      <c r="BO305" s="8">
        <v>91.02</v>
      </c>
      <c r="BP305" s="8">
        <v>88.99</v>
      </c>
      <c r="BQ305" s="8">
        <v>89.69</v>
      </c>
      <c r="BR305" s="8">
        <v>85.75</v>
      </c>
      <c r="BS305" s="8">
        <v>97.61</v>
      </c>
      <c r="BT305" s="8">
        <v>97.61</v>
      </c>
      <c r="BU305" s="8">
        <v>98.56</v>
      </c>
      <c r="BV305" s="8">
        <v>100.4</v>
      </c>
      <c r="BW305" s="8">
        <v>101.65</v>
      </c>
      <c r="BX305" s="8">
        <v>97.53</v>
      </c>
      <c r="BY305" s="8">
        <v>95.07</v>
      </c>
      <c r="BZ305" s="8">
        <v>91.52</v>
      </c>
      <c r="CA305" s="8">
        <v>88.47</v>
      </c>
      <c r="CB305" s="8">
        <v>90.37</v>
      </c>
      <c r="CC305" s="8">
        <v>92.91</v>
      </c>
      <c r="CD305" s="8">
        <v>87.69</v>
      </c>
      <c r="CE305" s="8">
        <v>95.92</v>
      </c>
      <c r="CF305" s="8">
        <v>83.13</v>
      </c>
      <c r="CG305" s="8">
        <v>86</v>
      </c>
      <c r="CH305" s="8">
        <v>86.35</v>
      </c>
      <c r="CI305" s="8">
        <v>97.63</v>
      </c>
      <c r="CJ305" s="8">
        <v>98.27</v>
      </c>
      <c r="CK305" s="8">
        <v>93.44</v>
      </c>
      <c r="CL305" s="8">
        <v>84.04</v>
      </c>
      <c r="CM305" s="8">
        <v>83.56</v>
      </c>
      <c r="CN305" s="8">
        <v>87.93</v>
      </c>
      <c r="CO305" s="8">
        <v>92.95</v>
      </c>
      <c r="CP305" s="8">
        <v>92.97</v>
      </c>
      <c r="CQ305" s="8">
        <v>95.24</v>
      </c>
      <c r="CR305" s="8">
        <v>83.16</v>
      </c>
      <c r="CS305" s="8">
        <v>100.06</v>
      </c>
      <c r="CT305" s="8">
        <v>85.21</v>
      </c>
      <c r="CU305" s="8">
        <v>87.46</v>
      </c>
      <c r="CV305" s="8">
        <v>92.66</v>
      </c>
      <c r="CW305" s="8">
        <v>92.66</v>
      </c>
      <c r="CX305" s="8">
        <v>95.53</v>
      </c>
      <c r="CY305" s="8">
        <v>95.53</v>
      </c>
      <c r="CZ305" s="8">
        <v>79.03</v>
      </c>
      <c r="DA305" s="8">
        <v>96.42</v>
      </c>
      <c r="DB305" s="8">
        <v>87.42</v>
      </c>
      <c r="DC305" s="8">
        <v>90.4</v>
      </c>
      <c r="DD305" s="8">
        <v>101.77</v>
      </c>
      <c r="DE305" s="8">
        <v>77.34</v>
      </c>
      <c r="DF305" s="8">
        <v>87.49</v>
      </c>
      <c r="DG305" s="8">
        <v>103.35</v>
      </c>
      <c r="DH305" s="8">
        <v>81.66</v>
      </c>
      <c r="DI305" s="8">
        <v>82.98</v>
      </c>
      <c r="DJ305" s="8">
        <v>81.97</v>
      </c>
      <c r="DK305" s="8">
        <v>64.86</v>
      </c>
      <c r="DL305" s="8">
        <v>89.1</v>
      </c>
      <c r="DM305" s="8">
        <v>95.62</v>
      </c>
      <c r="DN305" s="8">
        <v>100.36</v>
      </c>
      <c r="DO305" s="8">
        <v>87.33</v>
      </c>
      <c r="DP305" s="8">
        <v>79.38</v>
      </c>
      <c r="DQ305" s="8">
        <v>82.71</v>
      </c>
      <c r="DR305" s="8">
        <v>91.78</v>
      </c>
      <c r="DS305" s="8">
        <v>85.11</v>
      </c>
      <c r="DT305" s="8">
        <v>85.11</v>
      </c>
      <c r="DU305" s="8">
        <v>92.15</v>
      </c>
      <c r="DV305" s="8">
        <v>84.53</v>
      </c>
      <c r="DW305" s="8">
        <v>82.04</v>
      </c>
      <c r="DX305" s="8">
        <v>82.39</v>
      </c>
      <c r="DY305" s="8">
        <v>72.63</v>
      </c>
      <c r="DZ305" s="8">
        <v>72.63</v>
      </c>
      <c r="EA305" s="8">
        <v>85.4</v>
      </c>
      <c r="EB305" s="8">
        <v>90.52</v>
      </c>
      <c r="EC305" s="8">
        <v>84.88</v>
      </c>
      <c r="ED305" s="9">
        <v>2.2000000000000002</v>
      </c>
      <c r="EE305" s="9">
        <v>2.8</v>
      </c>
      <c r="EF305" s="9">
        <v>1.8</v>
      </c>
      <c r="EG305" s="9">
        <v>2.1</v>
      </c>
      <c r="EH305" s="9">
        <v>1.2</v>
      </c>
      <c r="EI305" s="9">
        <v>2</v>
      </c>
      <c r="EJ305" s="9">
        <v>3</v>
      </c>
      <c r="EK305" s="9">
        <v>4.8</v>
      </c>
      <c r="EL305" s="9">
        <v>7.5</v>
      </c>
      <c r="EM305" s="9">
        <v>2.7</v>
      </c>
      <c r="EN305" s="9">
        <v>7</v>
      </c>
      <c r="EO305" s="9">
        <v>5.3</v>
      </c>
      <c r="EP305" s="9">
        <v>4.5999999999999996</v>
      </c>
      <c r="EQ305" s="9">
        <v>1.1000000000000001</v>
      </c>
      <c r="ER305" s="9">
        <v>1.9</v>
      </c>
      <c r="ES305" s="9">
        <v>2.7</v>
      </c>
      <c r="ET305" s="9">
        <v>1.1000000000000001</v>
      </c>
      <c r="EU305" s="9">
        <v>1.6</v>
      </c>
      <c r="EV305" s="9">
        <v>5.9</v>
      </c>
      <c r="EW305" s="9">
        <v>4.9000000000000004</v>
      </c>
      <c r="EX305" s="9">
        <v>6.6</v>
      </c>
      <c r="EY305" s="9">
        <v>2.8</v>
      </c>
      <c r="EZ305" s="9">
        <v>1.5</v>
      </c>
      <c r="FA305" s="9">
        <v>0.8</v>
      </c>
      <c r="FB305" s="9">
        <v>4</v>
      </c>
      <c r="FC305" s="9">
        <v>4.7</v>
      </c>
      <c r="FD305" s="9">
        <v>2.9</v>
      </c>
      <c r="FE305" s="9">
        <v>2.1</v>
      </c>
      <c r="FF305" s="9">
        <v>5.9</v>
      </c>
      <c r="FG305" s="9">
        <v>6.8</v>
      </c>
      <c r="FH305" s="9">
        <v>5.5</v>
      </c>
      <c r="FI305" s="9">
        <v>0.7</v>
      </c>
      <c r="FJ305" s="9">
        <v>0.6</v>
      </c>
      <c r="FK305" s="9">
        <v>0.8</v>
      </c>
      <c r="FL305" s="9">
        <v>1.1000000000000001</v>
      </c>
      <c r="FM305" s="9">
        <v>1</v>
      </c>
      <c r="FN305" s="9">
        <v>1</v>
      </c>
      <c r="FO305" s="9">
        <v>1.2</v>
      </c>
      <c r="FP305" s="9">
        <v>0.8</v>
      </c>
      <c r="FQ305" s="9">
        <v>1.2</v>
      </c>
      <c r="FR305" s="9">
        <v>1.2</v>
      </c>
      <c r="FS305" s="9">
        <v>-0.7</v>
      </c>
      <c r="FT305" s="9">
        <v>-1.1000000000000001</v>
      </c>
      <c r="FU305" s="9">
        <v>-0.1</v>
      </c>
      <c r="FV305" s="9">
        <v>-1.8</v>
      </c>
      <c r="FW305" s="9">
        <v>-0.2</v>
      </c>
      <c r="FX305" s="9">
        <v>-2.4</v>
      </c>
      <c r="FY305" s="9">
        <v>-0.3</v>
      </c>
      <c r="FZ305" s="9">
        <v>-3.8</v>
      </c>
      <c r="GA305" s="9">
        <v>-0.2</v>
      </c>
      <c r="GB305" s="9">
        <v>1.4</v>
      </c>
      <c r="GC305" s="9">
        <v>1.3</v>
      </c>
      <c r="GD305" s="9">
        <v>1.8</v>
      </c>
      <c r="GE305" s="9">
        <v>2.6</v>
      </c>
      <c r="GF305" s="9">
        <v>0.7</v>
      </c>
      <c r="GG305" s="9">
        <v>0.7</v>
      </c>
      <c r="GH305" s="9">
        <v>5.7</v>
      </c>
      <c r="GI305" s="9">
        <v>5.7</v>
      </c>
      <c r="GJ305" s="9">
        <v>0.5</v>
      </c>
      <c r="GK305" s="9">
        <v>0.8</v>
      </c>
      <c r="GL305" s="9">
        <v>0</v>
      </c>
      <c r="GM305" s="9">
        <v>1.2</v>
      </c>
      <c r="GN305" s="9">
        <v>0</v>
      </c>
      <c r="GO305" s="9">
        <v>-0.4</v>
      </c>
      <c r="GP305" s="9">
        <v>6.3</v>
      </c>
      <c r="GQ305" s="9">
        <v>1.1000000000000001</v>
      </c>
      <c r="GR305" s="9">
        <v>-2.4</v>
      </c>
      <c r="GS305" s="9">
        <v>-3.5</v>
      </c>
      <c r="GT305" s="9">
        <v>2.2999999999999998</v>
      </c>
      <c r="GU305" s="9">
        <v>0.6</v>
      </c>
      <c r="GV305" s="9">
        <v>0.6</v>
      </c>
      <c r="GW305" s="9">
        <v>0.5</v>
      </c>
      <c r="GX305" s="9">
        <v>3.6</v>
      </c>
      <c r="GY305" s="9">
        <v>2.2999999999999998</v>
      </c>
      <c r="GZ305" s="9">
        <v>-4.8</v>
      </c>
      <c r="HA305" s="9">
        <v>0.9</v>
      </c>
      <c r="HB305" s="9">
        <v>4.5999999999999996</v>
      </c>
      <c r="HC305" s="9">
        <v>2.7</v>
      </c>
      <c r="HD305" s="9">
        <v>2</v>
      </c>
      <c r="HE305" s="9">
        <v>6.8</v>
      </c>
      <c r="HF305" s="9">
        <v>0.9</v>
      </c>
      <c r="HG305" s="9">
        <v>0</v>
      </c>
      <c r="HH305" s="9">
        <v>1.2</v>
      </c>
      <c r="HI305" s="9">
        <v>1.8</v>
      </c>
      <c r="HJ305" s="9">
        <v>2.2999999999999998</v>
      </c>
      <c r="HK305" s="9">
        <v>4.8</v>
      </c>
      <c r="HL305" s="9">
        <v>5.7</v>
      </c>
      <c r="HM305" s="9">
        <v>-0.6</v>
      </c>
      <c r="HN305" s="9">
        <v>1.7</v>
      </c>
      <c r="HO305" s="9">
        <v>1.8</v>
      </c>
      <c r="HP305" s="9">
        <v>1</v>
      </c>
      <c r="HQ305" s="9">
        <v>4.2</v>
      </c>
      <c r="HR305" s="9">
        <v>4.3</v>
      </c>
      <c r="HS305" s="9">
        <v>1</v>
      </c>
      <c r="HT305" s="9">
        <v>1.7</v>
      </c>
      <c r="HU305" s="9">
        <v>10.9</v>
      </c>
      <c r="HV305" s="9">
        <v>1.4</v>
      </c>
      <c r="HW305" s="9">
        <v>0.3</v>
      </c>
      <c r="HX305" s="9">
        <v>0.4</v>
      </c>
      <c r="HY305" s="9">
        <v>0.4</v>
      </c>
      <c r="HZ305" s="9">
        <v>0.3</v>
      </c>
      <c r="IA305" s="9">
        <v>0.3</v>
      </c>
      <c r="IB305" s="9">
        <v>3.8</v>
      </c>
      <c r="IC305" s="9">
        <v>0.1</v>
      </c>
      <c r="ID305" s="9">
        <v>0.7</v>
      </c>
      <c r="IE305" s="9">
        <v>-0.4</v>
      </c>
      <c r="IF305" s="9">
        <v>-0.1</v>
      </c>
      <c r="IG305" s="9">
        <v>-1</v>
      </c>
      <c r="IH305" s="9">
        <v>1.9</v>
      </c>
      <c r="II305" s="9">
        <v>3.9</v>
      </c>
      <c r="IJ305" s="9">
        <v>1.1000000000000001</v>
      </c>
      <c r="IK305" s="9">
        <v>-0.7</v>
      </c>
      <c r="IL305" s="9">
        <v>0.3</v>
      </c>
      <c r="IM305" s="9">
        <v>-23.1</v>
      </c>
      <c r="IN305" s="9">
        <v>1.9</v>
      </c>
      <c r="IO305" s="9">
        <v>2</v>
      </c>
      <c r="IP305" s="9">
        <v>2</v>
      </c>
      <c r="IQ305" s="9">
        <v>6.7</v>
      </c>
    </row>
    <row r="306" spans="1:251" x14ac:dyDescent="0.2">
      <c r="A306" s="10">
        <v>44713</v>
      </c>
      <c r="B306" s="8">
        <v>87.59</v>
      </c>
      <c r="C306" s="8">
        <v>86.87</v>
      </c>
      <c r="D306" s="8">
        <v>84.27</v>
      </c>
      <c r="E306" s="8">
        <v>83.82</v>
      </c>
      <c r="F306" s="8">
        <v>82.59</v>
      </c>
      <c r="G306" s="8">
        <v>87.19</v>
      </c>
      <c r="H306" s="8">
        <v>90.16</v>
      </c>
      <c r="I306" s="8">
        <v>92.64</v>
      </c>
      <c r="J306" s="8">
        <v>97.46</v>
      </c>
      <c r="K306" s="8">
        <v>89.18</v>
      </c>
      <c r="L306" s="8">
        <v>92.81</v>
      </c>
      <c r="M306" s="8">
        <v>91.39</v>
      </c>
      <c r="N306" s="8">
        <v>95.49</v>
      </c>
      <c r="O306" s="8">
        <v>87.04</v>
      </c>
      <c r="P306" s="8">
        <v>83.32</v>
      </c>
      <c r="Q306" s="8">
        <v>82.8</v>
      </c>
      <c r="R306" s="8">
        <v>83.71</v>
      </c>
      <c r="S306" s="8">
        <v>83.57</v>
      </c>
      <c r="T306" s="8">
        <v>95.51</v>
      </c>
      <c r="U306" s="8">
        <v>89.01</v>
      </c>
      <c r="V306" s="8">
        <v>100.39</v>
      </c>
      <c r="W306" s="8">
        <v>82.25</v>
      </c>
      <c r="X306" s="8">
        <v>71.56</v>
      </c>
      <c r="Y306" s="8">
        <v>87.64</v>
      </c>
      <c r="Z306" s="8">
        <v>89.04</v>
      </c>
      <c r="AA306" s="8">
        <v>78.069999999999993</v>
      </c>
      <c r="AB306" s="8">
        <v>79.45</v>
      </c>
      <c r="AC306" s="8">
        <v>87.22</v>
      </c>
      <c r="AD306" s="8">
        <v>84.84</v>
      </c>
      <c r="AE306" s="8">
        <v>79.52</v>
      </c>
      <c r="AF306" s="8">
        <v>86.45</v>
      </c>
      <c r="AG306" s="8">
        <v>85.26</v>
      </c>
      <c r="AH306" s="8">
        <v>86.61</v>
      </c>
      <c r="AI306" s="8">
        <v>83.55</v>
      </c>
      <c r="AJ306" s="8">
        <v>82.62</v>
      </c>
      <c r="AK306" s="8">
        <v>88.55</v>
      </c>
      <c r="AL306" s="8">
        <v>84.62</v>
      </c>
      <c r="AM306" s="8">
        <v>95.57</v>
      </c>
      <c r="AN306" s="8">
        <v>84.84</v>
      </c>
      <c r="AO306" s="8">
        <v>71.3</v>
      </c>
      <c r="AP306" s="8">
        <v>71.3</v>
      </c>
      <c r="AQ306" s="8">
        <v>95.23</v>
      </c>
      <c r="AR306" s="8">
        <v>97.66</v>
      </c>
      <c r="AS306" s="8">
        <v>98.88</v>
      </c>
      <c r="AT306" s="8">
        <v>98.42</v>
      </c>
      <c r="AU306" s="8">
        <v>93.16</v>
      </c>
      <c r="AV306" s="8">
        <v>99.71</v>
      </c>
      <c r="AW306" s="8">
        <v>97.47</v>
      </c>
      <c r="AX306" s="8">
        <v>101.19</v>
      </c>
      <c r="AY306" s="8">
        <v>97.86</v>
      </c>
      <c r="AZ306" s="8">
        <v>87.21</v>
      </c>
      <c r="BA306" s="8">
        <v>87.43</v>
      </c>
      <c r="BB306" s="8">
        <v>84.97</v>
      </c>
      <c r="BC306" s="8">
        <v>83.77</v>
      </c>
      <c r="BD306" s="8">
        <v>82.49</v>
      </c>
      <c r="BE306" s="8">
        <v>82.49</v>
      </c>
      <c r="BF306" s="8">
        <v>86.17</v>
      </c>
      <c r="BG306" s="8">
        <v>86.17</v>
      </c>
      <c r="BH306" s="8">
        <v>84.59</v>
      </c>
      <c r="BI306" s="8">
        <v>88.35</v>
      </c>
      <c r="BJ306" s="8">
        <v>79.680000000000007</v>
      </c>
      <c r="BK306" s="8">
        <v>81.05</v>
      </c>
      <c r="BL306" s="8">
        <v>88.34</v>
      </c>
      <c r="BM306" s="8">
        <v>83.45</v>
      </c>
      <c r="BN306" s="8">
        <v>71.11</v>
      </c>
      <c r="BO306" s="8">
        <v>93.23</v>
      </c>
      <c r="BP306" s="8">
        <v>94.54</v>
      </c>
      <c r="BQ306" s="8">
        <v>95.92</v>
      </c>
      <c r="BR306" s="8">
        <v>88.32</v>
      </c>
      <c r="BS306" s="8">
        <v>101.54</v>
      </c>
      <c r="BT306" s="8">
        <v>101.54</v>
      </c>
      <c r="BU306" s="8">
        <v>102.41</v>
      </c>
      <c r="BV306" s="8">
        <v>103.75</v>
      </c>
      <c r="BW306" s="8">
        <v>106.62</v>
      </c>
      <c r="BX306" s="8">
        <v>103.52</v>
      </c>
      <c r="BY306" s="8">
        <v>96.6</v>
      </c>
      <c r="BZ306" s="8">
        <v>93.65</v>
      </c>
      <c r="CA306" s="8">
        <v>90.88</v>
      </c>
      <c r="CB306" s="8">
        <v>92.29</v>
      </c>
      <c r="CC306" s="8">
        <v>95.12</v>
      </c>
      <c r="CD306" s="8">
        <v>86.57</v>
      </c>
      <c r="CE306" s="8">
        <v>88.92</v>
      </c>
      <c r="CF306" s="8">
        <v>84.31</v>
      </c>
      <c r="CG306" s="8">
        <v>87.86</v>
      </c>
      <c r="CH306" s="8">
        <v>86.72</v>
      </c>
      <c r="CI306" s="8">
        <v>96.79</v>
      </c>
      <c r="CJ306" s="8">
        <v>97.19</v>
      </c>
      <c r="CK306" s="8">
        <v>94.13</v>
      </c>
      <c r="CL306" s="8">
        <v>84.66</v>
      </c>
      <c r="CM306" s="8">
        <v>84.17</v>
      </c>
      <c r="CN306" s="8">
        <v>88.6</v>
      </c>
      <c r="CO306" s="8">
        <v>95.08</v>
      </c>
      <c r="CP306" s="8">
        <v>95.3</v>
      </c>
      <c r="CQ306" s="8">
        <v>96.38</v>
      </c>
      <c r="CR306" s="8">
        <v>87.41</v>
      </c>
      <c r="CS306" s="8">
        <v>104.25</v>
      </c>
      <c r="CT306" s="8">
        <v>86.7</v>
      </c>
      <c r="CU306" s="8">
        <v>87.86</v>
      </c>
      <c r="CV306" s="8">
        <v>88.6</v>
      </c>
      <c r="CW306" s="8">
        <v>88.6</v>
      </c>
      <c r="CX306" s="8">
        <v>95.58</v>
      </c>
      <c r="CY306" s="8">
        <v>95.58</v>
      </c>
      <c r="CZ306" s="8">
        <v>79.12</v>
      </c>
      <c r="DA306" s="8">
        <v>96.47</v>
      </c>
      <c r="DB306" s="8">
        <v>88.68</v>
      </c>
      <c r="DC306" s="8">
        <v>91.44</v>
      </c>
      <c r="DD306" s="8">
        <v>102.39</v>
      </c>
      <c r="DE306" s="8">
        <v>79.05</v>
      </c>
      <c r="DF306" s="8">
        <v>87.87</v>
      </c>
      <c r="DG306" s="8">
        <v>101.92</v>
      </c>
      <c r="DH306" s="8">
        <v>82.71</v>
      </c>
      <c r="DI306" s="8">
        <v>84.88</v>
      </c>
      <c r="DJ306" s="8">
        <v>83.38</v>
      </c>
      <c r="DK306" s="8">
        <v>77.75</v>
      </c>
      <c r="DL306" s="8">
        <v>90.23</v>
      </c>
      <c r="DM306" s="8">
        <v>96.44</v>
      </c>
      <c r="DN306" s="8">
        <v>100.75</v>
      </c>
      <c r="DO306" s="8">
        <v>90.81</v>
      </c>
      <c r="DP306" s="8">
        <v>81.42</v>
      </c>
      <c r="DQ306" s="8">
        <v>84.11</v>
      </c>
      <c r="DR306" s="8">
        <v>91.47</v>
      </c>
      <c r="DS306" s="8">
        <v>85.12</v>
      </c>
      <c r="DT306" s="8">
        <v>85.12</v>
      </c>
      <c r="DU306" s="8">
        <v>92.17</v>
      </c>
      <c r="DV306" s="8">
        <v>84.53</v>
      </c>
      <c r="DW306" s="8">
        <v>82.04</v>
      </c>
      <c r="DX306" s="8">
        <v>83.22</v>
      </c>
      <c r="DY306" s="8">
        <v>72.86</v>
      </c>
      <c r="DZ306" s="8">
        <v>72.86</v>
      </c>
      <c r="EA306" s="8">
        <v>86.42</v>
      </c>
      <c r="EB306" s="8">
        <v>89.12</v>
      </c>
      <c r="EC306" s="8">
        <v>86.15</v>
      </c>
      <c r="ED306" s="9">
        <v>1.8</v>
      </c>
      <c r="EE306" s="9">
        <v>2.1</v>
      </c>
      <c r="EF306" s="9">
        <v>3.2</v>
      </c>
      <c r="EG306" s="9">
        <v>4.4000000000000004</v>
      </c>
      <c r="EH306" s="9">
        <v>1.5</v>
      </c>
      <c r="EI306" s="9">
        <v>5</v>
      </c>
      <c r="EJ306" s="9">
        <v>3.8</v>
      </c>
      <c r="EK306" s="9">
        <v>0.8</v>
      </c>
      <c r="EL306" s="9">
        <v>1.1000000000000001</v>
      </c>
      <c r="EM306" s="9">
        <v>-0.5</v>
      </c>
      <c r="EN306" s="9">
        <v>0.2</v>
      </c>
      <c r="EO306" s="9">
        <v>1.6</v>
      </c>
      <c r="EP306" s="9">
        <v>1.5</v>
      </c>
      <c r="EQ306" s="9">
        <v>0.1</v>
      </c>
      <c r="ER306" s="9">
        <v>1.3</v>
      </c>
      <c r="ES306" s="9">
        <v>0.8</v>
      </c>
      <c r="ET306" s="9">
        <v>1.6</v>
      </c>
      <c r="EU306" s="9">
        <v>1.6</v>
      </c>
      <c r="EV306" s="9">
        <v>5.7</v>
      </c>
      <c r="EW306" s="9">
        <v>3.7</v>
      </c>
      <c r="EX306" s="9">
        <v>7.2</v>
      </c>
      <c r="EY306" s="9">
        <v>1.1000000000000001</v>
      </c>
      <c r="EZ306" s="9">
        <v>3.7</v>
      </c>
      <c r="FA306" s="9">
        <v>0.9</v>
      </c>
      <c r="FB306" s="9">
        <v>1.6</v>
      </c>
      <c r="FC306" s="9">
        <v>5.0999999999999996</v>
      </c>
      <c r="FD306" s="9">
        <v>0.2</v>
      </c>
      <c r="FE306" s="9">
        <v>0.3</v>
      </c>
      <c r="FF306" s="9">
        <v>1.5</v>
      </c>
      <c r="FG306" s="9">
        <v>0.2</v>
      </c>
      <c r="FH306" s="9">
        <v>1.9</v>
      </c>
      <c r="FI306" s="9">
        <v>1.5</v>
      </c>
      <c r="FJ306" s="9">
        <v>1.5</v>
      </c>
      <c r="FK306" s="9">
        <v>1.5</v>
      </c>
      <c r="FL306" s="9">
        <v>0.8</v>
      </c>
      <c r="FM306" s="9">
        <v>0.6</v>
      </c>
      <c r="FN306" s="9">
        <v>0.8</v>
      </c>
      <c r="FO306" s="9">
        <v>0.7</v>
      </c>
      <c r="FP306" s="9">
        <v>0.5</v>
      </c>
      <c r="FQ306" s="9">
        <v>1</v>
      </c>
      <c r="FR306" s="9">
        <v>1</v>
      </c>
      <c r="FS306" s="9">
        <v>3.6</v>
      </c>
      <c r="FT306" s="9">
        <v>4.4000000000000004</v>
      </c>
      <c r="FU306" s="9">
        <v>1.7</v>
      </c>
      <c r="FV306" s="9">
        <v>6</v>
      </c>
      <c r="FW306" s="9">
        <v>3.3</v>
      </c>
      <c r="FX306" s="9">
        <v>4.5</v>
      </c>
      <c r="FY306" s="9">
        <v>3.4</v>
      </c>
      <c r="FZ306" s="9">
        <v>6.8</v>
      </c>
      <c r="GA306" s="9">
        <v>-2.4</v>
      </c>
      <c r="GB306" s="9">
        <v>1.3</v>
      </c>
      <c r="GC306" s="9">
        <v>1.1000000000000001</v>
      </c>
      <c r="GD306" s="9">
        <v>2.8</v>
      </c>
      <c r="GE306" s="9">
        <v>2.5</v>
      </c>
      <c r="GF306" s="9">
        <v>0.7</v>
      </c>
      <c r="GG306" s="9">
        <v>0.7</v>
      </c>
      <c r="GH306" s="9">
        <v>5.7</v>
      </c>
      <c r="GI306" s="9">
        <v>5.7</v>
      </c>
      <c r="GJ306" s="9">
        <v>0.8</v>
      </c>
      <c r="GK306" s="9">
        <v>1.3</v>
      </c>
      <c r="GL306" s="9">
        <v>0</v>
      </c>
      <c r="GM306" s="9">
        <v>-0.3</v>
      </c>
      <c r="GN306" s="9">
        <v>0</v>
      </c>
      <c r="GO306" s="9">
        <v>0</v>
      </c>
      <c r="GP306" s="9">
        <v>-1.2</v>
      </c>
      <c r="GQ306" s="9">
        <v>2.4</v>
      </c>
      <c r="GR306" s="9">
        <v>6.2</v>
      </c>
      <c r="GS306" s="9">
        <v>6.9</v>
      </c>
      <c r="GT306" s="9">
        <v>3</v>
      </c>
      <c r="GU306" s="9">
        <v>4</v>
      </c>
      <c r="GV306" s="9">
        <v>4</v>
      </c>
      <c r="GW306" s="9">
        <v>3.9</v>
      </c>
      <c r="GX306" s="9">
        <v>3.3</v>
      </c>
      <c r="GY306" s="9">
        <v>4.9000000000000004</v>
      </c>
      <c r="GZ306" s="9">
        <v>6.1</v>
      </c>
      <c r="HA306" s="9">
        <v>1.6</v>
      </c>
      <c r="HB306" s="9">
        <v>2.2999999999999998</v>
      </c>
      <c r="HC306" s="9">
        <v>2.7</v>
      </c>
      <c r="HD306" s="9">
        <v>2.1</v>
      </c>
      <c r="HE306" s="9">
        <v>2.4</v>
      </c>
      <c r="HF306" s="9">
        <v>-1.3</v>
      </c>
      <c r="HG306" s="9">
        <v>-7.3</v>
      </c>
      <c r="HH306" s="9">
        <v>1.4</v>
      </c>
      <c r="HI306" s="9">
        <v>2.2000000000000002</v>
      </c>
      <c r="HJ306" s="9">
        <v>0.4</v>
      </c>
      <c r="HK306" s="9">
        <v>-0.9</v>
      </c>
      <c r="HL306" s="9">
        <v>-1.1000000000000001</v>
      </c>
      <c r="HM306" s="9">
        <v>0.7</v>
      </c>
      <c r="HN306" s="9">
        <v>0.7</v>
      </c>
      <c r="HO306" s="9">
        <v>0.7</v>
      </c>
      <c r="HP306" s="9">
        <v>0.8</v>
      </c>
      <c r="HQ306" s="9">
        <v>2.2999999999999998</v>
      </c>
      <c r="HR306" s="9">
        <v>2.5</v>
      </c>
      <c r="HS306" s="9">
        <v>1.2</v>
      </c>
      <c r="HT306" s="9">
        <v>5.0999999999999996</v>
      </c>
      <c r="HU306" s="9">
        <v>4.2</v>
      </c>
      <c r="HV306" s="9">
        <v>1.7</v>
      </c>
      <c r="HW306" s="9">
        <v>0.5</v>
      </c>
      <c r="HX306" s="9">
        <v>-4.4000000000000004</v>
      </c>
      <c r="HY306" s="9">
        <v>-4.4000000000000004</v>
      </c>
      <c r="HZ306" s="9">
        <v>0.1</v>
      </c>
      <c r="IA306" s="9">
        <v>0.1</v>
      </c>
      <c r="IB306" s="9">
        <v>0.1</v>
      </c>
      <c r="IC306" s="9">
        <v>0.1</v>
      </c>
      <c r="ID306" s="9">
        <v>1.4</v>
      </c>
      <c r="IE306" s="9">
        <v>1.2</v>
      </c>
      <c r="IF306" s="9">
        <v>0.6</v>
      </c>
      <c r="IG306" s="9">
        <v>2.2000000000000002</v>
      </c>
      <c r="IH306" s="9">
        <v>0.4</v>
      </c>
      <c r="II306" s="9">
        <v>-1.4</v>
      </c>
      <c r="IJ306" s="9">
        <v>1.3</v>
      </c>
      <c r="IK306" s="9">
        <v>2.2999999999999998</v>
      </c>
      <c r="IL306" s="9">
        <v>1.7</v>
      </c>
      <c r="IM306" s="9">
        <v>19.899999999999999</v>
      </c>
      <c r="IN306" s="9">
        <v>1.3</v>
      </c>
      <c r="IO306" s="9">
        <v>0.9</v>
      </c>
      <c r="IP306" s="9">
        <v>0.4</v>
      </c>
      <c r="IQ306" s="9">
        <v>4</v>
      </c>
    </row>
    <row r="307" spans="1:251" x14ac:dyDescent="0.2">
      <c r="A307" s="10">
        <v>44805</v>
      </c>
      <c r="B307" s="8">
        <v>89.2</v>
      </c>
      <c r="C307" s="8">
        <v>89.7</v>
      </c>
      <c r="D307" s="8">
        <v>87.07</v>
      </c>
      <c r="E307" s="8">
        <v>86.23</v>
      </c>
      <c r="F307" s="8">
        <v>85.43</v>
      </c>
      <c r="G307" s="8">
        <v>91.15</v>
      </c>
      <c r="H307" s="8">
        <v>93.31</v>
      </c>
      <c r="I307" s="8">
        <v>94.02</v>
      </c>
      <c r="J307" s="8">
        <v>97.62</v>
      </c>
      <c r="K307" s="8">
        <v>89.33</v>
      </c>
      <c r="L307" s="8">
        <v>91.56</v>
      </c>
      <c r="M307" s="8">
        <v>94.33</v>
      </c>
      <c r="N307" s="8">
        <v>97.44</v>
      </c>
      <c r="O307" s="8">
        <v>90.47</v>
      </c>
      <c r="P307" s="8">
        <v>88.96</v>
      </c>
      <c r="Q307" s="8">
        <v>91.63</v>
      </c>
      <c r="R307" s="8">
        <v>87.55</v>
      </c>
      <c r="S307" s="8">
        <v>86.77</v>
      </c>
      <c r="T307" s="8">
        <v>99.82</v>
      </c>
      <c r="U307" s="8">
        <v>94.94</v>
      </c>
      <c r="V307" s="8">
        <v>103.36</v>
      </c>
      <c r="W307" s="8">
        <v>85.47</v>
      </c>
      <c r="X307" s="8">
        <v>75.349999999999994</v>
      </c>
      <c r="Y307" s="8">
        <v>91.44</v>
      </c>
      <c r="Z307" s="8">
        <v>91.45</v>
      </c>
      <c r="AA307" s="8">
        <v>83.96</v>
      </c>
      <c r="AB307" s="8">
        <v>82.14</v>
      </c>
      <c r="AC307" s="8">
        <v>90.31</v>
      </c>
      <c r="AD307" s="8">
        <v>86.66</v>
      </c>
      <c r="AE307" s="8">
        <v>80.98</v>
      </c>
      <c r="AF307" s="8">
        <v>88.38</v>
      </c>
      <c r="AG307" s="8">
        <v>87.7</v>
      </c>
      <c r="AH307" s="8">
        <v>88.75</v>
      </c>
      <c r="AI307" s="8">
        <v>86.3</v>
      </c>
      <c r="AJ307" s="8">
        <v>83.63</v>
      </c>
      <c r="AK307" s="8">
        <v>89.79</v>
      </c>
      <c r="AL307" s="8">
        <v>87.52</v>
      </c>
      <c r="AM307" s="8">
        <v>95.93</v>
      </c>
      <c r="AN307" s="8">
        <v>86.02</v>
      </c>
      <c r="AO307" s="8">
        <v>71.98</v>
      </c>
      <c r="AP307" s="8">
        <v>71.98</v>
      </c>
      <c r="AQ307" s="8">
        <v>95.04</v>
      </c>
      <c r="AR307" s="8">
        <v>97.81</v>
      </c>
      <c r="AS307" s="8">
        <v>99.02</v>
      </c>
      <c r="AT307" s="8">
        <v>98.3</v>
      </c>
      <c r="AU307" s="8">
        <v>94.23</v>
      </c>
      <c r="AV307" s="8">
        <v>97.11</v>
      </c>
      <c r="AW307" s="8">
        <v>94.83</v>
      </c>
      <c r="AX307" s="8">
        <v>98.02</v>
      </c>
      <c r="AY307" s="8">
        <v>97.57</v>
      </c>
      <c r="AZ307" s="8">
        <v>87.54</v>
      </c>
      <c r="BA307" s="8">
        <v>87.59</v>
      </c>
      <c r="BB307" s="8">
        <v>86.39</v>
      </c>
      <c r="BC307" s="8">
        <v>86.42</v>
      </c>
      <c r="BD307" s="8">
        <v>83.62</v>
      </c>
      <c r="BE307" s="8">
        <v>83.62</v>
      </c>
      <c r="BF307" s="8">
        <v>89.39</v>
      </c>
      <c r="BG307" s="8">
        <v>89.39</v>
      </c>
      <c r="BH307" s="8">
        <v>86.9</v>
      </c>
      <c r="BI307" s="8">
        <v>90.21</v>
      </c>
      <c r="BJ307" s="8">
        <v>82.59</v>
      </c>
      <c r="BK307" s="8">
        <v>84.92</v>
      </c>
      <c r="BL307" s="8">
        <v>90.6</v>
      </c>
      <c r="BM307" s="8">
        <v>86.1</v>
      </c>
      <c r="BN307" s="8">
        <v>78.81</v>
      </c>
      <c r="BO307" s="8">
        <v>95.94</v>
      </c>
      <c r="BP307" s="8">
        <v>100.4</v>
      </c>
      <c r="BQ307" s="8">
        <v>102.25</v>
      </c>
      <c r="BR307" s="8">
        <v>92.17</v>
      </c>
      <c r="BS307" s="8">
        <v>103.06</v>
      </c>
      <c r="BT307" s="8">
        <v>103.06</v>
      </c>
      <c r="BU307" s="8">
        <v>104.47</v>
      </c>
      <c r="BV307" s="8">
        <v>105.36</v>
      </c>
      <c r="BW307" s="8">
        <v>107.6</v>
      </c>
      <c r="BX307" s="8">
        <v>107.42</v>
      </c>
      <c r="BY307" s="8">
        <v>98.27</v>
      </c>
      <c r="BZ307" s="8">
        <v>95.76</v>
      </c>
      <c r="CA307" s="8">
        <v>92.4</v>
      </c>
      <c r="CB307" s="8">
        <v>94.07</v>
      </c>
      <c r="CC307" s="8">
        <v>97.58</v>
      </c>
      <c r="CD307" s="8">
        <v>88.2</v>
      </c>
      <c r="CE307" s="8">
        <v>89.94</v>
      </c>
      <c r="CF307" s="8">
        <v>85.44</v>
      </c>
      <c r="CG307" s="8">
        <v>90.85</v>
      </c>
      <c r="CH307" s="8">
        <v>86.91</v>
      </c>
      <c r="CI307" s="8">
        <v>95.31</v>
      </c>
      <c r="CJ307" s="8">
        <v>95.4</v>
      </c>
      <c r="CK307" s="8">
        <v>94.78</v>
      </c>
      <c r="CL307" s="8">
        <v>85.19</v>
      </c>
      <c r="CM307" s="8">
        <v>84.65</v>
      </c>
      <c r="CN307" s="8">
        <v>89.57</v>
      </c>
      <c r="CO307" s="8">
        <v>94.67</v>
      </c>
      <c r="CP307" s="8">
        <v>94.68</v>
      </c>
      <c r="CQ307" s="8">
        <v>96.82</v>
      </c>
      <c r="CR307" s="8">
        <v>90.04</v>
      </c>
      <c r="CS307" s="8">
        <v>99.79</v>
      </c>
      <c r="CT307" s="8">
        <v>88.42</v>
      </c>
      <c r="CU307" s="8">
        <v>89.46</v>
      </c>
      <c r="CV307" s="8">
        <v>94.49</v>
      </c>
      <c r="CW307" s="8">
        <v>94.49</v>
      </c>
      <c r="CX307" s="8">
        <v>96.93</v>
      </c>
      <c r="CY307" s="8">
        <v>96.93</v>
      </c>
      <c r="CZ307" s="8">
        <v>81.31</v>
      </c>
      <c r="DA307" s="8">
        <v>97.76</v>
      </c>
      <c r="DB307" s="8">
        <v>89.81</v>
      </c>
      <c r="DC307" s="8">
        <v>91.96</v>
      </c>
      <c r="DD307" s="8">
        <v>102.61</v>
      </c>
      <c r="DE307" s="8">
        <v>80.02</v>
      </c>
      <c r="DF307" s="8">
        <v>90.05</v>
      </c>
      <c r="DG307" s="8">
        <v>102.6</v>
      </c>
      <c r="DH307" s="8">
        <v>85.41</v>
      </c>
      <c r="DI307" s="8">
        <v>88.33</v>
      </c>
      <c r="DJ307" s="8">
        <v>86.36</v>
      </c>
      <c r="DK307" s="8">
        <v>90.82</v>
      </c>
      <c r="DL307" s="8">
        <v>90.23</v>
      </c>
      <c r="DM307" s="8">
        <v>98.43</v>
      </c>
      <c r="DN307" s="8">
        <v>96.19</v>
      </c>
      <c r="DO307" s="8">
        <v>92.75</v>
      </c>
      <c r="DP307" s="8">
        <v>83.51</v>
      </c>
      <c r="DQ307" s="8">
        <v>84.62</v>
      </c>
      <c r="DR307" s="8">
        <v>90.31</v>
      </c>
      <c r="DS307" s="8">
        <v>85.12</v>
      </c>
      <c r="DT307" s="8">
        <v>85.12</v>
      </c>
      <c r="DU307" s="8">
        <v>92.36</v>
      </c>
      <c r="DV307" s="8">
        <v>84.53</v>
      </c>
      <c r="DW307" s="8">
        <v>81.94</v>
      </c>
      <c r="DX307" s="8">
        <v>84.37</v>
      </c>
      <c r="DY307" s="8">
        <v>74.5</v>
      </c>
      <c r="DZ307" s="8">
        <v>74.5</v>
      </c>
      <c r="EA307" s="8">
        <v>87.41</v>
      </c>
      <c r="EB307" s="8">
        <v>88.82</v>
      </c>
      <c r="EC307" s="8">
        <v>87.28</v>
      </c>
      <c r="ED307" s="9">
        <v>1.8</v>
      </c>
      <c r="EE307" s="9">
        <v>3.3</v>
      </c>
      <c r="EF307" s="9">
        <v>3.3</v>
      </c>
      <c r="EG307" s="9">
        <v>2.9</v>
      </c>
      <c r="EH307" s="9">
        <v>3.4</v>
      </c>
      <c r="EI307" s="9">
        <v>4.5</v>
      </c>
      <c r="EJ307" s="9">
        <v>3.5</v>
      </c>
      <c r="EK307" s="9">
        <v>1.5</v>
      </c>
      <c r="EL307" s="9">
        <v>0.2</v>
      </c>
      <c r="EM307" s="9">
        <v>0.2</v>
      </c>
      <c r="EN307" s="9">
        <v>-1.3</v>
      </c>
      <c r="EO307" s="9">
        <v>3.2</v>
      </c>
      <c r="EP307" s="9">
        <v>2</v>
      </c>
      <c r="EQ307" s="9">
        <v>3.9</v>
      </c>
      <c r="ER307" s="9">
        <v>6.8</v>
      </c>
      <c r="ES307" s="9">
        <v>10.7</v>
      </c>
      <c r="ET307" s="9">
        <v>4.5999999999999996</v>
      </c>
      <c r="EU307" s="9">
        <v>3.8</v>
      </c>
      <c r="EV307" s="9">
        <v>4.5</v>
      </c>
      <c r="EW307" s="9">
        <v>6.7</v>
      </c>
      <c r="EX307" s="9">
        <v>3</v>
      </c>
      <c r="EY307" s="9">
        <v>3.9</v>
      </c>
      <c r="EZ307" s="9">
        <v>5.3</v>
      </c>
      <c r="FA307" s="9">
        <v>4.3</v>
      </c>
      <c r="FB307" s="9">
        <v>2.7</v>
      </c>
      <c r="FC307" s="9">
        <v>7.5</v>
      </c>
      <c r="FD307" s="9">
        <v>3.4</v>
      </c>
      <c r="FE307" s="9">
        <v>3.5</v>
      </c>
      <c r="FF307" s="9">
        <v>2.1</v>
      </c>
      <c r="FG307" s="9">
        <v>1.8</v>
      </c>
      <c r="FH307" s="9">
        <v>2.2000000000000002</v>
      </c>
      <c r="FI307" s="9">
        <v>2.9</v>
      </c>
      <c r="FJ307" s="9">
        <v>2.5</v>
      </c>
      <c r="FK307" s="9">
        <v>3.3</v>
      </c>
      <c r="FL307" s="9">
        <v>1.2</v>
      </c>
      <c r="FM307" s="9">
        <v>1.4</v>
      </c>
      <c r="FN307" s="9">
        <v>3.4</v>
      </c>
      <c r="FO307" s="9">
        <v>0.4</v>
      </c>
      <c r="FP307" s="9">
        <v>1.4</v>
      </c>
      <c r="FQ307" s="9">
        <v>1</v>
      </c>
      <c r="FR307" s="9">
        <v>1</v>
      </c>
      <c r="FS307" s="9">
        <v>-0.2</v>
      </c>
      <c r="FT307" s="9">
        <v>0.2</v>
      </c>
      <c r="FU307" s="9">
        <v>0.1</v>
      </c>
      <c r="FV307" s="9">
        <v>-0.1</v>
      </c>
      <c r="FW307" s="9">
        <v>1.1000000000000001</v>
      </c>
      <c r="FX307" s="9">
        <v>-2.6</v>
      </c>
      <c r="FY307" s="9">
        <v>-2.7</v>
      </c>
      <c r="FZ307" s="9">
        <v>-3.1</v>
      </c>
      <c r="GA307" s="9">
        <v>-0.3</v>
      </c>
      <c r="GB307" s="9">
        <v>0.4</v>
      </c>
      <c r="GC307" s="9">
        <v>0.2</v>
      </c>
      <c r="GD307" s="9">
        <v>1.7</v>
      </c>
      <c r="GE307" s="9">
        <v>3.2</v>
      </c>
      <c r="GF307" s="9">
        <v>1.4</v>
      </c>
      <c r="GG307" s="9">
        <v>1.4</v>
      </c>
      <c r="GH307" s="9">
        <v>3.7</v>
      </c>
      <c r="GI307" s="9">
        <v>3.7</v>
      </c>
      <c r="GJ307" s="9">
        <v>2.7</v>
      </c>
      <c r="GK307" s="9">
        <v>2.1</v>
      </c>
      <c r="GL307" s="9">
        <v>3.7</v>
      </c>
      <c r="GM307" s="9">
        <v>4.8</v>
      </c>
      <c r="GN307" s="9">
        <v>2.6</v>
      </c>
      <c r="GO307" s="9">
        <v>3.2</v>
      </c>
      <c r="GP307" s="9">
        <v>10.8</v>
      </c>
      <c r="GQ307" s="9">
        <v>2.9</v>
      </c>
      <c r="GR307" s="9">
        <v>6.2</v>
      </c>
      <c r="GS307" s="9">
        <v>6.6</v>
      </c>
      <c r="GT307" s="9">
        <v>4.4000000000000004</v>
      </c>
      <c r="GU307" s="9">
        <v>1.5</v>
      </c>
      <c r="GV307" s="9">
        <v>1.5</v>
      </c>
      <c r="GW307" s="9">
        <v>2</v>
      </c>
      <c r="GX307" s="9">
        <v>1.6</v>
      </c>
      <c r="GY307" s="9">
        <v>0.9</v>
      </c>
      <c r="GZ307" s="9">
        <v>3.8</v>
      </c>
      <c r="HA307" s="9">
        <v>1.7</v>
      </c>
      <c r="HB307" s="9">
        <v>2.2999999999999998</v>
      </c>
      <c r="HC307" s="9">
        <v>1.7</v>
      </c>
      <c r="HD307" s="9">
        <v>1.9</v>
      </c>
      <c r="HE307" s="9">
        <v>2.6</v>
      </c>
      <c r="HF307" s="9">
        <v>1.9</v>
      </c>
      <c r="HG307" s="9">
        <v>1.1000000000000001</v>
      </c>
      <c r="HH307" s="9">
        <v>1.3</v>
      </c>
      <c r="HI307" s="9">
        <v>3.4</v>
      </c>
      <c r="HJ307" s="9">
        <v>0.2</v>
      </c>
      <c r="HK307" s="9">
        <v>-1.5</v>
      </c>
      <c r="HL307" s="9">
        <v>-1.8</v>
      </c>
      <c r="HM307" s="9">
        <v>0.7</v>
      </c>
      <c r="HN307" s="9">
        <v>0.6</v>
      </c>
      <c r="HO307" s="9">
        <v>0.6</v>
      </c>
      <c r="HP307" s="9">
        <v>1.1000000000000001</v>
      </c>
      <c r="HQ307" s="9">
        <v>-0.4</v>
      </c>
      <c r="HR307" s="9">
        <v>-0.7</v>
      </c>
      <c r="HS307" s="9">
        <v>0.5</v>
      </c>
      <c r="HT307" s="9">
        <v>3</v>
      </c>
      <c r="HU307" s="9">
        <v>-4.3</v>
      </c>
      <c r="HV307" s="9">
        <v>2</v>
      </c>
      <c r="HW307" s="9">
        <v>1.8</v>
      </c>
      <c r="HX307" s="9">
        <v>6.6</v>
      </c>
      <c r="HY307" s="9">
        <v>6.6</v>
      </c>
      <c r="HZ307" s="9">
        <v>1.4</v>
      </c>
      <c r="IA307" s="9">
        <v>1.4</v>
      </c>
      <c r="IB307" s="9">
        <v>2.8</v>
      </c>
      <c r="IC307" s="9">
        <v>1.3</v>
      </c>
      <c r="ID307" s="9">
        <v>1.3</v>
      </c>
      <c r="IE307" s="9">
        <v>0.6</v>
      </c>
      <c r="IF307" s="9">
        <v>0.2</v>
      </c>
      <c r="IG307" s="9">
        <v>1.2</v>
      </c>
      <c r="IH307" s="9">
        <v>2.5</v>
      </c>
      <c r="II307" s="9">
        <v>0.7</v>
      </c>
      <c r="IJ307" s="9">
        <v>3.3</v>
      </c>
      <c r="IK307" s="9">
        <v>4.0999999999999996</v>
      </c>
      <c r="IL307" s="9">
        <v>3.6</v>
      </c>
      <c r="IM307" s="9">
        <v>16.8</v>
      </c>
      <c r="IN307" s="9">
        <v>0</v>
      </c>
      <c r="IO307" s="9">
        <v>2.1</v>
      </c>
      <c r="IP307" s="9">
        <v>-4.5</v>
      </c>
      <c r="IQ307" s="9">
        <v>2.1</v>
      </c>
    </row>
    <row r="308" spans="1:251" x14ac:dyDescent="0.2">
      <c r="A308" s="10">
        <v>44896</v>
      </c>
      <c r="B308" s="8">
        <v>90.85</v>
      </c>
      <c r="C308" s="8">
        <v>90.47</v>
      </c>
      <c r="D308" s="8">
        <v>90.01</v>
      </c>
      <c r="E308" s="8">
        <v>89.13</v>
      </c>
      <c r="F308" s="8">
        <v>88.69</v>
      </c>
      <c r="G308" s="8">
        <v>93.84</v>
      </c>
      <c r="H308" s="8">
        <v>95.39</v>
      </c>
      <c r="I308" s="8">
        <v>94.92</v>
      </c>
      <c r="J308" s="8">
        <v>97.35</v>
      </c>
      <c r="K308" s="8">
        <v>91.38</v>
      </c>
      <c r="L308" s="8">
        <v>89.27</v>
      </c>
      <c r="M308" s="8">
        <v>95.42</v>
      </c>
      <c r="N308" s="8">
        <v>98.86</v>
      </c>
      <c r="O308" s="8">
        <v>93.6</v>
      </c>
      <c r="P308" s="8">
        <v>92.78</v>
      </c>
      <c r="Q308" s="8">
        <v>94.26</v>
      </c>
      <c r="R308" s="8">
        <v>93.1</v>
      </c>
      <c r="S308" s="8">
        <v>90.43</v>
      </c>
      <c r="T308" s="8">
        <v>92.59</v>
      </c>
      <c r="U308" s="8">
        <v>92.15</v>
      </c>
      <c r="V308" s="8">
        <v>92.84</v>
      </c>
      <c r="W308" s="8">
        <v>87.73</v>
      </c>
      <c r="X308" s="8">
        <v>75.959999999999994</v>
      </c>
      <c r="Y308" s="8">
        <v>92.33</v>
      </c>
      <c r="Z308" s="8">
        <v>92.5</v>
      </c>
      <c r="AA308" s="8">
        <v>85.79</v>
      </c>
      <c r="AB308" s="8">
        <v>84.29</v>
      </c>
      <c r="AC308" s="8">
        <v>94.6</v>
      </c>
      <c r="AD308" s="8">
        <v>87.27</v>
      </c>
      <c r="AE308" s="8">
        <v>83.12</v>
      </c>
      <c r="AF308" s="8">
        <v>88.51</v>
      </c>
      <c r="AG308" s="8">
        <v>89.54</v>
      </c>
      <c r="AH308" s="8">
        <v>90.68</v>
      </c>
      <c r="AI308" s="8">
        <v>88.03</v>
      </c>
      <c r="AJ308" s="8">
        <v>84.63</v>
      </c>
      <c r="AK308" s="8">
        <v>90.7</v>
      </c>
      <c r="AL308" s="8">
        <v>89.32</v>
      </c>
      <c r="AM308" s="8">
        <v>95.84</v>
      </c>
      <c r="AN308" s="8">
        <v>87.31</v>
      </c>
      <c r="AO308" s="8">
        <v>73.069999999999993</v>
      </c>
      <c r="AP308" s="8">
        <v>73.069999999999993</v>
      </c>
      <c r="AQ308" s="8">
        <v>97.45</v>
      </c>
      <c r="AR308" s="8">
        <v>99.82</v>
      </c>
      <c r="AS308" s="8">
        <v>103.5</v>
      </c>
      <c r="AT308" s="8">
        <v>99.74</v>
      </c>
      <c r="AU308" s="8">
        <v>94.28</v>
      </c>
      <c r="AV308" s="8">
        <v>102.41</v>
      </c>
      <c r="AW308" s="8">
        <v>100.7</v>
      </c>
      <c r="AX308" s="8">
        <v>103.81</v>
      </c>
      <c r="AY308" s="8">
        <v>100.13</v>
      </c>
      <c r="AZ308" s="8">
        <v>89.32</v>
      </c>
      <c r="BA308" s="8">
        <v>89.42</v>
      </c>
      <c r="BB308" s="8">
        <v>87.62</v>
      </c>
      <c r="BC308" s="8">
        <v>88.09</v>
      </c>
      <c r="BD308" s="8">
        <v>84.62</v>
      </c>
      <c r="BE308" s="8">
        <v>84.62</v>
      </c>
      <c r="BF308" s="8">
        <v>90.86</v>
      </c>
      <c r="BG308" s="8">
        <v>90.86</v>
      </c>
      <c r="BH308" s="8">
        <v>87.72</v>
      </c>
      <c r="BI308" s="8">
        <v>91.66</v>
      </c>
      <c r="BJ308" s="8">
        <v>82.59</v>
      </c>
      <c r="BK308" s="8">
        <v>88.71</v>
      </c>
      <c r="BL308" s="8">
        <v>88.73</v>
      </c>
      <c r="BM308" s="8">
        <v>93.55</v>
      </c>
      <c r="BN308" s="8">
        <v>79.45</v>
      </c>
      <c r="BO308" s="8">
        <v>97.61</v>
      </c>
      <c r="BP308" s="8">
        <v>101.12</v>
      </c>
      <c r="BQ308" s="8">
        <v>102.53</v>
      </c>
      <c r="BR308" s="8">
        <v>94.82</v>
      </c>
      <c r="BS308" s="8">
        <v>100.87</v>
      </c>
      <c r="BT308" s="8">
        <v>100.87</v>
      </c>
      <c r="BU308" s="8">
        <v>106.04</v>
      </c>
      <c r="BV308" s="8">
        <v>106.78</v>
      </c>
      <c r="BW308" s="8">
        <v>108.31</v>
      </c>
      <c r="BX308" s="8">
        <v>110.04</v>
      </c>
      <c r="BY308" s="8">
        <v>99.64</v>
      </c>
      <c r="BZ308" s="8">
        <v>97.92</v>
      </c>
      <c r="CA308" s="8">
        <v>97.36</v>
      </c>
      <c r="CB308" s="8">
        <v>95.45</v>
      </c>
      <c r="CC308" s="8">
        <v>99.76</v>
      </c>
      <c r="CD308" s="8">
        <v>90.74</v>
      </c>
      <c r="CE308" s="8">
        <v>94.04</v>
      </c>
      <c r="CF308" s="8">
        <v>87.16</v>
      </c>
      <c r="CG308" s="8">
        <v>92.9</v>
      </c>
      <c r="CH308" s="8">
        <v>87.64</v>
      </c>
      <c r="CI308" s="8">
        <v>95.27</v>
      </c>
      <c r="CJ308" s="8">
        <v>95.35</v>
      </c>
      <c r="CK308" s="8">
        <v>94.8</v>
      </c>
      <c r="CL308" s="8">
        <v>86.09</v>
      </c>
      <c r="CM308" s="8">
        <v>85.55</v>
      </c>
      <c r="CN308" s="8">
        <v>90.46</v>
      </c>
      <c r="CO308" s="8">
        <v>96.28</v>
      </c>
      <c r="CP308" s="8">
        <v>96.37</v>
      </c>
      <c r="CQ308" s="8">
        <v>99.01</v>
      </c>
      <c r="CR308" s="8">
        <v>92.13</v>
      </c>
      <c r="CS308" s="8">
        <v>102.04</v>
      </c>
      <c r="CT308" s="8">
        <v>89.24</v>
      </c>
      <c r="CU308" s="8">
        <v>89.72</v>
      </c>
      <c r="CV308" s="8">
        <v>93.93</v>
      </c>
      <c r="CW308" s="8">
        <v>93.93</v>
      </c>
      <c r="CX308" s="8">
        <v>96.51</v>
      </c>
      <c r="CY308" s="8">
        <v>96.51</v>
      </c>
      <c r="CZ308" s="8">
        <v>81.650000000000006</v>
      </c>
      <c r="DA308" s="8">
        <v>97.3</v>
      </c>
      <c r="DB308" s="8">
        <v>94.69</v>
      </c>
      <c r="DC308" s="8">
        <v>92.03</v>
      </c>
      <c r="DD308" s="8">
        <v>102.37</v>
      </c>
      <c r="DE308" s="8">
        <v>80.55</v>
      </c>
      <c r="DF308" s="8">
        <v>91.34</v>
      </c>
      <c r="DG308" s="8">
        <v>98.73</v>
      </c>
      <c r="DH308" s="8">
        <v>88.59</v>
      </c>
      <c r="DI308" s="8">
        <v>97.91</v>
      </c>
      <c r="DJ308" s="8">
        <v>97.86</v>
      </c>
      <c r="DK308" s="8">
        <v>97.7</v>
      </c>
      <c r="DL308" s="8">
        <v>92.77</v>
      </c>
      <c r="DM308" s="8">
        <v>99.83</v>
      </c>
      <c r="DN308" s="8">
        <v>103.77</v>
      </c>
      <c r="DO308" s="8">
        <v>97.36</v>
      </c>
      <c r="DP308" s="8">
        <v>84.63</v>
      </c>
      <c r="DQ308" s="8">
        <v>85.84</v>
      </c>
      <c r="DR308" s="8">
        <v>91.32</v>
      </c>
      <c r="DS308" s="8">
        <v>85.19</v>
      </c>
      <c r="DT308" s="8">
        <v>85.19</v>
      </c>
      <c r="DU308" s="8">
        <v>92.74</v>
      </c>
      <c r="DV308" s="8">
        <v>84.53</v>
      </c>
      <c r="DW308" s="8">
        <v>81.94</v>
      </c>
      <c r="DX308" s="8">
        <v>86.09</v>
      </c>
      <c r="DY308" s="8">
        <v>76.3</v>
      </c>
      <c r="DZ308" s="8">
        <v>76.3</v>
      </c>
      <c r="EA308" s="8">
        <v>89.11</v>
      </c>
      <c r="EB308" s="8">
        <v>89.47</v>
      </c>
      <c r="EC308" s="8">
        <v>89.08</v>
      </c>
      <c r="ED308" s="9">
        <v>1.8</v>
      </c>
      <c r="EE308" s="9">
        <v>0.9</v>
      </c>
      <c r="EF308" s="9">
        <v>3.4</v>
      </c>
      <c r="EG308" s="9">
        <v>3.4</v>
      </c>
      <c r="EH308" s="9">
        <v>3.8</v>
      </c>
      <c r="EI308" s="9">
        <v>3</v>
      </c>
      <c r="EJ308" s="9">
        <v>2.2000000000000002</v>
      </c>
      <c r="EK308" s="9">
        <v>1</v>
      </c>
      <c r="EL308" s="9">
        <v>-0.3</v>
      </c>
      <c r="EM308" s="9">
        <v>2.2999999999999998</v>
      </c>
      <c r="EN308" s="9">
        <v>-2.5</v>
      </c>
      <c r="EO308" s="9">
        <v>1.2</v>
      </c>
      <c r="EP308" s="9">
        <v>1.5</v>
      </c>
      <c r="EQ308" s="9">
        <v>3.5</v>
      </c>
      <c r="ER308" s="9">
        <v>4.3</v>
      </c>
      <c r="ES308" s="9">
        <v>2.9</v>
      </c>
      <c r="ET308" s="9">
        <v>6.3</v>
      </c>
      <c r="EU308" s="9">
        <v>4.2</v>
      </c>
      <c r="EV308" s="9">
        <v>-7.2</v>
      </c>
      <c r="EW308" s="9">
        <v>-2.9</v>
      </c>
      <c r="EX308" s="9">
        <v>-10.199999999999999</v>
      </c>
      <c r="EY308" s="9">
        <v>2.6</v>
      </c>
      <c r="EZ308" s="9">
        <v>0.8</v>
      </c>
      <c r="FA308" s="9">
        <v>1</v>
      </c>
      <c r="FB308" s="9">
        <v>1.1000000000000001</v>
      </c>
      <c r="FC308" s="9">
        <v>2.2000000000000002</v>
      </c>
      <c r="FD308" s="9">
        <v>2.6</v>
      </c>
      <c r="FE308" s="9">
        <v>4.8</v>
      </c>
      <c r="FF308" s="9">
        <v>0.7</v>
      </c>
      <c r="FG308" s="9">
        <v>2.6</v>
      </c>
      <c r="FH308" s="9">
        <v>0.1</v>
      </c>
      <c r="FI308" s="9">
        <v>2.1</v>
      </c>
      <c r="FJ308" s="9">
        <v>2.2000000000000002</v>
      </c>
      <c r="FK308" s="9">
        <v>2</v>
      </c>
      <c r="FL308" s="9">
        <v>1.2</v>
      </c>
      <c r="FM308" s="9">
        <v>1</v>
      </c>
      <c r="FN308" s="9">
        <v>2.1</v>
      </c>
      <c r="FO308" s="9">
        <v>-0.1</v>
      </c>
      <c r="FP308" s="9">
        <v>1.5</v>
      </c>
      <c r="FQ308" s="9">
        <v>1.5</v>
      </c>
      <c r="FR308" s="9">
        <v>1.5</v>
      </c>
      <c r="FS308" s="9">
        <v>2.5</v>
      </c>
      <c r="FT308" s="9">
        <v>2.1</v>
      </c>
      <c r="FU308" s="9">
        <v>4.5</v>
      </c>
      <c r="FV308" s="9">
        <v>1.5</v>
      </c>
      <c r="FW308" s="9">
        <v>0.1</v>
      </c>
      <c r="FX308" s="9">
        <v>5.5</v>
      </c>
      <c r="FY308" s="9">
        <v>6.2</v>
      </c>
      <c r="FZ308" s="9">
        <v>5.9</v>
      </c>
      <c r="GA308" s="9">
        <v>2.6</v>
      </c>
      <c r="GB308" s="9">
        <v>2</v>
      </c>
      <c r="GC308" s="9">
        <v>2.1</v>
      </c>
      <c r="GD308" s="9">
        <v>1.4</v>
      </c>
      <c r="GE308" s="9">
        <v>1.9</v>
      </c>
      <c r="GF308" s="9">
        <v>1.2</v>
      </c>
      <c r="GG308" s="9">
        <v>1.2</v>
      </c>
      <c r="GH308" s="9">
        <v>1.6</v>
      </c>
      <c r="GI308" s="9">
        <v>1.6</v>
      </c>
      <c r="GJ308" s="9">
        <v>0.9</v>
      </c>
      <c r="GK308" s="9">
        <v>1.6</v>
      </c>
      <c r="GL308" s="9">
        <v>0</v>
      </c>
      <c r="GM308" s="9">
        <v>4.5</v>
      </c>
      <c r="GN308" s="9">
        <v>-2.1</v>
      </c>
      <c r="GO308" s="9">
        <v>8.6999999999999993</v>
      </c>
      <c r="GP308" s="9">
        <v>0.8</v>
      </c>
      <c r="GQ308" s="9">
        <v>1.7</v>
      </c>
      <c r="GR308" s="9">
        <v>0.7</v>
      </c>
      <c r="GS308" s="9">
        <v>0.3</v>
      </c>
      <c r="GT308" s="9">
        <v>2.9</v>
      </c>
      <c r="GU308" s="9">
        <v>-2.1</v>
      </c>
      <c r="GV308" s="9">
        <v>-2.1</v>
      </c>
      <c r="GW308" s="9">
        <v>1.5</v>
      </c>
      <c r="GX308" s="9">
        <v>1.3</v>
      </c>
      <c r="GY308" s="9">
        <v>0.7</v>
      </c>
      <c r="GZ308" s="9">
        <v>2.4</v>
      </c>
      <c r="HA308" s="9">
        <v>1.4</v>
      </c>
      <c r="HB308" s="9">
        <v>2.2999999999999998</v>
      </c>
      <c r="HC308" s="9">
        <v>5.4</v>
      </c>
      <c r="HD308" s="9">
        <v>1.5</v>
      </c>
      <c r="HE308" s="9">
        <v>2.2000000000000002</v>
      </c>
      <c r="HF308" s="9">
        <v>2.9</v>
      </c>
      <c r="HG308" s="9">
        <v>4.5999999999999996</v>
      </c>
      <c r="HH308" s="9">
        <v>2</v>
      </c>
      <c r="HI308" s="9">
        <v>2.2999999999999998</v>
      </c>
      <c r="HJ308" s="9">
        <v>0.8</v>
      </c>
      <c r="HK308" s="9">
        <v>0</v>
      </c>
      <c r="HL308" s="9">
        <v>-0.1</v>
      </c>
      <c r="HM308" s="9">
        <v>0</v>
      </c>
      <c r="HN308" s="9">
        <v>1.1000000000000001</v>
      </c>
      <c r="HO308" s="9">
        <v>1.1000000000000001</v>
      </c>
      <c r="HP308" s="9">
        <v>1</v>
      </c>
      <c r="HQ308" s="9">
        <v>1.7</v>
      </c>
      <c r="HR308" s="9">
        <v>1.8</v>
      </c>
      <c r="HS308" s="9">
        <v>2.2999999999999998</v>
      </c>
      <c r="HT308" s="9">
        <v>2.2999999999999998</v>
      </c>
      <c r="HU308" s="9">
        <v>2.2999999999999998</v>
      </c>
      <c r="HV308" s="9">
        <v>0.9</v>
      </c>
      <c r="HW308" s="9">
        <v>0.3</v>
      </c>
      <c r="HX308" s="9">
        <v>-0.6</v>
      </c>
      <c r="HY308" s="9">
        <v>-0.6</v>
      </c>
      <c r="HZ308" s="9">
        <v>-0.4</v>
      </c>
      <c r="IA308" s="9">
        <v>-0.4</v>
      </c>
      <c r="IB308" s="9">
        <v>0.4</v>
      </c>
      <c r="IC308" s="9">
        <v>-0.5</v>
      </c>
      <c r="ID308" s="9">
        <v>5.4</v>
      </c>
      <c r="IE308" s="9">
        <v>0.1</v>
      </c>
      <c r="IF308" s="9">
        <v>-0.2</v>
      </c>
      <c r="IG308" s="9">
        <v>0.7</v>
      </c>
      <c r="IH308" s="9">
        <v>1.4</v>
      </c>
      <c r="II308" s="9">
        <v>-3.8</v>
      </c>
      <c r="IJ308" s="9">
        <v>3.7</v>
      </c>
      <c r="IK308" s="9">
        <v>10.8</v>
      </c>
      <c r="IL308" s="9">
        <v>13.3</v>
      </c>
      <c r="IM308" s="9">
        <v>7.6</v>
      </c>
      <c r="IN308" s="9">
        <v>2.8</v>
      </c>
      <c r="IO308" s="9">
        <v>1.4</v>
      </c>
      <c r="IP308" s="9">
        <v>7.9</v>
      </c>
      <c r="IQ308" s="9">
        <v>5</v>
      </c>
    </row>
    <row r="309" spans="1:251" x14ac:dyDescent="0.2">
      <c r="A309" s="10">
        <v>44986</v>
      </c>
      <c r="B309" s="8">
        <v>92.08</v>
      </c>
      <c r="C309" s="8">
        <v>91.9</v>
      </c>
      <c r="D309" s="8">
        <v>91.37</v>
      </c>
      <c r="E309" s="8">
        <v>90.85</v>
      </c>
      <c r="F309" s="8">
        <v>89.9</v>
      </c>
      <c r="G309" s="8">
        <v>93.5</v>
      </c>
      <c r="H309" s="8">
        <v>97.23</v>
      </c>
      <c r="I309" s="8">
        <v>95.76</v>
      </c>
      <c r="J309" s="8">
        <v>97.12</v>
      </c>
      <c r="K309" s="8">
        <v>93.11</v>
      </c>
      <c r="L309" s="8">
        <v>90.35</v>
      </c>
      <c r="M309" s="8">
        <v>96.52</v>
      </c>
      <c r="N309" s="8">
        <v>100.32</v>
      </c>
      <c r="O309" s="8">
        <v>94.13</v>
      </c>
      <c r="P309" s="8">
        <v>94.5</v>
      </c>
      <c r="Q309" s="8">
        <v>95.38</v>
      </c>
      <c r="R309" s="8">
        <v>96.24</v>
      </c>
      <c r="S309" s="8">
        <v>91.49</v>
      </c>
      <c r="T309" s="8">
        <v>94.79</v>
      </c>
      <c r="U309" s="8">
        <v>94.89</v>
      </c>
      <c r="V309" s="8">
        <v>94.63</v>
      </c>
      <c r="W309" s="8">
        <v>90.51</v>
      </c>
      <c r="X309" s="8">
        <v>77.95</v>
      </c>
      <c r="Y309" s="8">
        <v>92.94</v>
      </c>
      <c r="Z309" s="8">
        <v>95.31</v>
      </c>
      <c r="AA309" s="8">
        <v>88.52</v>
      </c>
      <c r="AB309" s="8">
        <v>87.75</v>
      </c>
      <c r="AC309" s="8">
        <v>96.86</v>
      </c>
      <c r="AD309" s="8">
        <v>90.11</v>
      </c>
      <c r="AE309" s="8">
        <v>85.08</v>
      </c>
      <c r="AF309" s="8">
        <v>91.63</v>
      </c>
      <c r="AG309" s="8">
        <v>90.22</v>
      </c>
      <c r="AH309" s="8">
        <v>91.3</v>
      </c>
      <c r="AI309" s="8">
        <v>88.79</v>
      </c>
      <c r="AJ309" s="8">
        <v>85.64</v>
      </c>
      <c r="AK309" s="8">
        <v>92.11</v>
      </c>
      <c r="AL309" s="8">
        <v>92.16</v>
      </c>
      <c r="AM309" s="8">
        <v>96.18</v>
      </c>
      <c r="AN309" s="8">
        <v>88.92</v>
      </c>
      <c r="AO309" s="8">
        <v>73.459999999999994</v>
      </c>
      <c r="AP309" s="8">
        <v>73.459999999999994</v>
      </c>
      <c r="AQ309" s="8">
        <v>94.92</v>
      </c>
      <c r="AR309" s="8">
        <v>96.65</v>
      </c>
      <c r="AS309" s="8">
        <v>101.77</v>
      </c>
      <c r="AT309" s="8">
        <v>95.51</v>
      </c>
      <c r="AU309" s="8">
        <v>92.43</v>
      </c>
      <c r="AV309" s="8">
        <v>97.28</v>
      </c>
      <c r="AW309" s="8">
        <v>98.67</v>
      </c>
      <c r="AX309" s="8">
        <v>97.22</v>
      </c>
      <c r="AY309" s="8">
        <v>95.58</v>
      </c>
      <c r="AZ309" s="8">
        <v>89.33</v>
      </c>
      <c r="BA309" s="8">
        <v>89.33</v>
      </c>
      <c r="BB309" s="8">
        <v>88.78</v>
      </c>
      <c r="BC309" s="8">
        <v>89.8</v>
      </c>
      <c r="BD309" s="8">
        <v>85.97</v>
      </c>
      <c r="BE309" s="8">
        <v>85.97</v>
      </c>
      <c r="BF309" s="8">
        <v>91.92</v>
      </c>
      <c r="BG309" s="8">
        <v>91.92</v>
      </c>
      <c r="BH309" s="8">
        <v>88.25</v>
      </c>
      <c r="BI309" s="8">
        <v>92.57</v>
      </c>
      <c r="BJ309" s="8">
        <v>82.59</v>
      </c>
      <c r="BK309" s="8">
        <v>93.35</v>
      </c>
      <c r="BL309" s="8">
        <v>89.58</v>
      </c>
      <c r="BM309" s="8">
        <v>96.4</v>
      </c>
      <c r="BN309" s="8">
        <v>90.83</v>
      </c>
      <c r="BO309" s="8">
        <v>97.12</v>
      </c>
      <c r="BP309" s="8">
        <v>97.57</v>
      </c>
      <c r="BQ309" s="8">
        <v>97.74</v>
      </c>
      <c r="BR309" s="8">
        <v>96.73</v>
      </c>
      <c r="BS309" s="8">
        <v>96.65</v>
      </c>
      <c r="BT309" s="8">
        <v>96.65</v>
      </c>
      <c r="BU309" s="8">
        <v>103.02</v>
      </c>
      <c r="BV309" s="8">
        <v>102.67</v>
      </c>
      <c r="BW309" s="8">
        <v>104.42</v>
      </c>
      <c r="BX309" s="8">
        <v>106.04</v>
      </c>
      <c r="BY309" s="8">
        <v>99.32</v>
      </c>
      <c r="BZ309" s="8">
        <v>99.64</v>
      </c>
      <c r="CA309" s="8">
        <v>98.59</v>
      </c>
      <c r="CB309" s="8">
        <v>97.41</v>
      </c>
      <c r="CC309" s="8">
        <v>101.38</v>
      </c>
      <c r="CD309" s="8">
        <v>92.17</v>
      </c>
      <c r="CE309" s="8">
        <v>95.93</v>
      </c>
      <c r="CF309" s="8">
        <v>88.4</v>
      </c>
      <c r="CG309" s="8">
        <v>94.09</v>
      </c>
      <c r="CH309" s="8">
        <v>91</v>
      </c>
      <c r="CI309" s="8">
        <v>99.11</v>
      </c>
      <c r="CJ309" s="8">
        <v>99.71</v>
      </c>
      <c r="CK309" s="8">
        <v>95.24</v>
      </c>
      <c r="CL309" s="8">
        <v>89.35</v>
      </c>
      <c r="CM309" s="8">
        <v>89.12</v>
      </c>
      <c r="CN309" s="8">
        <v>91.25</v>
      </c>
      <c r="CO309" s="8">
        <v>96.94</v>
      </c>
      <c r="CP309" s="8">
        <v>96.98</v>
      </c>
      <c r="CQ309" s="8">
        <v>100.82</v>
      </c>
      <c r="CR309" s="8">
        <v>95.18</v>
      </c>
      <c r="CS309" s="8">
        <v>101.15</v>
      </c>
      <c r="CT309" s="8">
        <v>89.85</v>
      </c>
      <c r="CU309" s="8">
        <v>90.13</v>
      </c>
      <c r="CV309" s="8">
        <v>95.73</v>
      </c>
      <c r="CW309" s="8">
        <v>95.73</v>
      </c>
      <c r="CX309" s="8">
        <v>96.66</v>
      </c>
      <c r="CY309" s="8">
        <v>96.66</v>
      </c>
      <c r="CZ309" s="8">
        <v>83.03</v>
      </c>
      <c r="DA309" s="8">
        <v>97.39</v>
      </c>
      <c r="DB309" s="8">
        <v>94.96</v>
      </c>
      <c r="DC309" s="8">
        <v>93.06</v>
      </c>
      <c r="DD309" s="8">
        <v>103.31</v>
      </c>
      <c r="DE309" s="8">
        <v>81.760000000000005</v>
      </c>
      <c r="DF309" s="8">
        <v>92.33</v>
      </c>
      <c r="DG309" s="8">
        <v>102.46</v>
      </c>
      <c r="DH309" s="8">
        <v>88.58</v>
      </c>
      <c r="DI309" s="8">
        <v>97.22</v>
      </c>
      <c r="DJ309" s="8">
        <v>102.43</v>
      </c>
      <c r="DK309" s="8">
        <v>89.73</v>
      </c>
      <c r="DL309" s="8">
        <v>93.63</v>
      </c>
      <c r="DM309" s="8">
        <v>101.48</v>
      </c>
      <c r="DN309" s="8">
        <v>104.39</v>
      </c>
      <c r="DO309" s="8">
        <v>99.7</v>
      </c>
      <c r="DP309" s="8">
        <v>85.83</v>
      </c>
      <c r="DQ309" s="8">
        <v>85.81</v>
      </c>
      <c r="DR309" s="8">
        <v>91.73</v>
      </c>
      <c r="DS309" s="8">
        <v>89.76</v>
      </c>
      <c r="DT309" s="8">
        <v>89.76</v>
      </c>
      <c r="DU309" s="8">
        <v>92.02</v>
      </c>
      <c r="DV309" s="8">
        <v>88.64</v>
      </c>
      <c r="DW309" s="8">
        <v>89.89</v>
      </c>
      <c r="DX309" s="8">
        <v>87.72</v>
      </c>
      <c r="DY309" s="8">
        <v>79</v>
      </c>
      <c r="DZ309" s="8">
        <v>79</v>
      </c>
      <c r="EA309" s="8">
        <v>90.42</v>
      </c>
      <c r="EB309" s="8">
        <v>89.77</v>
      </c>
      <c r="EC309" s="8">
        <v>90.48</v>
      </c>
      <c r="ED309" s="9">
        <v>1.4</v>
      </c>
      <c r="EE309" s="9">
        <v>1.6</v>
      </c>
      <c r="EF309" s="9">
        <v>1.5</v>
      </c>
      <c r="EG309" s="9">
        <v>1.9</v>
      </c>
      <c r="EH309" s="9">
        <v>1.4</v>
      </c>
      <c r="EI309" s="9">
        <v>-0.4</v>
      </c>
      <c r="EJ309" s="9">
        <v>1.9</v>
      </c>
      <c r="EK309" s="9">
        <v>0.9</v>
      </c>
      <c r="EL309" s="9">
        <v>-0.2</v>
      </c>
      <c r="EM309" s="9">
        <v>1.9</v>
      </c>
      <c r="EN309" s="9">
        <v>1.2</v>
      </c>
      <c r="EO309" s="9">
        <v>1.2</v>
      </c>
      <c r="EP309" s="9">
        <v>1.5</v>
      </c>
      <c r="EQ309" s="9">
        <v>0.6</v>
      </c>
      <c r="ER309" s="9">
        <v>1.9</v>
      </c>
      <c r="ES309" s="9">
        <v>1.2</v>
      </c>
      <c r="ET309" s="9">
        <v>3.4</v>
      </c>
      <c r="EU309" s="9">
        <v>1.2</v>
      </c>
      <c r="EV309" s="9">
        <v>2.4</v>
      </c>
      <c r="EW309" s="9">
        <v>3</v>
      </c>
      <c r="EX309" s="9">
        <v>1.9</v>
      </c>
      <c r="EY309" s="9">
        <v>3.2</v>
      </c>
      <c r="EZ309" s="9">
        <v>2.6</v>
      </c>
      <c r="FA309" s="9">
        <v>0.7</v>
      </c>
      <c r="FB309" s="9">
        <v>3</v>
      </c>
      <c r="FC309" s="9">
        <v>3.2</v>
      </c>
      <c r="FD309" s="9">
        <v>4.0999999999999996</v>
      </c>
      <c r="FE309" s="9">
        <v>2.4</v>
      </c>
      <c r="FF309" s="9">
        <v>3.3</v>
      </c>
      <c r="FG309" s="9">
        <v>2.4</v>
      </c>
      <c r="FH309" s="9">
        <v>3.5</v>
      </c>
      <c r="FI309" s="9">
        <v>0.8</v>
      </c>
      <c r="FJ309" s="9">
        <v>0.7</v>
      </c>
      <c r="FK309" s="9">
        <v>0.9</v>
      </c>
      <c r="FL309" s="9">
        <v>1.2</v>
      </c>
      <c r="FM309" s="9">
        <v>1.6</v>
      </c>
      <c r="FN309" s="9">
        <v>3.2</v>
      </c>
      <c r="FO309" s="9">
        <v>0.4</v>
      </c>
      <c r="FP309" s="9">
        <v>1.8</v>
      </c>
      <c r="FQ309" s="9">
        <v>0.5</v>
      </c>
      <c r="FR309" s="9">
        <v>0.5</v>
      </c>
      <c r="FS309" s="9">
        <v>-2.6</v>
      </c>
      <c r="FT309" s="9">
        <v>-3.2</v>
      </c>
      <c r="FU309" s="9">
        <v>-1.7</v>
      </c>
      <c r="FV309" s="9">
        <v>-4.2</v>
      </c>
      <c r="FW309" s="9">
        <v>-2</v>
      </c>
      <c r="FX309" s="9">
        <v>-5</v>
      </c>
      <c r="FY309" s="9">
        <v>-2</v>
      </c>
      <c r="FZ309" s="9">
        <v>-6.3</v>
      </c>
      <c r="GA309" s="9">
        <v>-4.5</v>
      </c>
      <c r="GB309" s="9">
        <v>0</v>
      </c>
      <c r="GC309" s="9">
        <v>-0.1</v>
      </c>
      <c r="GD309" s="9">
        <v>1.3</v>
      </c>
      <c r="GE309" s="9">
        <v>1.9</v>
      </c>
      <c r="GF309" s="9">
        <v>1.6</v>
      </c>
      <c r="GG309" s="9">
        <v>1.6</v>
      </c>
      <c r="GH309" s="9">
        <v>1.2</v>
      </c>
      <c r="GI309" s="9">
        <v>1.2</v>
      </c>
      <c r="GJ309" s="9">
        <v>0.6</v>
      </c>
      <c r="GK309" s="9">
        <v>1</v>
      </c>
      <c r="GL309" s="9">
        <v>0</v>
      </c>
      <c r="GM309" s="9">
        <v>5.2</v>
      </c>
      <c r="GN309" s="9">
        <v>1</v>
      </c>
      <c r="GO309" s="9">
        <v>3</v>
      </c>
      <c r="GP309" s="9">
        <v>14.3</v>
      </c>
      <c r="GQ309" s="9">
        <v>-0.5</v>
      </c>
      <c r="GR309" s="9">
        <v>-3.5</v>
      </c>
      <c r="GS309" s="9">
        <v>-4.7</v>
      </c>
      <c r="GT309" s="9">
        <v>2</v>
      </c>
      <c r="GU309" s="9">
        <v>-4.2</v>
      </c>
      <c r="GV309" s="9">
        <v>-4.2</v>
      </c>
      <c r="GW309" s="9">
        <v>-2.8</v>
      </c>
      <c r="GX309" s="9">
        <v>-3.8</v>
      </c>
      <c r="GY309" s="9">
        <v>-3.6</v>
      </c>
      <c r="GZ309" s="9">
        <v>-3.6</v>
      </c>
      <c r="HA309" s="9">
        <v>-0.3</v>
      </c>
      <c r="HB309" s="9">
        <v>1.8</v>
      </c>
      <c r="HC309" s="9">
        <v>1.3</v>
      </c>
      <c r="HD309" s="9">
        <v>2.1</v>
      </c>
      <c r="HE309" s="9">
        <v>1.6</v>
      </c>
      <c r="HF309" s="9">
        <v>1.6</v>
      </c>
      <c r="HG309" s="9">
        <v>2</v>
      </c>
      <c r="HH309" s="9">
        <v>1.4</v>
      </c>
      <c r="HI309" s="9">
        <v>1.3</v>
      </c>
      <c r="HJ309" s="9">
        <v>3.8</v>
      </c>
      <c r="HK309" s="9">
        <v>4</v>
      </c>
      <c r="HL309" s="9">
        <v>4.5999999999999996</v>
      </c>
      <c r="HM309" s="9">
        <v>0.5</v>
      </c>
      <c r="HN309" s="9">
        <v>3.8</v>
      </c>
      <c r="HO309" s="9">
        <v>4.2</v>
      </c>
      <c r="HP309" s="9">
        <v>0.9</v>
      </c>
      <c r="HQ309" s="9">
        <v>0.7</v>
      </c>
      <c r="HR309" s="9">
        <v>0.6</v>
      </c>
      <c r="HS309" s="9">
        <v>1.8</v>
      </c>
      <c r="HT309" s="9">
        <v>3.3</v>
      </c>
      <c r="HU309" s="9">
        <v>-0.9</v>
      </c>
      <c r="HV309" s="9">
        <v>0.7</v>
      </c>
      <c r="HW309" s="9">
        <v>0.5</v>
      </c>
      <c r="HX309" s="9">
        <v>1.9</v>
      </c>
      <c r="HY309" s="9">
        <v>1.9</v>
      </c>
      <c r="HZ309" s="9">
        <v>0.2</v>
      </c>
      <c r="IA309" s="9">
        <v>0.2</v>
      </c>
      <c r="IB309" s="9">
        <v>1.7</v>
      </c>
      <c r="IC309" s="9">
        <v>0.1</v>
      </c>
      <c r="ID309" s="9">
        <v>0.3</v>
      </c>
      <c r="IE309" s="9">
        <v>1.1000000000000001</v>
      </c>
      <c r="IF309" s="9">
        <v>0.9</v>
      </c>
      <c r="IG309" s="9">
        <v>1.5</v>
      </c>
      <c r="IH309" s="9">
        <v>1.1000000000000001</v>
      </c>
      <c r="II309" s="9">
        <v>3.8</v>
      </c>
      <c r="IJ309" s="9">
        <v>0</v>
      </c>
      <c r="IK309" s="9">
        <v>-0.7</v>
      </c>
      <c r="IL309" s="9">
        <v>4.7</v>
      </c>
      <c r="IM309" s="9">
        <v>-8.1999999999999993</v>
      </c>
      <c r="IN309" s="9">
        <v>0.9</v>
      </c>
      <c r="IO309" s="9">
        <v>1.7</v>
      </c>
      <c r="IP309" s="9">
        <v>0.6</v>
      </c>
      <c r="IQ309" s="9">
        <v>2.4</v>
      </c>
    </row>
    <row r="310" spans="1:251" x14ac:dyDescent="0.2">
      <c r="A310" s="10">
        <v>45078</v>
      </c>
      <c r="B310" s="8">
        <v>92.87</v>
      </c>
      <c r="C310" s="8">
        <v>93.4</v>
      </c>
      <c r="D310" s="8">
        <v>93.95</v>
      </c>
      <c r="E310" s="8">
        <v>95.56</v>
      </c>
      <c r="F310" s="8">
        <v>91.36</v>
      </c>
      <c r="G310" s="8">
        <v>94.41</v>
      </c>
      <c r="H310" s="8">
        <v>98.23</v>
      </c>
      <c r="I310" s="8">
        <v>95.88</v>
      </c>
      <c r="J310" s="8">
        <v>95.54</v>
      </c>
      <c r="K310" s="8">
        <v>92.49</v>
      </c>
      <c r="L310" s="8">
        <v>90.53</v>
      </c>
      <c r="M310" s="8">
        <v>98.61</v>
      </c>
      <c r="N310" s="8">
        <v>100.13</v>
      </c>
      <c r="O310" s="8">
        <v>95.06</v>
      </c>
      <c r="P310" s="8">
        <v>95.98</v>
      </c>
      <c r="Q310" s="8">
        <v>95.44</v>
      </c>
      <c r="R310" s="8">
        <v>97.35</v>
      </c>
      <c r="S310" s="8">
        <v>95.27</v>
      </c>
      <c r="T310" s="8">
        <v>97.02</v>
      </c>
      <c r="U310" s="8">
        <v>95.29</v>
      </c>
      <c r="V310" s="8">
        <v>98.22</v>
      </c>
      <c r="W310" s="8">
        <v>91.48</v>
      </c>
      <c r="X310" s="8">
        <v>79.569999999999993</v>
      </c>
      <c r="Y310" s="8">
        <v>92.96</v>
      </c>
      <c r="Z310" s="8">
        <v>96.3</v>
      </c>
      <c r="AA310" s="8">
        <v>89.4</v>
      </c>
      <c r="AB310" s="8">
        <v>88.62</v>
      </c>
      <c r="AC310" s="8">
        <v>98.11</v>
      </c>
      <c r="AD310" s="8">
        <v>92.09</v>
      </c>
      <c r="AE310" s="8">
        <v>84.58</v>
      </c>
      <c r="AF310" s="8">
        <v>94.39</v>
      </c>
      <c r="AG310" s="8">
        <v>91.8</v>
      </c>
      <c r="AH310" s="8">
        <v>92.25</v>
      </c>
      <c r="AI310" s="8">
        <v>91.21</v>
      </c>
      <c r="AJ310" s="8">
        <v>86.51</v>
      </c>
      <c r="AK310" s="8">
        <v>93.01</v>
      </c>
      <c r="AL310" s="8">
        <v>93.56</v>
      </c>
      <c r="AM310" s="8">
        <v>96.31</v>
      </c>
      <c r="AN310" s="8">
        <v>90.2</v>
      </c>
      <c r="AO310" s="8">
        <v>74.260000000000005</v>
      </c>
      <c r="AP310" s="8">
        <v>74.260000000000005</v>
      </c>
      <c r="AQ310" s="8">
        <v>95.46</v>
      </c>
      <c r="AR310" s="8">
        <v>98.12</v>
      </c>
      <c r="AS310" s="8">
        <v>102.72</v>
      </c>
      <c r="AT310" s="8">
        <v>95.52</v>
      </c>
      <c r="AU310" s="8">
        <v>99.7</v>
      </c>
      <c r="AV310" s="8">
        <v>98.63</v>
      </c>
      <c r="AW310" s="8">
        <v>97.19</v>
      </c>
      <c r="AX310" s="8">
        <v>99.71</v>
      </c>
      <c r="AY310" s="8">
        <v>97.13</v>
      </c>
      <c r="AZ310" s="8">
        <v>87.62</v>
      </c>
      <c r="BA310" s="8">
        <v>87.38</v>
      </c>
      <c r="BB310" s="8">
        <v>90.11</v>
      </c>
      <c r="BC310" s="8">
        <v>90.6</v>
      </c>
      <c r="BD310" s="8">
        <v>88.1</v>
      </c>
      <c r="BE310" s="8">
        <v>88.1</v>
      </c>
      <c r="BF310" s="8">
        <v>92.87</v>
      </c>
      <c r="BG310" s="8">
        <v>92.87</v>
      </c>
      <c r="BH310" s="8">
        <v>88.68</v>
      </c>
      <c r="BI310" s="8">
        <v>93.34</v>
      </c>
      <c r="BJ310" s="8">
        <v>82.59</v>
      </c>
      <c r="BK310" s="8">
        <v>92.28</v>
      </c>
      <c r="BL310" s="8">
        <v>90.43</v>
      </c>
      <c r="BM310" s="8">
        <v>94.62</v>
      </c>
      <c r="BN310" s="8">
        <v>89.73</v>
      </c>
      <c r="BO310" s="8">
        <v>99.15</v>
      </c>
      <c r="BP310" s="8">
        <v>101.67</v>
      </c>
      <c r="BQ310" s="8">
        <v>102.6</v>
      </c>
      <c r="BR310" s="8">
        <v>97.45</v>
      </c>
      <c r="BS310" s="8">
        <v>105.89</v>
      </c>
      <c r="BT310" s="8">
        <v>105.89</v>
      </c>
      <c r="BU310" s="8">
        <v>103.93</v>
      </c>
      <c r="BV310" s="8">
        <v>102.29</v>
      </c>
      <c r="BW310" s="8">
        <v>105.47</v>
      </c>
      <c r="BX310" s="8">
        <v>107.77</v>
      </c>
      <c r="BY310" s="8">
        <v>100.64</v>
      </c>
      <c r="BZ310" s="8">
        <v>100.46</v>
      </c>
      <c r="CA310" s="8">
        <v>99.25</v>
      </c>
      <c r="CB310" s="8">
        <v>98.39</v>
      </c>
      <c r="CC310" s="8">
        <v>102.14</v>
      </c>
      <c r="CD310" s="8">
        <v>93.33</v>
      </c>
      <c r="CE310" s="8">
        <v>97.34</v>
      </c>
      <c r="CF310" s="8">
        <v>90.31</v>
      </c>
      <c r="CG310" s="8">
        <v>93.67</v>
      </c>
      <c r="CH310" s="8">
        <v>90.9</v>
      </c>
      <c r="CI310" s="8">
        <v>98.27</v>
      </c>
      <c r="CJ310" s="8">
        <v>98.72</v>
      </c>
      <c r="CK310" s="8">
        <v>95.39</v>
      </c>
      <c r="CL310" s="8">
        <v>89.41</v>
      </c>
      <c r="CM310" s="8">
        <v>89.12</v>
      </c>
      <c r="CN310" s="8">
        <v>91.75</v>
      </c>
      <c r="CO310" s="8">
        <v>96.83</v>
      </c>
      <c r="CP310" s="8">
        <v>96.87</v>
      </c>
      <c r="CQ310" s="8">
        <v>100.17</v>
      </c>
      <c r="CR310" s="8">
        <v>97.63</v>
      </c>
      <c r="CS310" s="8">
        <v>100.49</v>
      </c>
      <c r="CT310" s="8">
        <v>90.3</v>
      </c>
      <c r="CU310" s="8">
        <v>90.22</v>
      </c>
      <c r="CV310" s="8">
        <v>95.74</v>
      </c>
      <c r="CW310" s="8">
        <v>95.74</v>
      </c>
      <c r="CX310" s="8">
        <v>96.2</v>
      </c>
      <c r="CY310" s="8">
        <v>96.2</v>
      </c>
      <c r="CZ310" s="8">
        <v>85.84</v>
      </c>
      <c r="DA310" s="8">
        <v>96.76</v>
      </c>
      <c r="DB310" s="8">
        <v>94.71</v>
      </c>
      <c r="DC310" s="8">
        <v>93.2</v>
      </c>
      <c r="DD310" s="8">
        <v>103.25</v>
      </c>
      <c r="DE310" s="8">
        <v>82.22</v>
      </c>
      <c r="DF310" s="8">
        <v>93.72</v>
      </c>
      <c r="DG310" s="8">
        <v>102.54</v>
      </c>
      <c r="DH310" s="8">
        <v>90.44</v>
      </c>
      <c r="DI310" s="8">
        <v>95.21</v>
      </c>
      <c r="DJ310" s="8">
        <v>95.01</v>
      </c>
      <c r="DK310" s="8">
        <v>95.22</v>
      </c>
      <c r="DL310" s="8">
        <v>94.86</v>
      </c>
      <c r="DM310" s="8">
        <v>101.28</v>
      </c>
      <c r="DN310" s="8">
        <v>104.22</v>
      </c>
      <c r="DO310" s="8">
        <v>99.84</v>
      </c>
      <c r="DP310" s="8">
        <v>87.7</v>
      </c>
      <c r="DQ310" s="8">
        <v>88.62</v>
      </c>
      <c r="DR310" s="8">
        <v>93.33</v>
      </c>
      <c r="DS310" s="8">
        <v>89.54</v>
      </c>
      <c r="DT310" s="8">
        <v>89.54</v>
      </c>
      <c r="DU310" s="8">
        <v>90.88</v>
      </c>
      <c r="DV310" s="8">
        <v>88.64</v>
      </c>
      <c r="DW310" s="8">
        <v>89.89</v>
      </c>
      <c r="DX310" s="8">
        <v>90.36</v>
      </c>
      <c r="DY310" s="8">
        <v>83.13</v>
      </c>
      <c r="DZ310" s="8">
        <v>83.13</v>
      </c>
      <c r="EA310" s="8">
        <v>92.59</v>
      </c>
      <c r="EB310" s="8">
        <v>91.03</v>
      </c>
      <c r="EC310" s="8">
        <v>92.75</v>
      </c>
      <c r="ED310" s="9">
        <v>0.9</v>
      </c>
      <c r="EE310" s="9">
        <v>1.6</v>
      </c>
      <c r="EF310" s="9">
        <v>2.8</v>
      </c>
      <c r="EG310" s="9">
        <v>5.2</v>
      </c>
      <c r="EH310" s="9">
        <v>1.6</v>
      </c>
      <c r="EI310" s="9">
        <v>1</v>
      </c>
      <c r="EJ310" s="9">
        <v>1</v>
      </c>
      <c r="EK310" s="9">
        <v>0.1</v>
      </c>
      <c r="EL310" s="9">
        <v>-1.6</v>
      </c>
      <c r="EM310" s="9">
        <v>-0.7</v>
      </c>
      <c r="EN310" s="9">
        <v>0.2</v>
      </c>
      <c r="EO310" s="9">
        <v>2.2000000000000002</v>
      </c>
      <c r="EP310" s="9">
        <v>-0.2</v>
      </c>
      <c r="EQ310" s="9">
        <v>1</v>
      </c>
      <c r="ER310" s="9">
        <v>1.6</v>
      </c>
      <c r="ES310" s="9">
        <v>0.1</v>
      </c>
      <c r="ET310" s="9">
        <v>1.2</v>
      </c>
      <c r="EU310" s="9">
        <v>4.0999999999999996</v>
      </c>
      <c r="EV310" s="9">
        <v>2.4</v>
      </c>
      <c r="EW310" s="9">
        <v>0.4</v>
      </c>
      <c r="EX310" s="9">
        <v>3.8</v>
      </c>
      <c r="EY310" s="9">
        <v>1.1000000000000001</v>
      </c>
      <c r="EZ310" s="9">
        <v>2.1</v>
      </c>
      <c r="FA310" s="9">
        <v>0</v>
      </c>
      <c r="FB310" s="9">
        <v>1</v>
      </c>
      <c r="FC310" s="9">
        <v>1</v>
      </c>
      <c r="FD310" s="9">
        <v>1</v>
      </c>
      <c r="FE310" s="9">
        <v>1.3</v>
      </c>
      <c r="FF310" s="9">
        <v>2.2000000000000002</v>
      </c>
      <c r="FG310" s="9">
        <v>-0.6</v>
      </c>
      <c r="FH310" s="9">
        <v>3</v>
      </c>
      <c r="FI310" s="9">
        <v>1.8</v>
      </c>
      <c r="FJ310" s="9">
        <v>1</v>
      </c>
      <c r="FK310" s="9">
        <v>2.7</v>
      </c>
      <c r="FL310" s="9">
        <v>1</v>
      </c>
      <c r="FM310" s="9">
        <v>1</v>
      </c>
      <c r="FN310" s="9">
        <v>1.5</v>
      </c>
      <c r="FO310" s="9">
        <v>0.1</v>
      </c>
      <c r="FP310" s="9">
        <v>1.4</v>
      </c>
      <c r="FQ310" s="9">
        <v>1.1000000000000001</v>
      </c>
      <c r="FR310" s="9">
        <v>1.1000000000000001</v>
      </c>
      <c r="FS310" s="9">
        <v>0.6</v>
      </c>
      <c r="FT310" s="9">
        <v>1.5</v>
      </c>
      <c r="FU310" s="9">
        <v>0.9</v>
      </c>
      <c r="FV310" s="9">
        <v>0</v>
      </c>
      <c r="FW310" s="9">
        <v>7.9</v>
      </c>
      <c r="FX310" s="9">
        <v>1.4</v>
      </c>
      <c r="FY310" s="9">
        <v>-1.5</v>
      </c>
      <c r="FZ310" s="9">
        <v>2.6</v>
      </c>
      <c r="GA310" s="9">
        <v>1.6</v>
      </c>
      <c r="GB310" s="9">
        <v>-1.9</v>
      </c>
      <c r="GC310" s="9">
        <v>-2.2000000000000002</v>
      </c>
      <c r="GD310" s="9">
        <v>1.5</v>
      </c>
      <c r="GE310" s="9">
        <v>0.9</v>
      </c>
      <c r="GF310" s="9">
        <v>2.5</v>
      </c>
      <c r="GG310" s="9">
        <v>2.5</v>
      </c>
      <c r="GH310" s="9">
        <v>1</v>
      </c>
      <c r="GI310" s="9">
        <v>1</v>
      </c>
      <c r="GJ310" s="9">
        <v>0.5</v>
      </c>
      <c r="GK310" s="9">
        <v>0.8</v>
      </c>
      <c r="GL310" s="9">
        <v>0</v>
      </c>
      <c r="GM310" s="9">
        <v>-1.1000000000000001</v>
      </c>
      <c r="GN310" s="9">
        <v>0.9</v>
      </c>
      <c r="GO310" s="9">
        <v>-1.8</v>
      </c>
      <c r="GP310" s="9">
        <v>-1.2</v>
      </c>
      <c r="GQ310" s="9">
        <v>2.1</v>
      </c>
      <c r="GR310" s="9">
        <v>4.2</v>
      </c>
      <c r="GS310" s="9">
        <v>5</v>
      </c>
      <c r="GT310" s="9">
        <v>0.7</v>
      </c>
      <c r="GU310" s="9">
        <v>9.6</v>
      </c>
      <c r="GV310" s="9">
        <v>9.6</v>
      </c>
      <c r="GW310" s="9">
        <v>0.9</v>
      </c>
      <c r="GX310" s="9">
        <v>-0.4</v>
      </c>
      <c r="GY310" s="9">
        <v>1</v>
      </c>
      <c r="GZ310" s="9">
        <v>1.6</v>
      </c>
      <c r="HA310" s="9">
        <v>1.3</v>
      </c>
      <c r="HB310" s="9">
        <v>0.8</v>
      </c>
      <c r="HC310" s="9">
        <v>0.7</v>
      </c>
      <c r="HD310" s="9">
        <v>1</v>
      </c>
      <c r="HE310" s="9">
        <v>0.7</v>
      </c>
      <c r="HF310" s="9">
        <v>1.3</v>
      </c>
      <c r="HG310" s="9">
        <v>1.5</v>
      </c>
      <c r="HH310" s="9">
        <v>2.2000000000000002</v>
      </c>
      <c r="HI310" s="9">
        <v>-0.4</v>
      </c>
      <c r="HJ310" s="9">
        <v>-0.1</v>
      </c>
      <c r="HK310" s="9">
        <v>-0.8</v>
      </c>
      <c r="HL310" s="9">
        <v>-1</v>
      </c>
      <c r="HM310" s="9">
        <v>0.2</v>
      </c>
      <c r="HN310" s="9">
        <v>0.1</v>
      </c>
      <c r="HO310" s="9">
        <v>0</v>
      </c>
      <c r="HP310" s="9">
        <v>0.5</v>
      </c>
      <c r="HQ310" s="9">
        <v>-0.1</v>
      </c>
      <c r="HR310" s="9">
        <v>-0.1</v>
      </c>
      <c r="HS310" s="9">
        <v>-0.6</v>
      </c>
      <c r="HT310" s="9">
        <v>2.6</v>
      </c>
      <c r="HU310" s="9">
        <v>-0.7</v>
      </c>
      <c r="HV310" s="9">
        <v>0.5</v>
      </c>
      <c r="HW310" s="9">
        <v>0.1</v>
      </c>
      <c r="HX310" s="9">
        <v>0</v>
      </c>
      <c r="HY310" s="9">
        <v>0</v>
      </c>
      <c r="HZ310" s="9">
        <v>-0.5</v>
      </c>
      <c r="IA310" s="9">
        <v>-0.5</v>
      </c>
      <c r="IB310" s="9">
        <v>3.4</v>
      </c>
      <c r="IC310" s="9">
        <v>-0.6</v>
      </c>
      <c r="ID310" s="9">
        <v>-0.3</v>
      </c>
      <c r="IE310" s="9">
        <v>0.2</v>
      </c>
      <c r="IF310" s="9">
        <v>-0.1</v>
      </c>
      <c r="IG310" s="9">
        <v>0.6</v>
      </c>
      <c r="IH310" s="9">
        <v>1.5</v>
      </c>
      <c r="II310" s="9">
        <v>0.1</v>
      </c>
      <c r="IJ310" s="9">
        <v>2.1</v>
      </c>
      <c r="IK310" s="9">
        <v>-2.1</v>
      </c>
      <c r="IL310" s="9">
        <v>-7.2</v>
      </c>
      <c r="IM310" s="9">
        <v>6.1</v>
      </c>
      <c r="IN310" s="9">
        <v>1.3</v>
      </c>
      <c r="IO310" s="9">
        <v>-0.2</v>
      </c>
      <c r="IP310" s="9">
        <v>-0.2</v>
      </c>
      <c r="IQ310" s="9">
        <v>0.1</v>
      </c>
    </row>
    <row r="311" spans="1:251" x14ac:dyDescent="0.2">
      <c r="A311" s="10">
        <v>45170</v>
      </c>
      <c r="B311" s="8">
        <v>93.94</v>
      </c>
      <c r="C311" s="8">
        <v>94.01</v>
      </c>
      <c r="D311" s="8">
        <v>95.5</v>
      </c>
      <c r="E311" s="8">
        <v>97.07</v>
      </c>
      <c r="F311" s="8">
        <v>93.19</v>
      </c>
      <c r="G311" s="8">
        <v>96.32</v>
      </c>
      <c r="H311" s="8">
        <v>98.62</v>
      </c>
      <c r="I311" s="8">
        <v>96.13</v>
      </c>
      <c r="J311" s="8">
        <v>94.33</v>
      </c>
      <c r="K311" s="8">
        <v>93.36</v>
      </c>
      <c r="L311" s="8">
        <v>86.34</v>
      </c>
      <c r="M311" s="8">
        <v>99.7</v>
      </c>
      <c r="N311" s="8">
        <v>101.12</v>
      </c>
      <c r="O311" s="8">
        <v>98.31</v>
      </c>
      <c r="P311" s="8">
        <v>98.08</v>
      </c>
      <c r="Q311" s="8">
        <v>96.65</v>
      </c>
      <c r="R311" s="8">
        <v>101.52</v>
      </c>
      <c r="S311" s="8">
        <v>96.45</v>
      </c>
      <c r="T311" s="8">
        <v>93.48</v>
      </c>
      <c r="U311" s="8">
        <v>94.32</v>
      </c>
      <c r="V311" s="8">
        <v>92.77</v>
      </c>
      <c r="W311" s="8">
        <v>91.74</v>
      </c>
      <c r="X311" s="8">
        <v>81.28</v>
      </c>
      <c r="Y311" s="8">
        <v>95.07</v>
      </c>
      <c r="Z311" s="8">
        <v>96.93</v>
      </c>
      <c r="AA311" s="8">
        <v>91.81</v>
      </c>
      <c r="AB311" s="8">
        <v>88.13</v>
      </c>
      <c r="AC311" s="8">
        <v>97.59</v>
      </c>
      <c r="AD311" s="8">
        <v>91.48</v>
      </c>
      <c r="AE311" s="8">
        <v>84.97</v>
      </c>
      <c r="AF311" s="8">
        <v>93.46</v>
      </c>
      <c r="AG311" s="8">
        <v>93.71</v>
      </c>
      <c r="AH311" s="8">
        <v>94.13</v>
      </c>
      <c r="AI311" s="8">
        <v>93.17</v>
      </c>
      <c r="AJ311" s="8">
        <v>87.75</v>
      </c>
      <c r="AK311" s="8">
        <v>94.2</v>
      </c>
      <c r="AL311" s="8">
        <v>94.83</v>
      </c>
      <c r="AM311" s="8">
        <v>96.91</v>
      </c>
      <c r="AN311" s="8">
        <v>91.82</v>
      </c>
      <c r="AO311" s="8">
        <v>75.540000000000006</v>
      </c>
      <c r="AP311" s="8">
        <v>75.540000000000006</v>
      </c>
      <c r="AQ311" s="8">
        <v>95.87</v>
      </c>
      <c r="AR311" s="8">
        <v>97.19</v>
      </c>
      <c r="AS311" s="8">
        <v>101.68</v>
      </c>
      <c r="AT311" s="8">
        <v>94.98</v>
      </c>
      <c r="AU311" s="8">
        <v>97.59</v>
      </c>
      <c r="AV311" s="8">
        <v>99.12</v>
      </c>
      <c r="AW311" s="8">
        <v>100.01</v>
      </c>
      <c r="AX311" s="8">
        <v>98.78</v>
      </c>
      <c r="AY311" s="8">
        <v>99.38</v>
      </c>
      <c r="AZ311" s="8">
        <v>90.63</v>
      </c>
      <c r="BA311" s="8">
        <v>90.5</v>
      </c>
      <c r="BB311" s="8">
        <v>91.76</v>
      </c>
      <c r="BC311" s="8">
        <v>92.53</v>
      </c>
      <c r="BD311" s="8">
        <v>90.01</v>
      </c>
      <c r="BE311" s="8">
        <v>90.01</v>
      </c>
      <c r="BF311" s="8">
        <v>94.06</v>
      </c>
      <c r="BG311" s="8">
        <v>94.06</v>
      </c>
      <c r="BH311" s="8">
        <v>90.75</v>
      </c>
      <c r="BI311" s="8">
        <v>94.28</v>
      </c>
      <c r="BJ311" s="8">
        <v>86.16</v>
      </c>
      <c r="BK311" s="8">
        <v>95.59</v>
      </c>
      <c r="BL311" s="8">
        <v>94.74</v>
      </c>
      <c r="BM311" s="8">
        <v>98.57</v>
      </c>
      <c r="BN311" s="8">
        <v>90.97</v>
      </c>
      <c r="BO311" s="8">
        <v>98.35</v>
      </c>
      <c r="BP311" s="8">
        <v>103.49</v>
      </c>
      <c r="BQ311" s="8">
        <v>104.56</v>
      </c>
      <c r="BR311" s="8">
        <v>98.68</v>
      </c>
      <c r="BS311" s="8">
        <v>102.41</v>
      </c>
      <c r="BT311" s="8">
        <v>102.41</v>
      </c>
      <c r="BU311" s="8">
        <v>103.83</v>
      </c>
      <c r="BV311" s="8">
        <v>102.27</v>
      </c>
      <c r="BW311" s="8">
        <v>105.46</v>
      </c>
      <c r="BX311" s="8">
        <v>107.31</v>
      </c>
      <c r="BY311" s="8">
        <v>100.73</v>
      </c>
      <c r="BZ311" s="8">
        <v>100.54</v>
      </c>
      <c r="CA311" s="8">
        <v>100.14</v>
      </c>
      <c r="CB311" s="8">
        <v>98.85</v>
      </c>
      <c r="CC311" s="8">
        <v>101.8</v>
      </c>
      <c r="CD311" s="8">
        <v>90.19</v>
      </c>
      <c r="CE311" s="8">
        <v>84.53</v>
      </c>
      <c r="CF311" s="8">
        <v>91.14</v>
      </c>
      <c r="CG311" s="8">
        <v>95.57</v>
      </c>
      <c r="CH311" s="8">
        <v>91.61</v>
      </c>
      <c r="CI311" s="8">
        <v>97.32</v>
      </c>
      <c r="CJ311" s="8">
        <v>97.47</v>
      </c>
      <c r="CK311" s="8">
        <v>96.36</v>
      </c>
      <c r="CL311" s="8">
        <v>90.47</v>
      </c>
      <c r="CM311" s="8">
        <v>90.03</v>
      </c>
      <c r="CN311" s="8">
        <v>94.02</v>
      </c>
      <c r="CO311" s="8">
        <v>99.95</v>
      </c>
      <c r="CP311" s="8">
        <v>100</v>
      </c>
      <c r="CQ311" s="8">
        <v>100.69</v>
      </c>
      <c r="CR311" s="8">
        <v>98.26</v>
      </c>
      <c r="CS311" s="8">
        <v>107.71</v>
      </c>
      <c r="CT311" s="8">
        <v>91.46</v>
      </c>
      <c r="CU311" s="8">
        <v>93.15</v>
      </c>
      <c r="CV311" s="8">
        <v>98.52</v>
      </c>
      <c r="CW311" s="8">
        <v>98.52</v>
      </c>
      <c r="CX311" s="8">
        <v>98.25</v>
      </c>
      <c r="CY311" s="8">
        <v>98.25</v>
      </c>
      <c r="CZ311" s="8">
        <v>92.86</v>
      </c>
      <c r="DA311" s="8">
        <v>98.53</v>
      </c>
      <c r="DB311" s="8">
        <v>94.83</v>
      </c>
      <c r="DC311" s="8">
        <v>93.08</v>
      </c>
      <c r="DD311" s="8">
        <v>102.8</v>
      </c>
      <c r="DE311" s="8">
        <v>82.56</v>
      </c>
      <c r="DF311" s="8">
        <v>94.32</v>
      </c>
      <c r="DG311" s="8">
        <v>101.92</v>
      </c>
      <c r="DH311" s="8">
        <v>91.49</v>
      </c>
      <c r="DI311" s="8">
        <v>94.37</v>
      </c>
      <c r="DJ311" s="8">
        <v>92.71</v>
      </c>
      <c r="DK311" s="8">
        <v>95.7</v>
      </c>
      <c r="DL311" s="8">
        <v>96.31</v>
      </c>
      <c r="DM311" s="8">
        <v>101.12</v>
      </c>
      <c r="DN311" s="8">
        <v>103.89</v>
      </c>
      <c r="DO311" s="8">
        <v>100.79</v>
      </c>
      <c r="DP311" s="8">
        <v>89.79</v>
      </c>
      <c r="DQ311" s="8">
        <v>90.4</v>
      </c>
      <c r="DR311" s="8">
        <v>96.52</v>
      </c>
      <c r="DS311" s="8">
        <v>89.24</v>
      </c>
      <c r="DT311" s="8">
        <v>89.24</v>
      </c>
      <c r="DU311" s="8">
        <v>88.5</v>
      </c>
      <c r="DV311" s="8">
        <v>88.64</v>
      </c>
      <c r="DW311" s="8">
        <v>90.35</v>
      </c>
      <c r="DX311" s="8">
        <v>91.54</v>
      </c>
      <c r="DY311" s="8">
        <v>85.44</v>
      </c>
      <c r="DZ311" s="8">
        <v>85.44</v>
      </c>
      <c r="EA311" s="8">
        <v>93.42</v>
      </c>
      <c r="EB311" s="8">
        <v>92.71</v>
      </c>
      <c r="EC311" s="8">
        <v>93.49</v>
      </c>
      <c r="ED311" s="9">
        <v>1.2</v>
      </c>
      <c r="EE311" s="9">
        <v>0.7</v>
      </c>
      <c r="EF311" s="9">
        <v>1.6</v>
      </c>
      <c r="EG311" s="9">
        <v>1.6</v>
      </c>
      <c r="EH311" s="9">
        <v>2</v>
      </c>
      <c r="EI311" s="9">
        <v>2</v>
      </c>
      <c r="EJ311" s="9">
        <v>0.4</v>
      </c>
      <c r="EK311" s="9">
        <v>0.3</v>
      </c>
      <c r="EL311" s="9">
        <v>-1.3</v>
      </c>
      <c r="EM311" s="9">
        <v>0.9</v>
      </c>
      <c r="EN311" s="9">
        <v>-4.5999999999999996</v>
      </c>
      <c r="EO311" s="9">
        <v>1.1000000000000001</v>
      </c>
      <c r="EP311" s="9">
        <v>1</v>
      </c>
      <c r="EQ311" s="9">
        <v>3.4</v>
      </c>
      <c r="ER311" s="9">
        <v>2.2000000000000002</v>
      </c>
      <c r="ES311" s="9">
        <v>1.3</v>
      </c>
      <c r="ET311" s="9">
        <v>4.3</v>
      </c>
      <c r="EU311" s="9">
        <v>1.2</v>
      </c>
      <c r="EV311" s="9">
        <v>-3.6</v>
      </c>
      <c r="EW311" s="9">
        <v>-1</v>
      </c>
      <c r="EX311" s="9">
        <v>-5.5</v>
      </c>
      <c r="EY311" s="9">
        <v>0.3</v>
      </c>
      <c r="EZ311" s="9">
        <v>2.1</v>
      </c>
      <c r="FA311" s="9">
        <v>2.2999999999999998</v>
      </c>
      <c r="FB311" s="9">
        <v>0.7</v>
      </c>
      <c r="FC311" s="9">
        <v>2.7</v>
      </c>
      <c r="FD311" s="9">
        <v>-0.6</v>
      </c>
      <c r="FE311" s="9">
        <v>-0.5</v>
      </c>
      <c r="FF311" s="9">
        <v>-0.7</v>
      </c>
      <c r="FG311" s="9">
        <v>0.5</v>
      </c>
      <c r="FH311" s="9">
        <v>-1</v>
      </c>
      <c r="FI311" s="9">
        <v>2.1</v>
      </c>
      <c r="FJ311" s="9">
        <v>2</v>
      </c>
      <c r="FK311" s="9">
        <v>2.1</v>
      </c>
      <c r="FL311" s="9">
        <v>1.4</v>
      </c>
      <c r="FM311" s="9">
        <v>1.3</v>
      </c>
      <c r="FN311" s="9">
        <v>1.4</v>
      </c>
      <c r="FO311" s="9">
        <v>0.6</v>
      </c>
      <c r="FP311" s="9">
        <v>1.8</v>
      </c>
      <c r="FQ311" s="9">
        <v>1.7</v>
      </c>
      <c r="FR311" s="9">
        <v>1.7</v>
      </c>
      <c r="FS311" s="9">
        <v>0.4</v>
      </c>
      <c r="FT311" s="9">
        <v>-0.9</v>
      </c>
      <c r="FU311" s="9">
        <v>-1</v>
      </c>
      <c r="FV311" s="9">
        <v>-0.6</v>
      </c>
      <c r="FW311" s="9">
        <v>-2.1</v>
      </c>
      <c r="FX311" s="9">
        <v>0.5</v>
      </c>
      <c r="FY311" s="9">
        <v>2.9</v>
      </c>
      <c r="FZ311" s="9">
        <v>-0.9</v>
      </c>
      <c r="GA311" s="9">
        <v>2.2999999999999998</v>
      </c>
      <c r="GB311" s="9">
        <v>3.4</v>
      </c>
      <c r="GC311" s="9">
        <v>3.6</v>
      </c>
      <c r="GD311" s="9">
        <v>1.8</v>
      </c>
      <c r="GE311" s="9">
        <v>2.1</v>
      </c>
      <c r="GF311" s="9">
        <v>2.2000000000000002</v>
      </c>
      <c r="GG311" s="9">
        <v>2.2000000000000002</v>
      </c>
      <c r="GH311" s="9">
        <v>1.3</v>
      </c>
      <c r="GI311" s="9">
        <v>1.3</v>
      </c>
      <c r="GJ311" s="9">
        <v>2.2999999999999998</v>
      </c>
      <c r="GK311" s="9">
        <v>1</v>
      </c>
      <c r="GL311" s="9">
        <v>4.3</v>
      </c>
      <c r="GM311" s="9">
        <v>3.6</v>
      </c>
      <c r="GN311" s="9">
        <v>4.8</v>
      </c>
      <c r="GO311" s="9">
        <v>4.2</v>
      </c>
      <c r="GP311" s="9">
        <v>1.4</v>
      </c>
      <c r="GQ311" s="9">
        <v>-0.8</v>
      </c>
      <c r="GR311" s="9">
        <v>1.8</v>
      </c>
      <c r="GS311" s="9">
        <v>1.9</v>
      </c>
      <c r="GT311" s="9">
        <v>1.3</v>
      </c>
      <c r="GU311" s="9">
        <v>-3.3</v>
      </c>
      <c r="GV311" s="9">
        <v>-3.3</v>
      </c>
      <c r="GW311" s="9">
        <v>-0.1</v>
      </c>
      <c r="GX311" s="9">
        <v>0</v>
      </c>
      <c r="GY311" s="9">
        <v>0</v>
      </c>
      <c r="GZ311" s="9">
        <v>-0.4</v>
      </c>
      <c r="HA311" s="9">
        <v>0.1</v>
      </c>
      <c r="HB311" s="9">
        <v>0.1</v>
      </c>
      <c r="HC311" s="9">
        <v>0.9</v>
      </c>
      <c r="HD311" s="9">
        <v>0.5</v>
      </c>
      <c r="HE311" s="9">
        <v>-0.3</v>
      </c>
      <c r="HF311" s="9">
        <v>-3.4</v>
      </c>
      <c r="HG311" s="9">
        <v>-13.2</v>
      </c>
      <c r="HH311" s="9">
        <v>0.9</v>
      </c>
      <c r="HI311" s="9">
        <v>2</v>
      </c>
      <c r="HJ311" s="9">
        <v>0.8</v>
      </c>
      <c r="HK311" s="9">
        <v>-1</v>
      </c>
      <c r="HL311" s="9">
        <v>-1.3</v>
      </c>
      <c r="HM311" s="9">
        <v>1</v>
      </c>
      <c r="HN311" s="9">
        <v>1.2</v>
      </c>
      <c r="HO311" s="9">
        <v>1</v>
      </c>
      <c r="HP311" s="9">
        <v>2.5</v>
      </c>
      <c r="HQ311" s="9">
        <v>3.2</v>
      </c>
      <c r="HR311" s="9">
        <v>3.2</v>
      </c>
      <c r="HS311" s="9">
        <v>0.5</v>
      </c>
      <c r="HT311" s="9">
        <v>0.6</v>
      </c>
      <c r="HU311" s="9">
        <v>7.2</v>
      </c>
      <c r="HV311" s="9">
        <v>1.3</v>
      </c>
      <c r="HW311" s="9">
        <v>3.2</v>
      </c>
      <c r="HX311" s="9">
        <v>2.9</v>
      </c>
      <c r="HY311" s="9">
        <v>2.9</v>
      </c>
      <c r="HZ311" s="9">
        <v>2.1</v>
      </c>
      <c r="IA311" s="9">
        <v>2.1</v>
      </c>
      <c r="IB311" s="9">
        <v>8.1999999999999993</v>
      </c>
      <c r="IC311" s="9">
        <v>1.8</v>
      </c>
      <c r="ID311" s="9">
        <v>0.1</v>
      </c>
      <c r="IE311" s="9">
        <v>-0.1</v>
      </c>
      <c r="IF311" s="9">
        <v>-0.4</v>
      </c>
      <c r="IG311" s="9">
        <v>0.4</v>
      </c>
      <c r="IH311" s="9">
        <v>0.6</v>
      </c>
      <c r="II311" s="9">
        <v>-0.6</v>
      </c>
      <c r="IJ311" s="9">
        <v>1.2</v>
      </c>
      <c r="IK311" s="9">
        <v>-0.9</v>
      </c>
      <c r="IL311" s="9">
        <v>-2.4</v>
      </c>
      <c r="IM311" s="9">
        <v>0.5</v>
      </c>
      <c r="IN311" s="9">
        <v>1.5</v>
      </c>
      <c r="IO311" s="9">
        <v>-0.2</v>
      </c>
      <c r="IP311" s="9">
        <v>-0.3</v>
      </c>
      <c r="IQ311" s="9">
        <v>1</v>
      </c>
    </row>
    <row r="312" spans="1:251" x14ac:dyDescent="0.2">
      <c r="A312" s="10">
        <v>45261</v>
      </c>
      <c r="B312" s="8">
        <v>94.53</v>
      </c>
      <c r="C312" s="8">
        <v>94.51</v>
      </c>
      <c r="D312" s="8">
        <v>97.35</v>
      </c>
      <c r="E312" s="8">
        <v>97.67</v>
      </c>
      <c r="F312" s="8">
        <v>95.67</v>
      </c>
      <c r="G312" s="8">
        <v>101.78</v>
      </c>
      <c r="H312" s="8">
        <v>99.8</v>
      </c>
      <c r="I312" s="8">
        <v>94.97</v>
      </c>
      <c r="J312" s="8">
        <v>92.95</v>
      </c>
      <c r="K312" s="8">
        <v>96.39</v>
      </c>
      <c r="L312" s="8">
        <v>75.819999999999993</v>
      </c>
      <c r="M312" s="8">
        <v>98.26</v>
      </c>
      <c r="N312" s="8">
        <v>100.81</v>
      </c>
      <c r="O312" s="8">
        <v>100.66</v>
      </c>
      <c r="P312" s="8">
        <v>98.68</v>
      </c>
      <c r="Q312" s="8">
        <v>97.95</v>
      </c>
      <c r="R312" s="8">
        <v>100.98</v>
      </c>
      <c r="S312" s="8">
        <v>97.26</v>
      </c>
      <c r="T312" s="8">
        <v>92.38</v>
      </c>
      <c r="U312" s="8">
        <v>93.25</v>
      </c>
      <c r="V312" s="8">
        <v>91.65</v>
      </c>
      <c r="W312" s="8">
        <v>93.44</v>
      </c>
      <c r="X312" s="8">
        <v>84.03</v>
      </c>
      <c r="Y312" s="8">
        <v>96.7</v>
      </c>
      <c r="Z312" s="8">
        <v>97.21</v>
      </c>
      <c r="AA312" s="8">
        <v>93</v>
      </c>
      <c r="AB312" s="8">
        <v>90.03</v>
      </c>
      <c r="AC312" s="8">
        <v>99.76</v>
      </c>
      <c r="AD312" s="8">
        <v>91.86</v>
      </c>
      <c r="AE312" s="8">
        <v>85.94</v>
      </c>
      <c r="AF312" s="8">
        <v>93.65</v>
      </c>
      <c r="AG312" s="8">
        <v>94.57</v>
      </c>
      <c r="AH312" s="8">
        <v>94.83</v>
      </c>
      <c r="AI312" s="8">
        <v>94.24</v>
      </c>
      <c r="AJ312" s="8">
        <v>90.23</v>
      </c>
      <c r="AK312" s="8">
        <v>94.76</v>
      </c>
      <c r="AL312" s="8">
        <v>94.41</v>
      </c>
      <c r="AM312" s="8">
        <v>96.74</v>
      </c>
      <c r="AN312" s="8">
        <v>93.36</v>
      </c>
      <c r="AO312" s="8">
        <v>80.8</v>
      </c>
      <c r="AP312" s="8">
        <v>80.8</v>
      </c>
      <c r="AQ312" s="8">
        <v>96.43</v>
      </c>
      <c r="AR312" s="8">
        <v>98.98</v>
      </c>
      <c r="AS312" s="8">
        <v>103.34</v>
      </c>
      <c r="AT312" s="8">
        <v>97.08</v>
      </c>
      <c r="AU312" s="8">
        <v>98.51</v>
      </c>
      <c r="AV312" s="8">
        <v>98.48</v>
      </c>
      <c r="AW312" s="8">
        <v>98.76</v>
      </c>
      <c r="AX312" s="8">
        <v>98.23</v>
      </c>
      <c r="AY312" s="8">
        <v>99.33</v>
      </c>
      <c r="AZ312" s="8">
        <v>89.34</v>
      </c>
      <c r="BA312" s="8">
        <v>88.95</v>
      </c>
      <c r="BB312" s="8">
        <v>93.8</v>
      </c>
      <c r="BC312" s="8">
        <v>93.47</v>
      </c>
      <c r="BD312" s="8">
        <v>90.8</v>
      </c>
      <c r="BE312" s="8">
        <v>90.8</v>
      </c>
      <c r="BF312" s="8">
        <v>95.46</v>
      </c>
      <c r="BG312" s="8">
        <v>95.46</v>
      </c>
      <c r="BH312" s="8">
        <v>91.36</v>
      </c>
      <c r="BI312" s="8">
        <v>95.35</v>
      </c>
      <c r="BJ312" s="8">
        <v>86.16</v>
      </c>
      <c r="BK312" s="8">
        <v>96.12</v>
      </c>
      <c r="BL312" s="8">
        <v>94.74</v>
      </c>
      <c r="BM312" s="8">
        <v>99.98</v>
      </c>
      <c r="BN312" s="8">
        <v>90.1</v>
      </c>
      <c r="BO312" s="8">
        <v>97.37</v>
      </c>
      <c r="BP312" s="8">
        <v>99.88</v>
      </c>
      <c r="BQ312" s="8">
        <v>100.14</v>
      </c>
      <c r="BR312" s="8">
        <v>98.65</v>
      </c>
      <c r="BS312" s="8">
        <v>96.97</v>
      </c>
      <c r="BT312" s="8">
        <v>96.97</v>
      </c>
      <c r="BU312" s="8">
        <v>102.66</v>
      </c>
      <c r="BV312" s="8">
        <v>99.12</v>
      </c>
      <c r="BW312" s="8">
        <v>106.85</v>
      </c>
      <c r="BX312" s="8">
        <v>104.37</v>
      </c>
      <c r="BY312" s="8">
        <v>101.3</v>
      </c>
      <c r="BZ312" s="8">
        <v>99.42</v>
      </c>
      <c r="CA312" s="8">
        <v>101.2</v>
      </c>
      <c r="CB312" s="8">
        <v>97.97</v>
      </c>
      <c r="CC312" s="8">
        <v>100.09</v>
      </c>
      <c r="CD312" s="8">
        <v>91.84</v>
      </c>
      <c r="CE312" s="8">
        <v>87.24</v>
      </c>
      <c r="CF312" s="8">
        <v>92.7</v>
      </c>
      <c r="CG312" s="8">
        <v>96.09</v>
      </c>
      <c r="CH312" s="8">
        <v>92.13</v>
      </c>
      <c r="CI312" s="8">
        <v>95.79</v>
      </c>
      <c r="CJ312" s="8">
        <v>95.86</v>
      </c>
      <c r="CK312" s="8">
        <v>95.36</v>
      </c>
      <c r="CL312" s="8">
        <v>91.43</v>
      </c>
      <c r="CM312" s="8">
        <v>91.09</v>
      </c>
      <c r="CN312" s="8">
        <v>94.15</v>
      </c>
      <c r="CO312" s="8">
        <v>99.84</v>
      </c>
      <c r="CP312" s="8">
        <v>99.84</v>
      </c>
      <c r="CQ312" s="8">
        <v>100.15</v>
      </c>
      <c r="CR312" s="8">
        <v>94.89</v>
      </c>
      <c r="CS312" s="8">
        <v>107.47</v>
      </c>
      <c r="CT312" s="8">
        <v>92.74</v>
      </c>
      <c r="CU312" s="8">
        <v>93.74</v>
      </c>
      <c r="CV312" s="8">
        <v>100.05</v>
      </c>
      <c r="CW312" s="8">
        <v>100.05</v>
      </c>
      <c r="CX312" s="8">
        <v>98.58</v>
      </c>
      <c r="CY312" s="8">
        <v>98.58</v>
      </c>
      <c r="CZ312" s="8">
        <v>94.94</v>
      </c>
      <c r="DA312" s="8">
        <v>98.77</v>
      </c>
      <c r="DB312" s="8">
        <v>95.19</v>
      </c>
      <c r="DC312" s="8">
        <v>92.72</v>
      </c>
      <c r="DD312" s="8">
        <v>102</v>
      </c>
      <c r="DE312" s="8">
        <v>82.83</v>
      </c>
      <c r="DF312" s="8">
        <v>93.99</v>
      </c>
      <c r="DG312" s="8">
        <v>100.09</v>
      </c>
      <c r="DH312" s="8">
        <v>91.71</v>
      </c>
      <c r="DI312" s="8">
        <v>95.33</v>
      </c>
      <c r="DJ312" s="8">
        <v>96.35</v>
      </c>
      <c r="DK312" s="8">
        <v>94.25</v>
      </c>
      <c r="DL312" s="8">
        <v>96.31</v>
      </c>
      <c r="DM312" s="8">
        <v>100.11</v>
      </c>
      <c r="DN312" s="8">
        <v>101.4</v>
      </c>
      <c r="DO312" s="8">
        <v>100.11</v>
      </c>
      <c r="DP312" s="8">
        <v>91.06</v>
      </c>
      <c r="DQ312" s="8">
        <v>91.41</v>
      </c>
      <c r="DR312" s="8">
        <v>97.33</v>
      </c>
      <c r="DS312" s="8">
        <v>89.17</v>
      </c>
      <c r="DT312" s="8">
        <v>89.17</v>
      </c>
      <c r="DU312" s="8">
        <v>88.15</v>
      </c>
      <c r="DV312" s="8">
        <v>88.64</v>
      </c>
      <c r="DW312" s="8">
        <v>90.35</v>
      </c>
      <c r="DX312" s="8">
        <v>93.1</v>
      </c>
      <c r="DY312" s="8">
        <v>88.72</v>
      </c>
      <c r="DZ312" s="8">
        <v>88.72</v>
      </c>
      <c r="EA312" s="8">
        <v>94.46</v>
      </c>
      <c r="EB312" s="8">
        <v>94.95</v>
      </c>
      <c r="EC312" s="8">
        <v>94.41</v>
      </c>
      <c r="ED312" s="9">
        <v>0.6</v>
      </c>
      <c r="EE312" s="9">
        <v>0.5</v>
      </c>
      <c r="EF312" s="9">
        <v>1.9</v>
      </c>
      <c r="EG312" s="9">
        <v>0.6</v>
      </c>
      <c r="EH312" s="9">
        <v>2.7</v>
      </c>
      <c r="EI312" s="9">
        <v>5.7</v>
      </c>
      <c r="EJ312" s="9">
        <v>1.2</v>
      </c>
      <c r="EK312" s="9">
        <v>-1.2</v>
      </c>
      <c r="EL312" s="9">
        <v>-1.5</v>
      </c>
      <c r="EM312" s="9">
        <v>3.2</v>
      </c>
      <c r="EN312" s="9">
        <v>-12.2</v>
      </c>
      <c r="EO312" s="9">
        <v>-1.4</v>
      </c>
      <c r="EP312" s="9">
        <v>-0.3</v>
      </c>
      <c r="EQ312" s="9">
        <v>2.4</v>
      </c>
      <c r="ER312" s="9">
        <v>0.6</v>
      </c>
      <c r="ES312" s="9">
        <v>1.3</v>
      </c>
      <c r="ET312" s="9">
        <v>-0.5</v>
      </c>
      <c r="EU312" s="9">
        <v>0.8</v>
      </c>
      <c r="EV312" s="9">
        <v>-1.2</v>
      </c>
      <c r="EW312" s="9">
        <v>-1.1000000000000001</v>
      </c>
      <c r="EX312" s="9">
        <v>-1.2</v>
      </c>
      <c r="EY312" s="9">
        <v>1.9</v>
      </c>
      <c r="EZ312" s="9">
        <v>3.4</v>
      </c>
      <c r="FA312" s="9">
        <v>1.7</v>
      </c>
      <c r="FB312" s="9">
        <v>0.3</v>
      </c>
      <c r="FC312" s="9">
        <v>1.3</v>
      </c>
      <c r="FD312" s="9">
        <v>2.2000000000000002</v>
      </c>
      <c r="FE312" s="9">
        <v>2.2000000000000002</v>
      </c>
      <c r="FF312" s="9">
        <v>0.4</v>
      </c>
      <c r="FG312" s="9">
        <v>1.1000000000000001</v>
      </c>
      <c r="FH312" s="9">
        <v>0.2</v>
      </c>
      <c r="FI312" s="9">
        <v>0.9</v>
      </c>
      <c r="FJ312" s="9">
        <v>0.7</v>
      </c>
      <c r="FK312" s="9">
        <v>1.1000000000000001</v>
      </c>
      <c r="FL312" s="9">
        <v>2.8</v>
      </c>
      <c r="FM312" s="9">
        <v>0.6</v>
      </c>
      <c r="FN312" s="9">
        <v>-0.4</v>
      </c>
      <c r="FO312" s="9">
        <v>-0.2</v>
      </c>
      <c r="FP312" s="9">
        <v>1.7</v>
      </c>
      <c r="FQ312" s="9">
        <v>7</v>
      </c>
      <c r="FR312" s="9">
        <v>7</v>
      </c>
      <c r="FS312" s="9">
        <v>0.6</v>
      </c>
      <c r="FT312" s="9">
        <v>1.8</v>
      </c>
      <c r="FU312" s="9">
        <v>1.6</v>
      </c>
      <c r="FV312" s="9">
        <v>2.2000000000000002</v>
      </c>
      <c r="FW312" s="9">
        <v>0.9</v>
      </c>
      <c r="FX312" s="9">
        <v>-0.6</v>
      </c>
      <c r="FY312" s="9">
        <v>-1.2</v>
      </c>
      <c r="FZ312" s="9">
        <v>-0.6</v>
      </c>
      <c r="GA312" s="9">
        <v>-0.1</v>
      </c>
      <c r="GB312" s="9">
        <v>-1.4</v>
      </c>
      <c r="GC312" s="9">
        <v>-1.7</v>
      </c>
      <c r="GD312" s="9">
        <v>2.2000000000000002</v>
      </c>
      <c r="GE312" s="9">
        <v>1</v>
      </c>
      <c r="GF312" s="9">
        <v>0.9</v>
      </c>
      <c r="GG312" s="9">
        <v>0.9</v>
      </c>
      <c r="GH312" s="9">
        <v>1.5</v>
      </c>
      <c r="GI312" s="9">
        <v>1.5</v>
      </c>
      <c r="GJ312" s="9">
        <v>0.7</v>
      </c>
      <c r="GK312" s="9">
        <v>1.1000000000000001</v>
      </c>
      <c r="GL312" s="9">
        <v>0</v>
      </c>
      <c r="GM312" s="9">
        <v>0.6</v>
      </c>
      <c r="GN312" s="9">
        <v>0</v>
      </c>
      <c r="GO312" s="9">
        <v>1.4</v>
      </c>
      <c r="GP312" s="9">
        <v>-1</v>
      </c>
      <c r="GQ312" s="9">
        <v>-1</v>
      </c>
      <c r="GR312" s="9">
        <v>-3.5</v>
      </c>
      <c r="GS312" s="9">
        <v>-4.2</v>
      </c>
      <c r="GT312" s="9">
        <v>0</v>
      </c>
      <c r="GU312" s="9">
        <v>-5.3</v>
      </c>
      <c r="GV312" s="9">
        <v>-5.3</v>
      </c>
      <c r="GW312" s="9">
        <v>-1.1000000000000001</v>
      </c>
      <c r="GX312" s="9">
        <v>-3.1</v>
      </c>
      <c r="GY312" s="9">
        <v>1.3</v>
      </c>
      <c r="GZ312" s="9">
        <v>-2.7</v>
      </c>
      <c r="HA312" s="9">
        <v>0.6</v>
      </c>
      <c r="HB312" s="9">
        <v>-1.1000000000000001</v>
      </c>
      <c r="HC312" s="9">
        <v>1.1000000000000001</v>
      </c>
      <c r="HD312" s="9">
        <v>-0.9</v>
      </c>
      <c r="HE312" s="9">
        <v>-1.7</v>
      </c>
      <c r="HF312" s="9">
        <v>1.8</v>
      </c>
      <c r="HG312" s="9">
        <v>3.2</v>
      </c>
      <c r="HH312" s="9">
        <v>1.7</v>
      </c>
      <c r="HI312" s="9">
        <v>0.5</v>
      </c>
      <c r="HJ312" s="9">
        <v>0.6</v>
      </c>
      <c r="HK312" s="9">
        <v>-1.6</v>
      </c>
      <c r="HL312" s="9">
        <v>-1.7</v>
      </c>
      <c r="HM312" s="9">
        <v>-1</v>
      </c>
      <c r="HN312" s="9">
        <v>1.1000000000000001</v>
      </c>
      <c r="HO312" s="9">
        <v>1.2</v>
      </c>
      <c r="HP312" s="9">
        <v>0.1</v>
      </c>
      <c r="HQ312" s="9">
        <v>-0.1</v>
      </c>
      <c r="HR312" s="9">
        <v>-0.2</v>
      </c>
      <c r="HS312" s="9">
        <v>-0.5</v>
      </c>
      <c r="HT312" s="9">
        <v>-3.4</v>
      </c>
      <c r="HU312" s="9">
        <v>-0.2</v>
      </c>
      <c r="HV312" s="9">
        <v>1.4</v>
      </c>
      <c r="HW312" s="9">
        <v>0.6</v>
      </c>
      <c r="HX312" s="9">
        <v>1.6</v>
      </c>
      <c r="HY312" s="9">
        <v>1.6</v>
      </c>
      <c r="HZ312" s="9">
        <v>0.3</v>
      </c>
      <c r="IA312" s="9">
        <v>0.3</v>
      </c>
      <c r="IB312" s="9">
        <v>2.2000000000000002</v>
      </c>
      <c r="IC312" s="9">
        <v>0.2</v>
      </c>
      <c r="ID312" s="9">
        <v>0.4</v>
      </c>
      <c r="IE312" s="9">
        <v>-0.4</v>
      </c>
      <c r="IF312" s="9">
        <v>-0.8</v>
      </c>
      <c r="IG312" s="9">
        <v>0.3</v>
      </c>
      <c r="IH312" s="9">
        <v>-0.3</v>
      </c>
      <c r="II312" s="9">
        <v>-1.8</v>
      </c>
      <c r="IJ312" s="9">
        <v>0.2</v>
      </c>
      <c r="IK312" s="9">
        <v>1</v>
      </c>
      <c r="IL312" s="9">
        <v>3.9</v>
      </c>
      <c r="IM312" s="9">
        <v>-1.5</v>
      </c>
      <c r="IN312" s="9">
        <v>0</v>
      </c>
      <c r="IO312" s="9">
        <v>-1</v>
      </c>
      <c r="IP312" s="9">
        <v>-2.4</v>
      </c>
      <c r="IQ312" s="9">
        <v>-0.7</v>
      </c>
    </row>
    <row r="313" spans="1:251" x14ac:dyDescent="0.2">
      <c r="A313" s="10">
        <v>45352</v>
      </c>
      <c r="B313" s="8">
        <v>95.41</v>
      </c>
      <c r="C313" s="8">
        <v>95.37</v>
      </c>
      <c r="D313" s="8">
        <v>97.95</v>
      </c>
      <c r="E313" s="8">
        <v>98.41</v>
      </c>
      <c r="F313" s="8">
        <v>96.66</v>
      </c>
      <c r="G313" s="8">
        <v>99.45</v>
      </c>
      <c r="H313" s="8">
        <v>100.25</v>
      </c>
      <c r="I313" s="8">
        <v>94.24</v>
      </c>
      <c r="J313" s="8">
        <v>91.5</v>
      </c>
      <c r="K313" s="8">
        <v>96.94</v>
      </c>
      <c r="L313" s="8">
        <v>75.209999999999994</v>
      </c>
      <c r="M313" s="8">
        <v>98.5</v>
      </c>
      <c r="N313" s="8">
        <v>99.54</v>
      </c>
      <c r="O313" s="8">
        <v>99.2</v>
      </c>
      <c r="P313" s="8">
        <v>98.34</v>
      </c>
      <c r="Q313" s="8">
        <v>97.78</v>
      </c>
      <c r="R313" s="8">
        <v>100.9</v>
      </c>
      <c r="S313" s="8">
        <v>96.42</v>
      </c>
      <c r="T313" s="8">
        <v>94.67</v>
      </c>
      <c r="U313" s="8">
        <v>90.21</v>
      </c>
      <c r="V313" s="8">
        <v>97.98</v>
      </c>
      <c r="W313" s="8">
        <v>95.22</v>
      </c>
      <c r="X313" s="8">
        <v>84.21</v>
      </c>
      <c r="Y313" s="8">
        <v>96.75</v>
      </c>
      <c r="Z313" s="8">
        <v>98.7</v>
      </c>
      <c r="AA313" s="8">
        <v>95.2</v>
      </c>
      <c r="AB313" s="8">
        <v>92.95</v>
      </c>
      <c r="AC313" s="8">
        <v>100.19</v>
      </c>
      <c r="AD313" s="8">
        <v>94.95</v>
      </c>
      <c r="AE313" s="8">
        <v>86.4</v>
      </c>
      <c r="AF313" s="8">
        <v>97.58</v>
      </c>
      <c r="AG313" s="8">
        <v>95.05</v>
      </c>
      <c r="AH313" s="8">
        <v>95.35</v>
      </c>
      <c r="AI313" s="8">
        <v>94.68</v>
      </c>
      <c r="AJ313" s="8">
        <v>91.01</v>
      </c>
      <c r="AK313" s="8">
        <v>95.45</v>
      </c>
      <c r="AL313" s="8">
        <v>95.35</v>
      </c>
      <c r="AM313" s="8">
        <v>96.71</v>
      </c>
      <c r="AN313" s="8">
        <v>94.51</v>
      </c>
      <c r="AO313" s="8">
        <v>81.73</v>
      </c>
      <c r="AP313" s="8">
        <v>81.73</v>
      </c>
      <c r="AQ313" s="8">
        <v>95.31</v>
      </c>
      <c r="AR313" s="8">
        <v>98.45</v>
      </c>
      <c r="AS313" s="8">
        <v>104.22</v>
      </c>
      <c r="AT313" s="8">
        <v>96.88</v>
      </c>
      <c r="AU313" s="8">
        <v>94.71</v>
      </c>
      <c r="AV313" s="8">
        <v>95.93</v>
      </c>
      <c r="AW313" s="8">
        <v>98.39</v>
      </c>
      <c r="AX313" s="8">
        <v>95.28</v>
      </c>
      <c r="AY313" s="8">
        <v>94.86</v>
      </c>
      <c r="AZ313" s="8">
        <v>87.61</v>
      </c>
      <c r="BA313" s="8">
        <v>87</v>
      </c>
      <c r="BB313" s="8">
        <v>94.67</v>
      </c>
      <c r="BC313" s="8">
        <v>94.19</v>
      </c>
      <c r="BD313" s="8">
        <v>92.7</v>
      </c>
      <c r="BE313" s="8">
        <v>92.7</v>
      </c>
      <c r="BF313" s="8">
        <v>96.54</v>
      </c>
      <c r="BG313" s="8">
        <v>96.54</v>
      </c>
      <c r="BH313" s="8">
        <v>91.54</v>
      </c>
      <c r="BI313" s="8">
        <v>95.66</v>
      </c>
      <c r="BJ313" s="8">
        <v>86.16</v>
      </c>
      <c r="BK313" s="8">
        <v>94.85</v>
      </c>
      <c r="BL313" s="8">
        <v>94.74</v>
      </c>
      <c r="BM313" s="8">
        <v>98.26</v>
      </c>
      <c r="BN313" s="8">
        <v>88.73</v>
      </c>
      <c r="BO313" s="8">
        <v>97.28</v>
      </c>
      <c r="BP313" s="8">
        <v>95.36</v>
      </c>
      <c r="BQ313" s="8">
        <v>94.5</v>
      </c>
      <c r="BR313" s="8">
        <v>99.04</v>
      </c>
      <c r="BS313" s="8">
        <v>96.8</v>
      </c>
      <c r="BT313" s="8">
        <v>96.8</v>
      </c>
      <c r="BU313" s="8">
        <v>102.2</v>
      </c>
      <c r="BV313" s="8">
        <v>100.23</v>
      </c>
      <c r="BW313" s="8">
        <v>102.03</v>
      </c>
      <c r="BX313" s="8">
        <v>104.95</v>
      </c>
      <c r="BY313" s="8">
        <v>101.52</v>
      </c>
      <c r="BZ313" s="8">
        <v>100.11</v>
      </c>
      <c r="CA313" s="8">
        <v>100.32</v>
      </c>
      <c r="CB313" s="8">
        <v>99.36</v>
      </c>
      <c r="CC313" s="8">
        <v>100.59</v>
      </c>
      <c r="CD313" s="8">
        <v>93.75</v>
      </c>
      <c r="CE313" s="8">
        <v>90.58</v>
      </c>
      <c r="CF313" s="8">
        <v>94.61</v>
      </c>
      <c r="CG313" s="8">
        <v>96.22</v>
      </c>
      <c r="CH313" s="8">
        <v>94.73</v>
      </c>
      <c r="CI313" s="8">
        <v>101.74</v>
      </c>
      <c r="CJ313" s="8">
        <v>102.62</v>
      </c>
      <c r="CK313" s="8">
        <v>95.95</v>
      </c>
      <c r="CL313" s="8">
        <v>93.37</v>
      </c>
      <c r="CM313" s="8">
        <v>93.16</v>
      </c>
      <c r="CN313" s="8">
        <v>95.19</v>
      </c>
      <c r="CO313" s="8">
        <v>100.38</v>
      </c>
      <c r="CP313" s="8">
        <v>100.39</v>
      </c>
      <c r="CQ313" s="8">
        <v>101.2</v>
      </c>
      <c r="CR313" s="8">
        <v>97.86</v>
      </c>
      <c r="CS313" s="8">
        <v>106.38</v>
      </c>
      <c r="CT313" s="8">
        <v>93.76</v>
      </c>
      <c r="CU313" s="8">
        <v>94.97</v>
      </c>
      <c r="CV313" s="8">
        <v>100.32</v>
      </c>
      <c r="CW313" s="8">
        <v>100.32</v>
      </c>
      <c r="CX313" s="8">
        <v>98.3</v>
      </c>
      <c r="CY313" s="8">
        <v>98.3</v>
      </c>
      <c r="CZ313" s="8">
        <v>95.82</v>
      </c>
      <c r="DA313" s="8">
        <v>98.42</v>
      </c>
      <c r="DB313" s="8">
        <v>95.12</v>
      </c>
      <c r="DC313" s="8">
        <v>94.17</v>
      </c>
      <c r="DD313" s="8">
        <v>103.32</v>
      </c>
      <c r="DE313" s="8">
        <v>84.45</v>
      </c>
      <c r="DF313" s="8">
        <v>96.06</v>
      </c>
      <c r="DG313" s="8">
        <v>102.2</v>
      </c>
      <c r="DH313" s="8">
        <v>93.76</v>
      </c>
      <c r="DI313" s="8">
        <v>93.45</v>
      </c>
      <c r="DJ313" s="8">
        <v>97.65</v>
      </c>
      <c r="DK313" s="8">
        <v>88.7</v>
      </c>
      <c r="DL313" s="8">
        <v>97.91</v>
      </c>
      <c r="DM313" s="8">
        <v>101.73</v>
      </c>
      <c r="DN313" s="8">
        <v>102.65</v>
      </c>
      <c r="DO313" s="8">
        <v>101.73</v>
      </c>
      <c r="DP313" s="8">
        <v>91.91</v>
      </c>
      <c r="DQ313" s="8">
        <v>92.54</v>
      </c>
      <c r="DR313" s="8">
        <v>100.19</v>
      </c>
      <c r="DS313" s="8">
        <v>94.4</v>
      </c>
      <c r="DT313" s="8">
        <v>94.4</v>
      </c>
      <c r="DU313" s="8">
        <v>91.91</v>
      </c>
      <c r="DV313" s="8">
        <v>94.04</v>
      </c>
      <c r="DW313" s="8">
        <v>96.19</v>
      </c>
      <c r="DX313" s="8">
        <v>94.94</v>
      </c>
      <c r="DY313" s="8">
        <v>91.99</v>
      </c>
      <c r="DZ313" s="8">
        <v>91.99</v>
      </c>
      <c r="EA313" s="8">
        <v>95.84</v>
      </c>
      <c r="EB313" s="8">
        <v>95.98</v>
      </c>
      <c r="EC313" s="8">
        <v>95.84</v>
      </c>
      <c r="ED313" s="9">
        <v>0.9</v>
      </c>
      <c r="EE313" s="9">
        <v>0.9</v>
      </c>
      <c r="EF313" s="9">
        <v>0.6</v>
      </c>
      <c r="EG313" s="9">
        <v>0.8</v>
      </c>
      <c r="EH313" s="9">
        <v>1</v>
      </c>
      <c r="EI313" s="9">
        <v>-2.2999999999999998</v>
      </c>
      <c r="EJ313" s="9">
        <v>0.5</v>
      </c>
      <c r="EK313" s="9">
        <v>-0.8</v>
      </c>
      <c r="EL313" s="9">
        <v>-1.6</v>
      </c>
      <c r="EM313" s="9">
        <v>0.6</v>
      </c>
      <c r="EN313" s="9">
        <v>-0.8</v>
      </c>
      <c r="EO313" s="9">
        <v>0.2</v>
      </c>
      <c r="EP313" s="9">
        <v>-1.3</v>
      </c>
      <c r="EQ313" s="9">
        <v>-1.5</v>
      </c>
      <c r="ER313" s="9">
        <v>-0.3</v>
      </c>
      <c r="ES313" s="9">
        <v>-0.2</v>
      </c>
      <c r="ET313" s="9">
        <v>-0.1</v>
      </c>
      <c r="EU313" s="9">
        <v>-0.9</v>
      </c>
      <c r="EV313" s="9">
        <v>2.5</v>
      </c>
      <c r="EW313" s="9">
        <v>-3.3</v>
      </c>
      <c r="EX313" s="9">
        <v>6.9</v>
      </c>
      <c r="EY313" s="9">
        <v>1.9</v>
      </c>
      <c r="EZ313" s="9">
        <v>0.2</v>
      </c>
      <c r="FA313" s="9">
        <v>0.1</v>
      </c>
      <c r="FB313" s="9">
        <v>1.5</v>
      </c>
      <c r="FC313" s="9">
        <v>2.4</v>
      </c>
      <c r="FD313" s="9">
        <v>3.2</v>
      </c>
      <c r="FE313" s="9">
        <v>0.4</v>
      </c>
      <c r="FF313" s="9">
        <v>3.4</v>
      </c>
      <c r="FG313" s="9">
        <v>0.5</v>
      </c>
      <c r="FH313" s="9">
        <v>4.2</v>
      </c>
      <c r="FI313" s="9">
        <v>0.5</v>
      </c>
      <c r="FJ313" s="9">
        <v>0.5</v>
      </c>
      <c r="FK313" s="9">
        <v>0.5</v>
      </c>
      <c r="FL313" s="9">
        <v>0.9</v>
      </c>
      <c r="FM313" s="9">
        <v>0.7</v>
      </c>
      <c r="FN313" s="9">
        <v>1</v>
      </c>
      <c r="FO313" s="9">
        <v>0</v>
      </c>
      <c r="FP313" s="9">
        <v>1.2</v>
      </c>
      <c r="FQ313" s="9">
        <v>1.2</v>
      </c>
      <c r="FR313" s="9">
        <v>1.2</v>
      </c>
      <c r="FS313" s="9">
        <v>-1.2</v>
      </c>
      <c r="FT313" s="9">
        <v>-0.5</v>
      </c>
      <c r="FU313" s="9">
        <v>0.9</v>
      </c>
      <c r="FV313" s="9">
        <v>-0.2</v>
      </c>
      <c r="FW313" s="9">
        <v>-3.9</v>
      </c>
      <c r="FX313" s="9">
        <v>-2.6</v>
      </c>
      <c r="FY313" s="9">
        <v>-0.4</v>
      </c>
      <c r="FZ313" s="9">
        <v>-3</v>
      </c>
      <c r="GA313" s="9">
        <v>-4.5</v>
      </c>
      <c r="GB313" s="9">
        <v>-1.9</v>
      </c>
      <c r="GC313" s="9">
        <v>-2.2000000000000002</v>
      </c>
      <c r="GD313" s="9">
        <v>0.9</v>
      </c>
      <c r="GE313" s="9">
        <v>0.8</v>
      </c>
      <c r="GF313" s="9">
        <v>2.1</v>
      </c>
      <c r="GG313" s="9">
        <v>2.1</v>
      </c>
      <c r="GH313" s="9">
        <v>1.1000000000000001</v>
      </c>
      <c r="GI313" s="9">
        <v>1.1000000000000001</v>
      </c>
      <c r="GJ313" s="9">
        <v>0.2</v>
      </c>
      <c r="GK313" s="9">
        <v>0.3</v>
      </c>
      <c r="GL313" s="9">
        <v>0</v>
      </c>
      <c r="GM313" s="9">
        <v>-1.3</v>
      </c>
      <c r="GN313" s="9">
        <v>0</v>
      </c>
      <c r="GO313" s="9">
        <v>-1.7</v>
      </c>
      <c r="GP313" s="9">
        <v>-1.5</v>
      </c>
      <c r="GQ313" s="9">
        <v>-0.1</v>
      </c>
      <c r="GR313" s="9">
        <v>-4.5</v>
      </c>
      <c r="GS313" s="9">
        <v>-5.6</v>
      </c>
      <c r="GT313" s="9">
        <v>0.4</v>
      </c>
      <c r="GU313" s="9">
        <v>-0.2</v>
      </c>
      <c r="GV313" s="9">
        <v>-0.2</v>
      </c>
      <c r="GW313" s="9">
        <v>-0.4</v>
      </c>
      <c r="GX313" s="9">
        <v>1.1000000000000001</v>
      </c>
      <c r="GY313" s="9">
        <v>-4.5</v>
      </c>
      <c r="GZ313" s="9">
        <v>0.6</v>
      </c>
      <c r="HA313" s="9">
        <v>0.2</v>
      </c>
      <c r="HB313" s="9">
        <v>0.7</v>
      </c>
      <c r="HC313" s="9">
        <v>-0.9</v>
      </c>
      <c r="HD313" s="9">
        <v>1.4</v>
      </c>
      <c r="HE313" s="9">
        <v>0.5</v>
      </c>
      <c r="HF313" s="9">
        <v>2.1</v>
      </c>
      <c r="HG313" s="9">
        <v>3.8</v>
      </c>
      <c r="HH313" s="9">
        <v>2.1</v>
      </c>
      <c r="HI313" s="9">
        <v>0.1</v>
      </c>
      <c r="HJ313" s="9">
        <v>2.8</v>
      </c>
      <c r="HK313" s="9">
        <v>6.2</v>
      </c>
      <c r="HL313" s="9">
        <v>7.1</v>
      </c>
      <c r="HM313" s="9">
        <v>0.6</v>
      </c>
      <c r="HN313" s="9">
        <v>2.1</v>
      </c>
      <c r="HO313" s="9">
        <v>2.2999999999999998</v>
      </c>
      <c r="HP313" s="9">
        <v>1.1000000000000001</v>
      </c>
      <c r="HQ313" s="9">
        <v>0.5</v>
      </c>
      <c r="HR313" s="9">
        <v>0.6</v>
      </c>
      <c r="HS313" s="9">
        <v>1</v>
      </c>
      <c r="HT313" s="9">
        <v>3.1</v>
      </c>
      <c r="HU313" s="9">
        <v>-1</v>
      </c>
      <c r="HV313" s="9">
        <v>1.1000000000000001</v>
      </c>
      <c r="HW313" s="9">
        <v>1.3</v>
      </c>
      <c r="HX313" s="9">
        <v>0.3</v>
      </c>
      <c r="HY313" s="9">
        <v>0.3</v>
      </c>
      <c r="HZ313" s="9">
        <v>-0.3</v>
      </c>
      <c r="IA313" s="9">
        <v>-0.3</v>
      </c>
      <c r="IB313" s="9">
        <v>0.9</v>
      </c>
      <c r="IC313" s="9">
        <v>-0.4</v>
      </c>
      <c r="ID313" s="9">
        <v>-0.1</v>
      </c>
      <c r="IE313" s="9">
        <v>1.6</v>
      </c>
      <c r="IF313" s="9">
        <v>1.3</v>
      </c>
      <c r="IG313" s="9">
        <v>2</v>
      </c>
      <c r="IH313" s="9">
        <v>2.2000000000000002</v>
      </c>
      <c r="II313" s="9">
        <v>2.1</v>
      </c>
      <c r="IJ313" s="9">
        <v>2.2000000000000002</v>
      </c>
      <c r="IK313" s="9">
        <v>-2</v>
      </c>
      <c r="IL313" s="9">
        <v>1.3</v>
      </c>
      <c r="IM313" s="9">
        <v>-5.9</v>
      </c>
      <c r="IN313" s="9">
        <v>1.7</v>
      </c>
      <c r="IO313" s="9">
        <v>1.6</v>
      </c>
      <c r="IP313" s="9">
        <v>1.2</v>
      </c>
      <c r="IQ313" s="9">
        <v>1.6</v>
      </c>
    </row>
    <row r="314" spans="1:251" x14ac:dyDescent="0.2">
      <c r="A314" s="10">
        <v>45444</v>
      </c>
      <c r="B314" s="8">
        <v>96.41</v>
      </c>
      <c r="C314" s="8">
        <v>96.49</v>
      </c>
      <c r="D314" s="8">
        <v>97.61</v>
      </c>
      <c r="E314" s="8">
        <v>98.54</v>
      </c>
      <c r="F314" s="8">
        <v>96.07</v>
      </c>
      <c r="G314" s="8">
        <v>98.28</v>
      </c>
      <c r="H314" s="8">
        <v>99.77</v>
      </c>
      <c r="I314" s="8">
        <v>95.49</v>
      </c>
      <c r="J314" s="8">
        <v>92.06</v>
      </c>
      <c r="K314" s="8">
        <v>96.86</v>
      </c>
      <c r="L314" s="8">
        <v>80.66</v>
      </c>
      <c r="M314" s="8">
        <v>99.17</v>
      </c>
      <c r="N314" s="8">
        <v>100.27</v>
      </c>
      <c r="O314" s="8">
        <v>100.37</v>
      </c>
      <c r="P314" s="8">
        <v>98.18</v>
      </c>
      <c r="Q314" s="8">
        <v>97.59</v>
      </c>
      <c r="R314" s="8">
        <v>100.12</v>
      </c>
      <c r="S314" s="8">
        <v>96.95</v>
      </c>
      <c r="T314" s="8">
        <v>100.63</v>
      </c>
      <c r="U314" s="8">
        <v>99.77</v>
      </c>
      <c r="V314" s="8">
        <v>101.21</v>
      </c>
      <c r="W314" s="8">
        <v>95.13</v>
      </c>
      <c r="X314" s="8">
        <v>84.71</v>
      </c>
      <c r="Y314" s="8">
        <v>96.07</v>
      </c>
      <c r="Z314" s="8">
        <v>98.37</v>
      </c>
      <c r="AA314" s="8">
        <v>99.75</v>
      </c>
      <c r="AB314" s="8">
        <v>92.67</v>
      </c>
      <c r="AC314" s="8">
        <v>98.16</v>
      </c>
      <c r="AD314" s="8">
        <v>95.96</v>
      </c>
      <c r="AE314" s="8">
        <v>85.47</v>
      </c>
      <c r="AF314" s="8">
        <v>99.19</v>
      </c>
      <c r="AG314" s="8">
        <v>95.65</v>
      </c>
      <c r="AH314" s="8">
        <v>96.07</v>
      </c>
      <c r="AI314" s="8">
        <v>95.14</v>
      </c>
      <c r="AJ314" s="8">
        <v>92.33</v>
      </c>
      <c r="AK314" s="8">
        <v>96.14</v>
      </c>
      <c r="AL314" s="8">
        <v>95.88</v>
      </c>
      <c r="AM314" s="8">
        <v>97.79</v>
      </c>
      <c r="AN314" s="8">
        <v>94.95</v>
      </c>
      <c r="AO314" s="8">
        <v>84.22</v>
      </c>
      <c r="AP314" s="8">
        <v>84.22</v>
      </c>
      <c r="AQ314" s="8">
        <v>98.24</v>
      </c>
      <c r="AR314" s="8">
        <v>101.13</v>
      </c>
      <c r="AS314" s="8">
        <v>104.44</v>
      </c>
      <c r="AT314" s="8">
        <v>99.58</v>
      </c>
      <c r="AU314" s="8">
        <v>101.14</v>
      </c>
      <c r="AV314" s="8">
        <v>99.97</v>
      </c>
      <c r="AW314" s="8">
        <v>100.89</v>
      </c>
      <c r="AX314" s="8">
        <v>99.33</v>
      </c>
      <c r="AY314" s="8">
        <v>101.35</v>
      </c>
      <c r="AZ314" s="8">
        <v>90.54</v>
      </c>
      <c r="BA314" s="8">
        <v>90.13</v>
      </c>
      <c r="BB314" s="8">
        <v>95.24</v>
      </c>
      <c r="BC314" s="8">
        <v>95.28</v>
      </c>
      <c r="BD314" s="8">
        <v>94.5</v>
      </c>
      <c r="BE314" s="8">
        <v>94.5</v>
      </c>
      <c r="BF314" s="8">
        <v>97.6</v>
      </c>
      <c r="BG314" s="8">
        <v>97.6</v>
      </c>
      <c r="BH314" s="8">
        <v>91.81</v>
      </c>
      <c r="BI314" s="8">
        <v>96.14</v>
      </c>
      <c r="BJ314" s="8">
        <v>86.16</v>
      </c>
      <c r="BK314" s="8">
        <v>95.61</v>
      </c>
      <c r="BL314" s="8">
        <v>94.74</v>
      </c>
      <c r="BM314" s="8">
        <v>100.32</v>
      </c>
      <c r="BN314" s="8">
        <v>87.28</v>
      </c>
      <c r="BO314" s="8">
        <v>98.11</v>
      </c>
      <c r="BP314" s="8">
        <v>98.03</v>
      </c>
      <c r="BQ314" s="8">
        <v>97.65</v>
      </c>
      <c r="BR314" s="8">
        <v>99.58</v>
      </c>
      <c r="BS314" s="8">
        <v>97.82</v>
      </c>
      <c r="BT314" s="8">
        <v>97.82</v>
      </c>
      <c r="BU314" s="8">
        <v>102.08</v>
      </c>
      <c r="BV314" s="8">
        <v>101.03</v>
      </c>
      <c r="BW314" s="8">
        <v>103.16</v>
      </c>
      <c r="BX314" s="8">
        <v>103.03</v>
      </c>
      <c r="BY314" s="8">
        <v>101.29</v>
      </c>
      <c r="BZ314" s="8">
        <v>100.35</v>
      </c>
      <c r="CA314" s="8">
        <v>99.2</v>
      </c>
      <c r="CB314" s="8">
        <v>99.04</v>
      </c>
      <c r="CC314" s="8">
        <v>101.46</v>
      </c>
      <c r="CD314" s="8">
        <v>94.46</v>
      </c>
      <c r="CE314" s="8">
        <v>91.82</v>
      </c>
      <c r="CF314" s="8">
        <v>95.33</v>
      </c>
      <c r="CG314" s="8">
        <v>96.25</v>
      </c>
      <c r="CH314" s="8">
        <v>96.12</v>
      </c>
      <c r="CI314" s="8">
        <v>101.26</v>
      </c>
      <c r="CJ314" s="8">
        <v>101.96</v>
      </c>
      <c r="CK314" s="8">
        <v>96.73</v>
      </c>
      <c r="CL314" s="8">
        <v>95.14</v>
      </c>
      <c r="CM314" s="8">
        <v>95.08</v>
      </c>
      <c r="CN314" s="8">
        <v>95.7</v>
      </c>
      <c r="CO314" s="8">
        <v>101.26</v>
      </c>
      <c r="CP314" s="8">
        <v>101.27</v>
      </c>
      <c r="CQ314" s="8">
        <v>100.86</v>
      </c>
      <c r="CR314" s="8">
        <v>98.96</v>
      </c>
      <c r="CS314" s="8">
        <v>108.29</v>
      </c>
      <c r="CT314" s="8">
        <v>95.1</v>
      </c>
      <c r="CU314" s="8">
        <v>95.27</v>
      </c>
      <c r="CV314" s="8">
        <v>101.08</v>
      </c>
      <c r="CW314" s="8">
        <v>101.08</v>
      </c>
      <c r="CX314" s="8">
        <v>97.57</v>
      </c>
      <c r="CY314" s="8">
        <v>97.57</v>
      </c>
      <c r="CZ314" s="8">
        <v>94.59</v>
      </c>
      <c r="DA314" s="8">
        <v>97.72</v>
      </c>
      <c r="DB314" s="8">
        <v>95.55</v>
      </c>
      <c r="DC314" s="8">
        <v>95.08</v>
      </c>
      <c r="DD314" s="8">
        <v>102.17</v>
      </c>
      <c r="DE314" s="8">
        <v>87.61</v>
      </c>
      <c r="DF314" s="8">
        <v>96.44</v>
      </c>
      <c r="DG314" s="8">
        <v>103.11</v>
      </c>
      <c r="DH314" s="8">
        <v>93.95</v>
      </c>
      <c r="DI314" s="8">
        <v>94.28</v>
      </c>
      <c r="DJ314" s="8">
        <v>92.94</v>
      </c>
      <c r="DK314" s="8">
        <v>95.9</v>
      </c>
      <c r="DL314" s="8">
        <v>97.53</v>
      </c>
      <c r="DM314" s="8">
        <v>101.14</v>
      </c>
      <c r="DN314" s="8">
        <v>98.19</v>
      </c>
      <c r="DO314" s="8">
        <v>100.94</v>
      </c>
      <c r="DP314" s="8">
        <v>93.61</v>
      </c>
      <c r="DQ314" s="8">
        <v>93.4</v>
      </c>
      <c r="DR314" s="8">
        <v>100.37</v>
      </c>
      <c r="DS314" s="8">
        <v>94.58</v>
      </c>
      <c r="DT314" s="8">
        <v>94.58</v>
      </c>
      <c r="DU314" s="8">
        <v>92.83</v>
      </c>
      <c r="DV314" s="8">
        <v>94.04</v>
      </c>
      <c r="DW314" s="8">
        <v>96.19</v>
      </c>
      <c r="DX314" s="8">
        <v>96.13</v>
      </c>
      <c r="DY314" s="8">
        <v>94.79</v>
      </c>
      <c r="DZ314" s="8">
        <v>94.79</v>
      </c>
      <c r="EA314" s="8">
        <v>96.54</v>
      </c>
      <c r="EB314" s="8">
        <v>96.68</v>
      </c>
      <c r="EC314" s="8">
        <v>96.53</v>
      </c>
      <c r="ED314" s="9">
        <v>1</v>
      </c>
      <c r="EE314" s="9">
        <v>1.2</v>
      </c>
      <c r="EF314" s="9">
        <v>-0.3</v>
      </c>
      <c r="EG314" s="9">
        <v>0.1</v>
      </c>
      <c r="EH314" s="9">
        <v>-0.6</v>
      </c>
      <c r="EI314" s="9">
        <v>-1.2</v>
      </c>
      <c r="EJ314" s="9">
        <v>-0.5</v>
      </c>
      <c r="EK314" s="9">
        <v>1.3</v>
      </c>
      <c r="EL314" s="9">
        <v>0.6</v>
      </c>
      <c r="EM314" s="9">
        <v>-0.1</v>
      </c>
      <c r="EN314" s="9">
        <v>7.2</v>
      </c>
      <c r="EO314" s="9">
        <v>0.7</v>
      </c>
      <c r="EP314" s="9">
        <v>0.7</v>
      </c>
      <c r="EQ314" s="9">
        <v>1.2</v>
      </c>
      <c r="ER314" s="9">
        <v>-0.2</v>
      </c>
      <c r="ES314" s="9">
        <v>-0.2</v>
      </c>
      <c r="ET314" s="9">
        <v>-0.8</v>
      </c>
      <c r="EU314" s="9">
        <v>0.5</v>
      </c>
      <c r="EV314" s="9">
        <v>6.3</v>
      </c>
      <c r="EW314" s="9">
        <v>10.6</v>
      </c>
      <c r="EX314" s="9">
        <v>3.3</v>
      </c>
      <c r="EY314" s="9">
        <v>-0.1</v>
      </c>
      <c r="EZ314" s="9">
        <v>0.6</v>
      </c>
      <c r="FA314" s="9">
        <v>-0.7</v>
      </c>
      <c r="FB314" s="9">
        <v>-0.3</v>
      </c>
      <c r="FC314" s="9">
        <v>4.8</v>
      </c>
      <c r="FD314" s="9">
        <v>-0.3</v>
      </c>
      <c r="FE314" s="9">
        <v>-2</v>
      </c>
      <c r="FF314" s="9">
        <v>1.1000000000000001</v>
      </c>
      <c r="FG314" s="9">
        <v>-1.1000000000000001</v>
      </c>
      <c r="FH314" s="9">
        <v>1.6</v>
      </c>
      <c r="FI314" s="9">
        <v>0.6</v>
      </c>
      <c r="FJ314" s="9">
        <v>0.8</v>
      </c>
      <c r="FK314" s="9">
        <v>0.5</v>
      </c>
      <c r="FL314" s="9">
        <v>1.5</v>
      </c>
      <c r="FM314" s="9">
        <v>0.7</v>
      </c>
      <c r="FN314" s="9">
        <v>0.6</v>
      </c>
      <c r="FO314" s="9">
        <v>1.1000000000000001</v>
      </c>
      <c r="FP314" s="9">
        <v>0.5</v>
      </c>
      <c r="FQ314" s="9">
        <v>3</v>
      </c>
      <c r="FR314" s="9">
        <v>3</v>
      </c>
      <c r="FS314" s="9">
        <v>3.1</v>
      </c>
      <c r="FT314" s="9">
        <v>2.7</v>
      </c>
      <c r="FU314" s="9">
        <v>0.2</v>
      </c>
      <c r="FV314" s="9">
        <v>2.8</v>
      </c>
      <c r="FW314" s="9">
        <v>6.8</v>
      </c>
      <c r="FX314" s="9">
        <v>4.2</v>
      </c>
      <c r="FY314" s="9">
        <v>2.5</v>
      </c>
      <c r="FZ314" s="9">
        <v>4.3</v>
      </c>
      <c r="GA314" s="9">
        <v>6.8</v>
      </c>
      <c r="GB314" s="9">
        <v>3.3</v>
      </c>
      <c r="GC314" s="9">
        <v>3.6</v>
      </c>
      <c r="GD314" s="9">
        <v>0.6</v>
      </c>
      <c r="GE314" s="9">
        <v>1.2</v>
      </c>
      <c r="GF314" s="9">
        <v>1.9</v>
      </c>
      <c r="GG314" s="9">
        <v>1.9</v>
      </c>
      <c r="GH314" s="9">
        <v>1.1000000000000001</v>
      </c>
      <c r="GI314" s="9">
        <v>1.1000000000000001</v>
      </c>
      <c r="GJ314" s="9">
        <v>0.3</v>
      </c>
      <c r="GK314" s="9">
        <v>0.5</v>
      </c>
      <c r="GL314" s="9">
        <v>0</v>
      </c>
      <c r="GM314" s="9">
        <v>0.8</v>
      </c>
      <c r="GN314" s="9">
        <v>0</v>
      </c>
      <c r="GO314" s="9">
        <v>2.1</v>
      </c>
      <c r="GP314" s="9">
        <v>-1.6</v>
      </c>
      <c r="GQ314" s="9">
        <v>0.9</v>
      </c>
      <c r="GR314" s="9">
        <v>2.8</v>
      </c>
      <c r="GS314" s="9">
        <v>3.3</v>
      </c>
      <c r="GT314" s="9">
        <v>0.5</v>
      </c>
      <c r="GU314" s="9">
        <v>1.1000000000000001</v>
      </c>
      <c r="GV314" s="9">
        <v>1.1000000000000001</v>
      </c>
      <c r="GW314" s="9">
        <v>-0.1</v>
      </c>
      <c r="GX314" s="9">
        <v>0.8</v>
      </c>
      <c r="GY314" s="9">
        <v>1.1000000000000001</v>
      </c>
      <c r="GZ314" s="9">
        <v>-1.8</v>
      </c>
      <c r="HA314" s="9">
        <v>-0.2</v>
      </c>
      <c r="HB314" s="9">
        <v>0.2</v>
      </c>
      <c r="HC314" s="9">
        <v>-1.1000000000000001</v>
      </c>
      <c r="HD314" s="9">
        <v>-0.3</v>
      </c>
      <c r="HE314" s="9">
        <v>0.9</v>
      </c>
      <c r="HF314" s="9">
        <v>0.8</v>
      </c>
      <c r="HG314" s="9">
        <v>1.4</v>
      </c>
      <c r="HH314" s="9">
        <v>0.8</v>
      </c>
      <c r="HI314" s="9">
        <v>0</v>
      </c>
      <c r="HJ314" s="9">
        <v>1.5</v>
      </c>
      <c r="HK314" s="9">
        <v>-0.5</v>
      </c>
      <c r="HL314" s="9">
        <v>-0.6</v>
      </c>
      <c r="HM314" s="9">
        <v>0.8</v>
      </c>
      <c r="HN314" s="9">
        <v>1.9</v>
      </c>
      <c r="HO314" s="9">
        <v>2.1</v>
      </c>
      <c r="HP314" s="9">
        <v>0.5</v>
      </c>
      <c r="HQ314" s="9">
        <v>0.9</v>
      </c>
      <c r="HR314" s="9">
        <v>0.9</v>
      </c>
      <c r="HS314" s="9">
        <v>-0.3</v>
      </c>
      <c r="HT314" s="9">
        <v>1.1000000000000001</v>
      </c>
      <c r="HU314" s="9">
        <v>1.8</v>
      </c>
      <c r="HV314" s="9">
        <v>1.4</v>
      </c>
      <c r="HW314" s="9">
        <v>0.3</v>
      </c>
      <c r="HX314" s="9">
        <v>0.8</v>
      </c>
      <c r="HY314" s="9">
        <v>0.8</v>
      </c>
      <c r="HZ314" s="9">
        <v>-0.7</v>
      </c>
      <c r="IA314" s="9">
        <v>-0.7</v>
      </c>
      <c r="IB314" s="9">
        <v>-1.3</v>
      </c>
      <c r="IC314" s="9">
        <v>-0.7</v>
      </c>
      <c r="ID314" s="9">
        <v>0.5</v>
      </c>
      <c r="IE314" s="9">
        <v>1</v>
      </c>
      <c r="IF314" s="9">
        <v>-1.1000000000000001</v>
      </c>
      <c r="IG314" s="9">
        <v>3.7</v>
      </c>
      <c r="IH314" s="9">
        <v>0.4</v>
      </c>
      <c r="II314" s="9">
        <v>0.9</v>
      </c>
      <c r="IJ314" s="9">
        <v>0.2</v>
      </c>
      <c r="IK314" s="9">
        <v>0.9</v>
      </c>
      <c r="IL314" s="9">
        <v>-4.8</v>
      </c>
      <c r="IM314" s="9">
        <v>8.1</v>
      </c>
      <c r="IN314" s="9">
        <v>-0.4</v>
      </c>
      <c r="IO314" s="9">
        <v>-0.6</v>
      </c>
      <c r="IP314" s="9">
        <v>-4.3</v>
      </c>
      <c r="IQ314" s="9">
        <v>-0.8</v>
      </c>
    </row>
    <row r="315" spans="1:251" x14ac:dyDescent="0.2">
      <c r="A315" s="10">
        <v>45536</v>
      </c>
      <c r="B315" s="8">
        <v>96.62</v>
      </c>
      <c r="C315" s="8">
        <v>97.13</v>
      </c>
      <c r="D315" s="8">
        <v>98.22</v>
      </c>
      <c r="E315" s="8">
        <v>98.54</v>
      </c>
      <c r="F315" s="8">
        <v>97.16</v>
      </c>
      <c r="G315" s="8">
        <v>99.72</v>
      </c>
      <c r="H315" s="8">
        <v>100.14</v>
      </c>
      <c r="I315" s="8">
        <v>96.56</v>
      </c>
      <c r="J315" s="8">
        <v>92.78</v>
      </c>
      <c r="K315" s="8">
        <v>96.67</v>
      </c>
      <c r="L315" s="8">
        <v>86.92</v>
      </c>
      <c r="M315" s="8">
        <v>100.76</v>
      </c>
      <c r="N315" s="8">
        <v>99.31</v>
      </c>
      <c r="O315" s="8">
        <v>100.31</v>
      </c>
      <c r="P315" s="8">
        <v>97.85</v>
      </c>
      <c r="Q315" s="8">
        <v>97.77</v>
      </c>
      <c r="R315" s="8">
        <v>99.25</v>
      </c>
      <c r="S315" s="8">
        <v>96.48</v>
      </c>
      <c r="T315" s="8">
        <v>101.57</v>
      </c>
      <c r="U315" s="8">
        <v>103.36</v>
      </c>
      <c r="V315" s="8">
        <v>100.12</v>
      </c>
      <c r="W315" s="8">
        <v>95.61</v>
      </c>
      <c r="X315" s="8">
        <v>88.72</v>
      </c>
      <c r="Y315" s="8">
        <v>96.69</v>
      </c>
      <c r="Z315" s="8">
        <v>98.1</v>
      </c>
      <c r="AA315" s="8">
        <v>100.43</v>
      </c>
      <c r="AB315" s="8">
        <v>92.7</v>
      </c>
      <c r="AC315" s="8">
        <v>98.82</v>
      </c>
      <c r="AD315" s="8">
        <v>95.72</v>
      </c>
      <c r="AE315" s="8">
        <v>85.88</v>
      </c>
      <c r="AF315" s="8">
        <v>98.74</v>
      </c>
      <c r="AG315" s="8">
        <v>96.42</v>
      </c>
      <c r="AH315" s="8">
        <v>96.78</v>
      </c>
      <c r="AI315" s="8">
        <v>95.98</v>
      </c>
      <c r="AJ315" s="8">
        <v>93.59</v>
      </c>
      <c r="AK315" s="8">
        <v>97.32</v>
      </c>
      <c r="AL315" s="8">
        <v>96.53</v>
      </c>
      <c r="AM315" s="8">
        <v>99.13</v>
      </c>
      <c r="AN315" s="8">
        <v>96.24</v>
      </c>
      <c r="AO315" s="8">
        <v>85.65</v>
      </c>
      <c r="AP315" s="8">
        <v>85.65</v>
      </c>
      <c r="AQ315" s="8">
        <v>97.53</v>
      </c>
      <c r="AR315" s="8">
        <v>99.93</v>
      </c>
      <c r="AS315" s="8">
        <v>104.19</v>
      </c>
      <c r="AT315" s="8">
        <v>98.14</v>
      </c>
      <c r="AU315" s="8">
        <v>99.28</v>
      </c>
      <c r="AV315" s="8">
        <v>97.93</v>
      </c>
      <c r="AW315" s="8">
        <v>100.32</v>
      </c>
      <c r="AX315" s="8">
        <v>96.21</v>
      </c>
      <c r="AY315" s="8">
        <v>101.18</v>
      </c>
      <c r="AZ315" s="8">
        <v>91.73</v>
      </c>
      <c r="BA315" s="8">
        <v>91.37</v>
      </c>
      <c r="BB315" s="8">
        <v>95.78</v>
      </c>
      <c r="BC315" s="8">
        <v>95.11</v>
      </c>
      <c r="BD315" s="8">
        <v>96.09</v>
      </c>
      <c r="BE315" s="8">
        <v>96.09</v>
      </c>
      <c r="BF315" s="8">
        <v>98.53</v>
      </c>
      <c r="BG315" s="8">
        <v>98.53</v>
      </c>
      <c r="BH315" s="8">
        <v>94.3</v>
      </c>
      <c r="BI315" s="8">
        <v>97.24</v>
      </c>
      <c r="BJ315" s="8">
        <v>90.43</v>
      </c>
      <c r="BK315" s="8">
        <v>88.28</v>
      </c>
      <c r="BL315" s="8">
        <v>97.33</v>
      </c>
      <c r="BM315" s="8">
        <v>83.01</v>
      </c>
      <c r="BN315" s="8">
        <v>93.65</v>
      </c>
      <c r="BO315" s="8">
        <v>98.96</v>
      </c>
      <c r="BP315" s="8">
        <v>99.13</v>
      </c>
      <c r="BQ315" s="8">
        <v>99.02</v>
      </c>
      <c r="BR315" s="8">
        <v>99.51</v>
      </c>
      <c r="BS315" s="8">
        <v>98.87</v>
      </c>
      <c r="BT315" s="8">
        <v>98.87</v>
      </c>
      <c r="BU315" s="8">
        <v>103.08</v>
      </c>
      <c r="BV315" s="8">
        <v>100.6</v>
      </c>
      <c r="BW315" s="8">
        <v>105.8</v>
      </c>
      <c r="BX315" s="8">
        <v>104.6</v>
      </c>
      <c r="BY315" s="8">
        <v>101.97</v>
      </c>
      <c r="BZ315" s="8">
        <v>99.71</v>
      </c>
      <c r="CA315" s="8">
        <v>99.15</v>
      </c>
      <c r="CB315" s="8">
        <v>98.56</v>
      </c>
      <c r="CC315" s="8">
        <v>100.61</v>
      </c>
      <c r="CD315" s="8">
        <v>96.24</v>
      </c>
      <c r="CE315" s="8">
        <v>94.7</v>
      </c>
      <c r="CF315" s="8">
        <v>96.85</v>
      </c>
      <c r="CG315" s="8">
        <v>97.13</v>
      </c>
      <c r="CH315" s="8">
        <v>96</v>
      </c>
      <c r="CI315" s="8">
        <v>99.91</v>
      </c>
      <c r="CJ315" s="8">
        <v>100.38</v>
      </c>
      <c r="CK315" s="8">
        <v>96.87</v>
      </c>
      <c r="CL315" s="8">
        <v>95.26</v>
      </c>
      <c r="CM315" s="8">
        <v>95.1</v>
      </c>
      <c r="CN315" s="8">
        <v>96.58</v>
      </c>
      <c r="CO315" s="8">
        <v>99.05</v>
      </c>
      <c r="CP315" s="8">
        <v>99.06</v>
      </c>
      <c r="CQ315" s="8">
        <v>100.06</v>
      </c>
      <c r="CR315" s="8">
        <v>99.97</v>
      </c>
      <c r="CS315" s="8">
        <v>101</v>
      </c>
      <c r="CT315" s="8">
        <v>95.42</v>
      </c>
      <c r="CU315" s="8">
        <v>96.62</v>
      </c>
      <c r="CV315" s="8">
        <v>98.93</v>
      </c>
      <c r="CW315" s="8">
        <v>98.93</v>
      </c>
      <c r="CX315" s="8">
        <v>98.1</v>
      </c>
      <c r="CY315" s="8">
        <v>98.1</v>
      </c>
      <c r="CZ315" s="8">
        <v>96.13</v>
      </c>
      <c r="DA315" s="8">
        <v>98.19</v>
      </c>
      <c r="DB315" s="8">
        <v>96.83</v>
      </c>
      <c r="DC315" s="8">
        <v>95.93</v>
      </c>
      <c r="DD315" s="8">
        <v>102.13</v>
      </c>
      <c r="DE315" s="8">
        <v>89.46</v>
      </c>
      <c r="DF315" s="8">
        <v>96.58</v>
      </c>
      <c r="DG315" s="8">
        <v>100.69</v>
      </c>
      <c r="DH315" s="8">
        <v>95.03</v>
      </c>
      <c r="DI315" s="8">
        <v>95.64</v>
      </c>
      <c r="DJ315" s="8">
        <v>93.9</v>
      </c>
      <c r="DK315" s="8">
        <v>97.73</v>
      </c>
      <c r="DL315" s="8">
        <v>99.04</v>
      </c>
      <c r="DM315" s="8">
        <v>100.34</v>
      </c>
      <c r="DN315" s="8">
        <v>98.33</v>
      </c>
      <c r="DO315" s="8">
        <v>102.22</v>
      </c>
      <c r="DP315" s="8">
        <v>94.93</v>
      </c>
      <c r="DQ315" s="8">
        <v>96.3</v>
      </c>
      <c r="DR315" s="8">
        <v>102.91</v>
      </c>
      <c r="DS315" s="8">
        <v>94.93</v>
      </c>
      <c r="DT315" s="8">
        <v>94.93</v>
      </c>
      <c r="DU315" s="8">
        <v>94.36</v>
      </c>
      <c r="DV315" s="8">
        <v>94.04</v>
      </c>
      <c r="DW315" s="8">
        <v>96.32</v>
      </c>
      <c r="DX315" s="8">
        <v>97.29</v>
      </c>
      <c r="DY315" s="8">
        <v>97.44</v>
      </c>
      <c r="DZ315" s="8">
        <v>97.44</v>
      </c>
      <c r="EA315" s="8">
        <v>97.24</v>
      </c>
      <c r="EB315" s="8">
        <v>95.7</v>
      </c>
      <c r="EC315" s="8">
        <v>97.41</v>
      </c>
      <c r="ED315" s="9">
        <v>0.2</v>
      </c>
      <c r="EE315" s="9">
        <v>0.7</v>
      </c>
      <c r="EF315" s="9">
        <v>0.6</v>
      </c>
      <c r="EG315" s="9">
        <v>0</v>
      </c>
      <c r="EH315" s="9">
        <v>1.1000000000000001</v>
      </c>
      <c r="EI315" s="9">
        <v>1.5</v>
      </c>
      <c r="EJ315" s="9">
        <v>0.4</v>
      </c>
      <c r="EK315" s="9">
        <v>1.1000000000000001</v>
      </c>
      <c r="EL315" s="9">
        <v>0.8</v>
      </c>
      <c r="EM315" s="9">
        <v>-0.2</v>
      </c>
      <c r="EN315" s="9">
        <v>7.8</v>
      </c>
      <c r="EO315" s="9">
        <v>1.6</v>
      </c>
      <c r="EP315" s="9">
        <v>-1</v>
      </c>
      <c r="EQ315" s="9">
        <v>-0.1</v>
      </c>
      <c r="ER315" s="9">
        <v>-0.3</v>
      </c>
      <c r="ES315" s="9">
        <v>0.2</v>
      </c>
      <c r="ET315" s="9">
        <v>-0.9</v>
      </c>
      <c r="EU315" s="9">
        <v>-0.5</v>
      </c>
      <c r="EV315" s="9">
        <v>0.9</v>
      </c>
      <c r="EW315" s="9">
        <v>3.6</v>
      </c>
      <c r="EX315" s="9">
        <v>-1.1000000000000001</v>
      </c>
      <c r="EY315" s="9">
        <v>0.5</v>
      </c>
      <c r="EZ315" s="9">
        <v>4.7</v>
      </c>
      <c r="FA315" s="9">
        <v>0.6</v>
      </c>
      <c r="FB315" s="9">
        <v>-0.3</v>
      </c>
      <c r="FC315" s="9">
        <v>0.7</v>
      </c>
      <c r="FD315" s="9">
        <v>0</v>
      </c>
      <c r="FE315" s="9">
        <v>0.7</v>
      </c>
      <c r="FF315" s="9">
        <v>-0.3</v>
      </c>
      <c r="FG315" s="9">
        <v>0.5</v>
      </c>
      <c r="FH315" s="9">
        <v>-0.5</v>
      </c>
      <c r="FI315" s="9">
        <v>0.8</v>
      </c>
      <c r="FJ315" s="9">
        <v>0.7</v>
      </c>
      <c r="FK315" s="9">
        <v>0.9</v>
      </c>
      <c r="FL315" s="9">
        <v>1.4</v>
      </c>
      <c r="FM315" s="9">
        <v>1.2</v>
      </c>
      <c r="FN315" s="9">
        <v>0.7</v>
      </c>
      <c r="FO315" s="9">
        <v>1.4</v>
      </c>
      <c r="FP315" s="9">
        <v>1.4</v>
      </c>
      <c r="FQ315" s="9">
        <v>1.7</v>
      </c>
      <c r="FR315" s="9">
        <v>1.7</v>
      </c>
      <c r="FS315" s="9">
        <v>-0.7</v>
      </c>
      <c r="FT315" s="9">
        <v>-1.2</v>
      </c>
      <c r="FU315" s="9">
        <v>-0.2</v>
      </c>
      <c r="FV315" s="9">
        <v>-1.4</v>
      </c>
      <c r="FW315" s="9">
        <v>-1.8</v>
      </c>
      <c r="FX315" s="9">
        <v>-2</v>
      </c>
      <c r="FY315" s="9">
        <v>-0.6</v>
      </c>
      <c r="FZ315" s="9">
        <v>-3.1</v>
      </c>
      <c r="GA315" s="9">
        <v>-0.2</v>
      </c>
      <c r="GB315" s="9">
        <v>1.3</v>
      </c>
      <c r="GC315" s="9">
        <v>1.4</v>
      </c>
      <c r="GD315" s="9">
        <v>0.6</v>
      </c>
      <c r="GE315" s="9">
        <v>-0.2</v>
      </c>
      <c r="GF315" s="9">
        <v>1.7</v>
      </c>
      <c r="GG315" s="9">
        <v>1.7</v>
      </c>
      <c r="GH315" s="9">
        <v>1</v>
      </c>
      <c r="GI315" s="9">
        <v>1</v>
      </c>
      <c r="GJ315" s="9">
        <v>2.7</v>
      </c>
      <c r="GK315" s="9">
        <v>1.1000000000000001</v>
      </c>
      <c r="GL315" s="9">
        <v>5</v>
      </c>
      <c r="GM315" s="9">
        <v>-7.7</v>
      </c>
      <c r="GN315" s="9">
        <v>2.7</v>
      </c>
      <c r="GO315" s="9">
        <v>-17.3</v>
      </c>
      <c r="GP315" s="9">
        <v>7.3</v>
      </c>
      <c r="GQ315" s="9">
        <v>0.9</v>
      </c>
      <c r="GR315" s="9">
        <v>1.1000000000000001</v>
      </c>
      <c r="GS315" s="9">
        <v>1.4</v>
      </c>
      <c r="GT315" s="9">
        <v>-0.1</v>
      </c>
      <c r="GU315" s="9">
        <v>1.1000000000000001</v>
      </c>
      <c r="GV315" s="9">
        <v>1.1000000000000001</v>
      </c>
      <c r="GW315" s="9">
        <v>1</v>
      </c>
      <c r="GX315" s="9">
        <v>-0.4</v>
      </c>
      <c r="GY315" s="9">
        <v>2.6</v>
      </c>
      <c r="GZ315" s="9">
        <v>1.5</v>
      </c>
      <c r="HA315" s="9">
        <v>0.7</v>
      </c>
      <c r="HB315" s="9">
        <v>-0.6</v>
      </c>
      <c r="HC315" s="9">
        <v>-0.1</v>
      </c>
      <c r="HD315" s="9">
        <v>-0.5</v>
      </c>
      <c r="HE315" s="9">
        <v>-0.8</v>
      </c>
      <c r="HF315" s="9">
        <v>1.9</v>
      </c>
      <c r="HG315" s="9">
        <v>3.1</v>
      </c>
      <c r="HH315" s="9">
        <v>1.6</v>
      </c>
      <c r="HI315" s="9">
        <v>0.9</v>
      </c>
      <c r="HJ315" s="9">
        <v>-0.1</v>
      </c>
      <c r="HK315" s="9">
        <v>-1.3</v>
      </c>
      <c r="HL315" s="9">
        <v>-1.5</v>
      </c>
      <c r="HM315" s="9">
        <v>0.1</v>
      </c>
      <c r="HN315" s="9">
        <v>0.1</v>
      </c>
      <c r="HO315" s="9">
        <v>0</v>
      </c>
      <c r="HP315" s="9">
        <v>0.9</v>
      </c>
      <c r="HQ315" s="9">
        <v>-2.2000000000000002</v>
      </c>
      <c r="HR315" s="9">
        <v>-2.2000000000000002</v>
      </c>
      <c r="HS315" s="9">
        <v>-0.8</v>
      </c>
      <c r="HT315" s="9">
        <v>1</v>
      </c>
      <c r="HU315" s="9">
        <v>-6.7</v>
      </c>
      <c r="HV315" s="9">
        <v>0.3</v>
      </c>
      <c r="HW315" s="9">
        <v>1.4</v>
      </c>
      <c r="HX315" s="9">
        <v>-2.1</v>
      </c>
      <c r="HY315" s="9">
        <v>-2.1</v>
      </c>
      <c r="HZ315" s="9">
        <v>0.5</v>
      </c>
      <c r="IA315" s="9">
        <v>0.5</v>
      </c>
      <c r="IB315" s="9">
        <v>1.6</v>
      </c>
      <c r="IC315" s="9">
        <v>0.5</v>
      </c>
      <c r="ID315" s="9">
        <v>1.3</v>
      </c>
      <c r="IE315" s="9">
        <v>0.9</v>
      </c>
      <c r="IF315" s="9">
        <v>0</v>
      </c>
      <c r="IG315" s="9">
        <v>2.1</v>
      </c>
      <c r="IH315" s="9">
        <v>0.1</v>
      </c>
      <c r="II315" s="9">
        <v>-2.2999999999999998</v>
      </c>
      <c r="IJ315" s="9">
        <v>1.1000000000000001</v>
      </c>
      <c r="IK315" s="9">
        <v>1.4</v>
      </c>
      <c r="IL315" s="9">
        <v>1</v>
      </c>
      <c r="IM315" s="9">
        <v>1.9</v>
      </c>
      <c r="IN315" s="9">
        <v>1.5</v>
      </c>
      <c r="IO315" s="9">
        <v>-0.8</v>
      </c>
      <c r="IP315" s="9">
        <v>0.1</v>
      </c>
      <c r="IQ315" s="9">
        <v>1.3</v>
      </c>
    </row>
    <row r="316" spans="1:251" x14ac:dyDescent="0.2">
      <c r="A316" s="10">
        <v>45627</v>
      </c>
      <c r="B316" s="8">
        <v>96.81</v>
      </c>
      <c r="C316" s="8">
        <v>97.29</v>
      </c>
      <c r="D316" s="8">
        <v>99.85</v>
      </c>
      <c r="E316" s="8">
        <v>100.18</v>
      </c>
      <c r="F316" s="8">
        <v>99.23</v>
      </c>
      <c r="G316" s="8">
        <v>100.5</v>
      </c>
      <c r="H316" s="8">
        <v>100.59</v>
      </c>
      <c r="I316" s="8">
        <v>97.39</v>
      </c>
      <c r="J316" s="8">
        <v>93.5</v>
      </c>
      <c r="K316" s="8">
        <v>98.81</v>
      </c>
      <c r="L316" s="8">
        <v>88.99</v>
      </c>
      <c r="M316" s="8">
        <v>100.82</v>
      </c>
      <c r="N316" s="8">
        <v>100.65</v>
      </c>
      <c r="O316" s="8">
        <v>99.85</v>
      </c>
      <c r="P316" s="8">
        <v>97.46</v>
      </c>
      <c r="Q316" s="8">
        <v>97.22</v>
      </c>
      <c r="R316" s="8">
        <v>99.17</v>
      </c>
      <c r="S316" s="8">
        <v>95.99</v>
      </c>
      <c r="T316" s="8">
        <v>98.2</v>
      </c>
      <c r="U316" s="8">
        <v>99.82</v>
      </c>
      <c r="V316" s="8">
        <v>96.89</v>
      </c>
      <c r="W316" s="8">
        <v>96.6</v>
      </c>
      <c r="X316" s="8">
        <v>93.48</v>
      </c>
      <c r="Y316" s="8">
        <v>97.71</v>
      </c>
      <c r="Z316" s="8">
        <v>98.6</v>
      </c>
      <c r="AA316" s="8">
        <v>100.01</v>
      </c>
      <c r="AB316" s="8">
        <v>93.3</v>
      </c>
      <c r="AC316" s="8">
        <v>100.5</v>
      </c>
      <c r="AD316" s="8">
        <v>95.31</v>
      </c>
      <c r="AE316" s="8">
        <v>87.32</v>
      </c>
      <c r="AF316" s="8">
        <v>97.76</v>
      </c>
      <c r="AG316" s="8">
        <v>97</v>
      </c>
      <c r="AH316" s="8">
        <v>97.42</v>
      </c>
      <c r="AI316" s="8">
        <v>96.48</v>
      </c>
      <c r="AJ316" s="8">
        <v>95.77</v>
      </c>
      <c r="AK316" s="8">
        <v>97.98</v>
      </c>
      <c r="AL316" s="8">
        <v>97.53</v>
      </c>
      <c r="AM316" s="8">
        <v>98.98</v>
      </c>
      <c r="AN316" s="8">
        <v>97.38</v>
      </c>
      <c r="AO316" s="8">
        <v>90.64</v>
      </c>
      <c r="AP316" s="8">
        <v>90.64</v>
      </c>
      <c r="AQ316" s="8">
        <v>97.69</v>
      </c>
      <c r="AR316" s="8">
        <v>99.61</v>
      </c>
      <c r="AS316" s="8">
        <v>102</v>
      </c>
      <c r="AT316" s="8">
        <v>98.84</v>
      </c>
      <c r="AU316" s="8">
        <v>98.45</v>
      </c>
      <c r="AV316" s="8">
        <v>99.03</v>
      </c>
      <c r="AW316" s="8">
        <v>102.6</v>
      </c>
      <c r="AX316" s="8">
        <v>96.9</v>
      </c>
      <c r="AY316" s="8">
        <v>102.02</v>
      </c>
      <c r="AZ316" s="8">
        <v>92.52</v>
      </c>
      <c r="BA316" s="8">
        <v>92.19</v>
      </c>
      <c r="BB316" s="8">
        <v>96.32</v>
      </c>
      <c r="BC316" s="8">
        <v>94.43</v>
      </c>
      <c r="BD316" s="8">
        <v>96.64</v>
      </c>
      <c r="BE316" s="8">
        <v>96.64</v>
      </c>
      <c r="BF316" s="8">
        <v>98.31</v>
      </c>
      <c r="BG316" s="8">
        <v>98.31</v>
      </c>
      <c r="BH316" s="8">
        <v>94.63</v>
      </c>
      <c r="BI316" s="8">
        <v>97.82</v>
      </c>
      <c r="BJ316" s="8">
        <v>90.43</v>
      </c>
      <c r="BK316" s="8">
        <v>83.92</v>
      </c>
      <c r="BL316" s="8">
        <v>97.33</v>
      </c>
      <c r="BM316" s="8">
        <v>74.760000000000005</v>
      </c>
      <c r="BN316" s="8">
        <v>94.2</v>
      </c>
      <c r="BO316" s="8">
        <v>98.81</v>
      </c>
      <c r="BP316" s="8">
        <v>101.02</v>
      </c>
      <c r="BQ316" s="8">
        <v>101.52</v>
      </c>
      <c r="BR316" s="8">
        <v>98.73</v>
      </c>
      <c r="BS316" s="8">
        <v>96.78</v>
      </c>
      <c r="BT316" s="8">
        <v>96.78</v>
      </c>
      <c r="BU316" s="8">
        <v>102.88</v>
      </c>
      <c r="BV316" s="8">
        <v>100.51</v>
      </c>
      <c r="BW316" s="8">
        <v>103.47</v>
      </c>
      <c r="BX316" s="8">
        <v>107.1</v>
      </c>
      <c r="BY316" s="8">
        <v>100.62</v>
      </c>
      <c r="BZ316" s="8">
        <v>98.91</v>
      </c>
      <c r="CA316" s="8">
        <v>99.07</v>
      </c>
      <c r="CB316" s="8">
        <v>97.26</v>
      </c>
      <c r="CC316" s="8">
        <v>100.03</v>
      </c>
      <c r="CD316" s="8">
        <v>95.82</v>
      </c>
      <c r="CE316" s="8">
        <v>90.82</v>
      </c>
      <c r="CF316" s="8">
        <v>97.84</v>
      </c>
      <c r="CG316" s="8">
        <v>98.51</v>
      </c>
      <c r="CH316" s="8">
        <v>95.81</v>
      </c>
      <c r="CI316" s="8">
        <v>98.45</v>
      </c>
      <c r="CJ316" s="8">
        <v>98.81</v>
      </c>
      <c r="CK316" s="8">
        <v>96.1</v>
      </c>
      <c r="CL316" s="8">
        <v>95.31</v>
      </c>
      <c r="CM316" s="8">
        <v>95.14</v>
      </c>
      <c r="CN316" s="8">
        <v>96.85</v>
      </c>
      <c r="CO316" s="8">
        <v>98.4</v>
      </c>
      <c r="CP316" s="8">
        <v>98.48</v>
      </c>
      <c r="CQ316" s="8">
        <v>99.93</v>
      </c>
      <c r="CR316" s="8">
        <v>99.94</v>
      </c>
      <c r="CS316" s="8">
        <v>99.04</v>
      </c>
      <c r="CT316" s="8">
        <v>96.52</v>
      </c>
      <c r="CU316" s="8">
        <v>95.52</v>
      </c>
      <c r="CV316" s="8">
        <v>95.79</v>
      </c>
      <c r="CW316" s="8">
        <v>95.79</v>
      </c>
      <c r="CX316" s="8">
        <v>98.61</v>
      </c>
      <c r="CY316" s="8">
        <v>98.61</v>
      </c>
      <c r="CZ316" s="8">
        <v>95.2</v>
      </c>
      <c r="DA316" s="8">
        <v>98.79</v>
      </c>
      <c r="DB316" s="8">
        <v>98.34</v>
      </c>
      <c r="DC316" s="8">
        <v>95.82</v>
      </c>
      <c r="DD316" s="8">
        <v>100.99</v>
      </c>
      <c r="DE316" s="8">
        <v>90.48</v>
      </c>
      <c r="DF316" s="8">
        <v>96.69</v>
      </c>
      <c r="DG316" s="8">
        <v>101.18</v>
      </c>
      <c r="DH316" s="8">
        <v>94.99</v>
      </c>
      <c r="DI316" s="8">
        <v>98.59</v>
      </c>
      <c r="DJ316" s="8">
        <v>99.23</v>
      </c>
      <c r="DK316" s="8">
        <v>97.94</v>
      </c>
      <c r="DL316" s="8">
        <v>99.35</v>
      </c>
      <c r="DM316" s="8">
        <v>101.54</v>
      </c>
      <c r="DN316" s="8">
        <v>101.09</v>
      </c>
      <c r="DO316" s="8">
        <v>99.37</v>
      </c>
      <c r="DP316" s="8">
        <v>95.92</v>
      </c>
      <c r="DQ316" s="8">
        <v>96.67</v>
      </c>
      <c r="DR316" s="8">
        <v>102.28</v>
      </c>
      <c r="DS316" s="8">
        <v>94.91</v>
      </c>
      <c r="DT316" s="8">
        <v>94.91</v>
      </c>
      <c r="DU316" s="8">
        <v>94.23</v>
      </c>
      <c r="DV316" s="8">
        <v>94.04</v>
      </c>
      <c r="DW316" s="8">
        <v>96.32</v>
      </c>
      <c r="DX316" s="8">
        <v>98.07</v>
      </c>
      <c r="DY316" s="8">
        <v>98.46</v>
      </c>
      <c r="DZ316" s="8">
        <v>98.46</v>
      </c>
      <c r="EA316" s="8">
        <v>97.94</v>
      </c>
      <c r="EB316" s="8">
        <v>96.33</v>
      </c>
      <c r="EC316" s="8">
        <v>98.11</v>
      </c>
      <c r="ED316" s="9">
        <v>0.2</v>
      </c>
      <c r="EE316" s="9">
        <v>0.2</v>
      </c>
      <c r="EF316" s="9">
        <v>1.7</v>
      </c>
      <c r="EG316" s="9">
        <v>1.7</v>
      </c>
      <c r="EH316" s="9">
        <v>2.1</v>
      </c>
      <c r="EI316" s="9">
        <v>0.8</v>
      </c>
      <c r="EJ316" s="9">
        <v>0.4</v>
      </c>
      <c r="EK316" s="9">
        <v>0.9</v>
      </c>
      <c r="EL316" s="9">
        <v>0.8</v>
      </c>
      <c r="EM316" s="9">
        <v>2.2000000000000002</v>
      </c>
      <c r="EN316" s="9">
        <v>2.4</v>
      </c>
      <c r="EO316" s="9">
        <v>0.1</v>
      </c>
      <c r="EP316" s="9">
        <v>1.3</v>
      </c>
      <c r="EQ316" s="9">
        <v>-0.5</v>
      </c>
      <c r="ER316" s="9">
        <v>-0.4</v>
      </c>
      <c r="ES316" s="9">
        <v>-0.6</v>
      </c>
      <c r="ET316" s="9">
        <v>-0.1</v>
      </c>
      <c r="EU316" s="9">
        <v>-0.5</v>
      </c>
      <c r="EV316" s="9">
        <v>-3.3</v>
      </c>
      <c r="EW316" s="9">
        <v>-3.4</v>
      </c>
      <c r="EX316" s="9">
        <v>-3.2</v>
      </c>
      <c r="EY316" s="9">
        <v>1</v>
      </c>
      <c r="EZ316" s="9">
        <v>5.4</v>
      </c>
      <c r="FA316" s="9">
        <v>1.1000000000000001</v>
      </c>
      <c r="FB316" s="9">
        <v>0.5</v>
      </c>
      <c r="FC316" s="9">
        <v>-0.4</v>
      </c>
      <c r="FD316" s="9">
        <v>0.6</v>
      </c>
      <c r="FE316" s="9">
        <v>1.7</v>
      </c>
      <c r="FF316" s="9">
        <v>-0.4</v>
      </c>
      <c r="FG316" s="9">
        <v>1.7</v>
      </c>
      <c r="FH316" s="9">
        <v>-1</v>
      </c>
      <c r="FI316" s="9">
        <v>0.6</v>
      </c>
      <c r="FJ316" s="9">
        <v>0.7</v>
      </c>
      <c r="FK316" s="9">
        <v>0.5</v>
      </c>
      <c r="FL316" s="9">
        <v>2.2999999999999998</v>
      </c>
      <c r="FM316" s="9">
        <v>0.7</v>
      </c>
      <c r="FN316" s="9">
        <v>1</v>
      </c>
      <c r="FO316" s="9">
        <v>-0.2</v>
      </c>
      <c r="FP316" s="9">
        <v>1.2</v>
      </c>
      <c r="FQ316" s="9">
        <v>5.8</v>
      </c>
      <c r="FR316" s="9">
        <v>5.8</v>
      </c>
      <c r="FS316" s="9">
        <v>0.2</v>
      </c>
      <c r="FT316" s="9">
        <v>-0.3</v>
      </c>
      <c r="FU316" s="9">
        <v>-2.1</v>
      </c>
      <c r="FV316" s="9">
        <v>0.7</v>
      </c>
      <c r="FW316" s="9">
        <v>-0.8</v>
      </c>
      <c r="FX316" s="9">
        <v>1.1000000000000001</v>
      </c>
      <c r="FY316" s="9">
        <v>2.2999999999999998</v>
      </c>
      <c r="FZ316" s="9">
        <v>0.7</v>
      </c>
      <c r="GA316" s="9">
        <v>0.8</v>
      </c>
      <c r="GB316" s="9">
        <v>0.9</v>
      </c>
      <c r="GC316" s="9">
        <v>0.9</v>
      </c>
      <c r="GD316" s="9">
        <v>0.6</v>
      </c>
      <c r="GE316" s="9">
        <v>-0.7</v>
      </c>
      <c r="GF316" s="9">
        <v>0.6</v>
      </c>
      <c r="GG316" s="9">
        <v>0.6</v>
      </c>
      <c r="GH316" s="9">
        <v>-0.2</v>
      </c>
      <c r="GI316" s="9">
        <v>-0.2</v>
      </c>
      <c r="GJ316" s="9">
        <v>0.3</v>
      </c>
      <c r="GK316" s="9">
        <v>0.6</v>
      </c>
      <c r="GL316" s="9">
        <v>0</v>
      </c>
      <c r="GM316" s="9">
        <v>-4.9000000000000004</v>
      </c>
      <c r="GN316" s="9">
        <v>0</v>
      </c>
      <c r="GO316" s="9">
        <v>-9.9</v>
      </c>
      <c r="GP316" s="9">
        <v>0.6</v>
      </c>
      <c r="GQ316" s="9">
        <v>-0.2</v>
      </c>
      <c r="GR316" s="9">
        <v>1.9</v>
      </c>
      <c r="GS316" s="9">
        <v>2.5</v>
      </c>
      <c r="GT316" s="9">
        <v>-0.8</v>
      </c>
      <c r="GU316" s="9">
        <v>-2.1</v>
      </c>
      <c r="GV316" s="9">
        <v>-2.1</v>
      </c>
      <c r="GW316" s="9">
        <v>-0.2</v>
      </c>
      <c r="GX316" s="9">
        <v>-0.1</v>
      </c>
      <c r="GY316" s="9">
        <v>-2.2000000000000002</v>
      </c>
      <c r="GZ316" s="9">
        <v>2.4</v>
      </c>
      <c r="HA316" s="9">
        <v>-1.3</v>
      </c>
      <c r="HB316" s="9">
        <v>-0.8</v>
      </c>
      <c r="HC316" s="9">
        <v>-0.1</v>
      </c>
      <c r="HD316" s="9">
        <v>-1.3</v>
      </c>
      <c r="HE316" s="9">
        <v>-0.6</v>
      </c>
      <c r="HF316" s="9">
        <v>-0.4</v>
      </c>
      <c r="HG316" s="9">
        <v>-4.0999999999999996</v>
      </c>
      <c r="HH316" s="9">
        <v>1</v>
      </c>
      <c r="HI316" s="9">
        <v>1.4</v>
      </c>
      <c r="HJ316" s="9">
        <v>-0.2</v>
      </c>
      <c r="HK316" s="9">
        <v>-1.5</v>
      </c>
      <c r="HL316" s="9">
        <v>-1.6</v>
      </c>
      <c r="HM316" s="9">
        <v>-0.8</v>
      </c>
      <c r="HN316" s="9">
        <v>0.1</v>
      </c>
      <c r="HO316" s="9">
        <v>0</v>
      </c>
      <c r="HP316" s="9">
        <v>0.3</v>
      </c>
      <c r="HQ316" s="9">
        <v>-0.7</v>
      </c>
      <c r="HR316" s="9">
        <v>-0.6</v>
      </c>
      <c r="HS316" s="9">
        <v>-0.1</v>
      </c>
      <c r="HT316" s="9">
        <v>0</v>
      </c>
      <c r="HU316" s="9">
        <v>-1.9</v>
      </c>
      <c r="HV316" s="9">
        <v>1.2</v>
      </c>
      <c r="HW316" s="9">
        <v>-1.1000000000000001</v>
      </c>
      <c r="HX316" s="9">
        <v>-3.2</v>
      </c>
      <c r="HY316" s="9">
        <v>-3.2</v>
      </c>
      <c r="HZ316" s="9">
        <v>0.5</v>
      </c>
      <c r="IA316" s="9">
        <v>0.5</v>
      </c>
      <c r="IB316" s="9">
        <v>-1</v>
      </c>
      <c r="IC316" s="9">
        <v>0.6</v>
      </c>
      <c r="ID316" s="9">
        <v>1.6</v>
      </c>
      <c r="IE316" s="9">
        <v>-0.1</v>
      </c>
      <c r="IF316" s="9">
        <v>-1.1000000000000001</v>
      </c>
      <c r="IG316" s="9">
        <v>1.1000000000000001</v>
      </c>
      <c r="IH316" s="9">
        <v>0.1</v>
      </c>
      <c r="II316" s="9">
        <v>0.5</v>
      </c>
      <c r="IJ316" s="9">
        <v>0</v>
      </c>
      <c r="IK316" s="9">
        <v>3.1</v>
      </c>
      <c r="IL316" s="9">
        <v>5.7</v>
      </c>
      <c r="IM316" s="9">
        <v>0.2</v>
      </c>
      <c r="IN316" s="9">
        <v>0.3</v>
      </c>
      <c r="IO316" s="9">
        <v>1.2</v>
      </c>
      <c r="IP316" s="9">
        <v>2.8</v>
      </c>
      <c r="IQ316" s="9">
        <v>-2.8</v>
      </c>
    </row>
    <row r="317" spans="1:251" x14ac:dyDescent="0.2">
      <c r="A317" s="10">
        <v>45717</v>
      </c>
      <c r="B317" s="8">
        <v>97.7</v>
      </c>
      <c r="C317" s="8">
        <v>98.47</v>
      </c>
      <c r="D317" s="8">
        <v>100.51</v>
      </c>
      <c r="E317" s="8">
        <v>101.09</v>
      </c>
      <c r="F317" s="8">
        <v>99.82</v>
      </c>
      <c r="G317" s="8">
        <v>101.14</v>
      </c>
      <c r="H317" s="8">
        <v>100.73</v>
      </c>
      <c r="I317" s="8">
        <v>98.32</v>
      </c>
      <c r="J317" s="8">
        <v>94.9</v>
      </c>
      <c r="K317" s="8">
        <v>100.59</v>
      </c>
      <c r="L317" s="8">
        <v>90.01</v>
      </c>
      <c r="M317" s="8">
        <v>101.65</v>
      </c>
      <c r="N317" s="8">
        <v>101.78</v>
      </c>
      <c r="O317" s="8">
        <v>99.41</v>
      </c>
      <c r="P317" s="8">
        <v>98.12</v>
      </c>
      <c r="Q317" s="8">
        <v>97.23</v>
      </c>
      <c r="R317" s="8">
        <v>100.66</v>
      </c>
      <c r="S317" s="8">
        <v>96.63</v>
      </c>
      <c r="T317" s="8">
        <v>100.93</v>
      </c>
      <c r="U317" s="8">
        <v>101.28</v>
      </c>
      <c r="V317" s="8">
        <v>100.64</v>
      </c>
      <c r="W317" s="8">
        <v>98.13</v>
      </c>
      <c r="X317" s="8">
        <v>94.72</v>
      </c>
      <c r="Y317" s="8">
        <v>97.54</v>
      </c>
      <c r="Z317" s="8">
        <v>99.83</v>
      </c>
      <c r="AA317" s="8">
        <v>100.33</v>
      </c>
      <c r="AB317" s="8">
        <v>96.14</v>
      </c>
      <c r="AC317" s="8">
        <v>100.83</v>
      </c>
      <c r="AD317" s="8">
        <v>98.4</v>
      </c>
      <c r="AE317" s="8">
        <v>89.65</v>
      </c>
      <c r="AF317" s="8">
        <v>101.08</v>
      </c>
      <c r="AG317" s="8">
        <v>97.57</v>
      </c>
      <c r="AH317" s="8">
        <v>97.95</v>
      </c>
      <c r="AI317" s="8">
        <v>97.11</v>
      </c>
      <c r="AJ317" s="8">
        <v>96.95</v>
      </c>
      <c r="AK317" s="8">
        <v>99.04</v>
      </c>
      <c r="AL317" s="8">
        <v>99.17</v>
      </c>
      <c r="AM317" s="8">
        <v>99.35</v>
      </c>
      <c r="AN317" s="8">
        <v>98.74</v>
      </c>
      <c r="AO317" s="8">
        <v>92.08</v>
      </c>
      <c r="AP317" s="8">
        <v>92.08</v>
      </c>
      <c r="AQ317" s="8">
        <v>96.86</v>
      </c>
      <c r="AR317" s="8">
        <v>98.56</v>
      </c>
      <c r="AS317" s="8">
        <v>100.8</v>
      </c>
      <c r="AT317" s="8">
        <v>98.5</v>
      </c>
      <c r="AU317" s="8">
        <v>95.35</v>
      </c>
      <c r="AV317" s="8">
        <v>95.42</v>
      </c>
      <c r="AW317" s="8">
        <v>98.04</v>
      </c>
      <c r="AX317" s="8">
        <v>92.88</v>
      </c>
      <c r="AY317" s="8">
        <v>101.58</v>
      </c>
      <c r="AZ317" s="8">
        <v>93.74</v>
      </c>
      <c r="BA317" s="8">
        <v>93.47</v>
      </c>
      <c r="BB317" s="8">
        <v>96.82</v>
      </c>
      <c r="BC317" s="8">
        <v>96.01</v>
      </c>
      <c r="BD317" s="8">
        <v>97.79</v>
      </c>
      <c r="BE317" s="8">
        <v>97.79</v>
      </c>
      <c r="BF317" s="8">
        <v>97.88</v>
      </c>
      <c r="BG317" s="8">
        <v>97.88</v>
      </c>
      <c r="BH317" s="8">
        <v>94.92</v>
      </c>
      <c r="BI317" s="8">
        <v>98.35</v>
      </c>
      <c r="BJ317" s="8">
        <v>90.43</v>
      </c>
      <c r="BK317" s="8">
        <v>90.81</v>
      </c>
      <c r="BL317" s="8">
        <v>97.33</v>
      </c>
      <c r="BM317" s="8">
        <v>87.02</v>
      </c>
      <c r="BN317" s="8">
        <v>94.23</v>
      </c>
      <c r="BO317" s="8">
        <v>97.94</v>
      </c>
      <c r="BP317" s="8">
        <v>96.38</v>
      </c>
      <c r="BQ317" s="8">
        <v>95.94</v>
      </c>
      <c r="BR317" s="8">
        <v>98.41</v>
      </c>
      <c r="BS317" s="8">
        <v>93.48</v>
      </c>
      <c r="BT317" s="8">
        <v>93.48</v>
      </c>
      <c r="BU317" s="8">
        <v>100.76</v>
      </c>
      <c r="BV317" s="8">
        <v>98.25</v>
      </c>
      <c r="BW317" s="8">
        <v>101.23</v>
      </c>
      <c r="BX317" s="8">
        <v>102.95</v>
      </c>
      <c r="BY317" s="8">
        <v>100.71</v>
      </c>
      <c r="BZ317" s="8">
        <v>99.74</v>
      </c>
      <c r="CA317" s="8">
        <v>99.09</v>
      </c>
      <c r="CB317" s="8">
        <v>99.36</v>
      </c>
      <c r="CC317" s="8">
        <v>100.13</v>
      </c>
      <c r="CD317" s="8">
        <v>96.72</v>
      </c>
      <c r="CE317" s="8">
        <v>93.05</v>
      </c>
      <c r="CF317" s="8">
        <v>98.31</v>
      </c>
      <c r="CG317" s="8">
        <v>98.53</v>
      </c>
      <c r="CH317" s="8">
        <v>98.57</v>
      </c>
      <c r="CI317" s="8">
        <v>103.22</v>
      </c>
      <c r="CJ317" s="8">
        <v>104.09</v>
      </c>
      <c r="CK317" s="8">
        <v>97.59</v>
      </c>
      <c r="CL317" s="8">
        <v>97.69</v>
      </c>
      <c r="CM317" s="8">
        <v>97.74</v>
      </c>
      <c r="CN317" s="8">
        <v>97.24</v>
      </c>
      <c r="CO317" s="8">
        <v>99.34</v>
      </c>
      <c r="CP317" s="8">
        <v>99.43</v>
      </c>
      <c r="CQ317" s="8">
        <v>100.09</v>
      </c>
      <c r="CR317" s="8">
        <v>101.27</v>
      </c>
      <c r="CS317" s="8">
        <v>100.95</v>
      </c>
      <c r="CT317" s="8">
        <v>97.21</v>
      </c>
      <c r="CU317" s="8">
        <v>96.23</v>
      </c>
      <c r="CV317" s="8">
        <v>96.48</v>
      </c>
      <c r="CW317" s="8">
        <v>96.48</v>
      </c>
      <c r="CX317" s="8">
        <v>98.32</v>
      </c>
      <c r="CY317" s="8">
        <v>98.32</v>
      </c>
      <c r="CZ317" s="8">
        <v>96.05</v>
      </c>
      <c r="DA317" s="8">
        <v>98.44</v>
      </c>
      <c r="DB317" s="8">
        <v>96.77</v>
      </c>
      <c r="DC317" s="8">
        <v>94.85</v>
      </c>
      <c r="DD317" s="8">
        <v>98.71</v>
      </c>
      <c r="DE317" s="8">
        <v>90.85</v>
      </c>
      <c r="DF317" s="8">
        <v>97.23</v>
      </c>
      <c r="DG317" s="8">
        <v>101.31</v>
      </c>
      <c r="DH317" s="8">
        <v>95.69</v>
      </c>
      <c r="DI317" s="8">
        <v>95.02</v>
      </c>
      <c r="DJ317" s="8">
        <v>99.48</v>
      </c>
      <c r="DK317" s="8">
        <v>90.53</v>
      </c>
      <c r="DL317" s="8">
        <v>100.32</v>
      </c>
      <c r="DM317" s="8">
        <v>100.7</v>
      </c>
      <c r="DN317" s="8">
        <v>101.74</v>
      </c>
      <c r="DO317" s="8">
        <v>101.43</v>
      </c>
      <c r="DP317" s="8">
        <v>97.19</v>
      </c>
      <c r="DQ317" s="8">
        <v>97.64</v>
      </c>
      <c r="DR317" s="8">
        <v>103.64</v>
      </c>
      <c r="DS317" s="8">
        <v>99.83</v>
      </c>
      <c r="DT317" s="8">
        <v>99.83</v>
      </c>
      <c r="DU317" s="8">
        <v>99.5</v>
      </c>
      <c r="DV317" s="8">
        <v>100</v>
      </c>
      <c r="DW317" s="8">
        <v>99.82</v>
      </c>
      <c r="DX317" s="8">
        <v>98.61</v>
      </c>
      <c r="DY317" s="8">
        <v>99.01</v>
      </c>
      <c r="DZ317" s="8">
        <v>99.01</v>
      </c>
      <c r="EA317" s="8">
        <v>98.48</v>
      </c>
      <c r="EB317" s="8">
        <v>96.93</v>
      </c>
      <c r="EC317" s="8">
        <v>98.65</v>
      </c>
      <c r="ED317" s="9">
        <v>0.9</v>
      </c>
      <c r="EE317" s="9">
        <v>1.2</v>
      </c>
      <c r="EF317" s="9">
        <v>0.7</v>
      </c>
      <c r="EG317" s="9">
        <v>0.9</v>
      </c>
      <c r="EH317" s="9">
        <v>0.6</v>
      </c>
      <c r="EI317" s="9">
        <v>0.6</v>
      </c>
      <c r="EJ317" s="9">
        <v>0.1</v>
      </c>
      <c r="EK317" s="9">
        <v>1</v>
      </c>
      <c r="EL317" s="9">
        <v>1.5</v>
      </c>
      <c r="EM317" s="9">
        <v>1.8</v>
      </c>
      <c r="EN317" s="9">
        <v>1.1000000000000001</v>
      </c>
      <c r="EO317" s="9">
        <v>0.8</v>
      </c>
      <c r="EP317" s="9">
        <v>1.1000000000000001</v>
      </c>
      <c r="EQ317" s="9">
        <v>-0.4</v>
      </c>
      <c r="ER317" s="9">
        <v>0.7</v>
      </c>
      <c r="ES317" s="9">
        <v>0</v>
      </c>
      <c r="ET317" s="9">
        <v>1.5</v>
      </c>
      <c r="EU317" s="9">
        <v>0.7</v>
      </c>
      <c r="EV317" s="9">
        <v>2.8</v>
      </c>
      <c r="EW317" s="9">
        <v>1.5</v>
      </c>
      <c r="EX317" s="9">
        <v>3.9</v>
      </c>
      <c r="EY317" s="9">
        <v>1.6</v>
      </c>
      <c r="EZ317" s="9">
        <v>1.3</v>
      </c>
      <c r="FA317" s="9">
        <v>-0.2</v>
      </c>
      <c r="FB317" s="9">
        <v>1.2</v>
      </c>
      <c r="FC317" s="9">
        <v>0.3</v>
      </c>
      <c r="FD317" s="9">
        <v>3</v>
      </c>
      <c r="FE317" s="9">
        <v>0.3</v>
      </c>
      <c r="FF317" s="9">
        <v>3.2</v>
      </c>
      <c r="FG317" s="9">
        <v>2.7</v>
      </c>
      <c r="FH317" s="9">
        <v>3.4</v>
      </c>
      <c r="FI317" s="9">
        <v>0.6</v>
      </c>
      <c r="FJ317" s="9">
        <v>0.5</v>
      </c>
      <c r="FK317" s="9">
        <v>0.7</v>
      </c>
      <c r="FL317" s="9">
        <v>1.2</v>
      </c>
      <c r="FM317" s="9">
        <v>1.1000000000000001</v>
      </c>
      <c r="FN317" s="9">
        <v>1.7</v>
      </c>
      <c r="FO317" s="9">
        <v>0.4</v>
      </c>
      <c r="FP317" s="9">
        <v>1.4</v>
      </c>
      <c r="FQ317" s="9">
        <v>1.6</v>
      </c>
      <c r="FR317" s="9">
        <v>1.6</v>
      </c>
      <c r="FS317" s="9">
        <v>-0.8</v>
      </c>
      <c r="FT317" s="9">
        <v>-1.1000000000000001</v>
      </c>
      <c r="FU317" s="9">
        <v>-1.2</v>
      </c>
      <c r="FV317" s="9">
        <v>-0.3</v>
      </c>
      <c r="FW317" s="9">
        <v>-3.1</v>
      </c>
      <c r="FX317" s="9">
        <v>-3.6</v>
      </c>
      <c r="FY317" s="9">
        <v>-4.4000000000000004</v>
      </c>
      <c r="FZ317" s="9">
        <v>-4.0999999999999996</v>
      </c>
      <c r="GA317" s="9">
        <v>-0.4</v>
      </c>
      <c r="GB317" s="9">
        <v>1.3</v>
      </c>
      <c r="GC317" s="9">
        <v>1.4</v>
      </c>
      <c r="GD317" s="9">
        <v>0.5</v>
      </c>
      <c r="GE317" s="9">
        <v>1.7</v>
      </c>
      <c r="GF317" s="9">
        <v>1.2</v>
      </c>
      <c r="GG317" s="9">
        <v>1.2</v>
      </c>
      <c r="GH317" s="9">
        <v>-0.4</v>
      </c>
      <c r="GI317" s="9">
        <v>-0.4</v>
      </c>
      <c r="GJ317" s="9">
        <v>0.3</v>
      </c>
      <c r="GK317" s="9">
        <v>0.5</v>
      </c>
      <c r="GL317" s="9">
        <v>0</v>
      </c>
      <c r="GM317" s="9">
        <v>8.1999999999999993</v>
      </c>
      <c r="GN317" s="9">
        <v>0</v>
      </c>
      <c r="GO317" s="9">
        <v>16.399999999999999</v>
      </c>
      <c r="GP317" s="9">
        <v>0</v>
      </c>
      <c r="GQ317" s="9">
        <v>-0.9</v>
      </c>
      <c r="GR317" s="9">
        <v>-4.5999999999999996</v>
      </c>
      <c r="GS317" s="9">
        <v>-5.5</v>
      </c>
      <c r="GT317" s="9">
        <v>-0.3</v>
      </c>
      <c r="GU317" s="9">
        <v>-3.4</v>
      </c>
      <c r="GV317" s="9">
        <v>-3.4</v>
      </c>
      <c r="GW317" s="9">
        <v>-2.1</v>
      </c>
      <c r="GX317" s="9">
        <v>-2.2000000000000002</v>
      </c>
      <c r="GY317" s="9">
        <v>-2.2000000000000002</v>
      </c>
      <c r="GZ317" s="9">
        <v>-3.9</v>
      </c>
      <c r="HA317" s="9">
        <v>0.1</v>
      </c>
      <c r="HB317" s="9">
        <v>0.8</v>
      </c>
      <c r="HC317" s="9">
        <v>0</v>
      </c>
      <c r="HD317" s="9">
        <v>2.2000000000000002</v>
      </c>
      <c r="HE317" s="9">
        <v>0.1</v>
      </c>
      <c r="HF317" s="9">
        <v>0.9</v>
      </c>
      <c r="HG317" s="9">
        <v>2.5</v>
      </c>
      <c r="HH317" s="9">
        <v>0.5</v>
      </c>
      <c r="HI317" s="9">
        <v>0</v>
      </c>
      <c r="HJ317" s="9">
        <v>2.9</v>
      </c>
      <c r="HK317" s="9">
        <v>4.8</v>
      </c>
      <c r="HL317" s="9">
        <v>5.3</v>
      </c>
      <c r="HM317" s="9">
        <v>1.6</v>
      </c>
      <c r="HN317" s="9">
        <v>2.5</v>
      </c>
      <c r="HO317" s="9">
        <v>2.7</v>
      </c>
      <c r="HP317" s="9">
        <v>0.4</v>
      </c>
      <c r="HQ317" s="9">
        <v>1</v>
      </c>
      <c r="HR317" s="9">
        <v>1</v>
      </c>
      <c r="HS317" s="9">
        <v>0.2</v>
      </c>
      <c r="HT317" s="9">
        <v>1.3</v>
      </c>
      <c r="HU317" s="9">
        <v>1.9</v>
      </c>
      <c r="HV317" s="9">
        <v>0.7</v>
      </c>
      <c r="HW317" s="9">
        <v>0.7</v>
      </c>
      <c r="HX317" s="9">
        <v>0.7</v>
      </c>
      <c r="HY317" s="9">
        <v>0.7</v>
      </c>
      <c r="HZ317" s="9">
        <v>-0.3</v>
      </c>
      <c r="IA317" s="9">
        <v>-0.3</v>
      </c>
      <c r="IB317" s="9">
        <v>0.9</v>
      </c>
      <c r="IC317" s="9">
        <v>-0.4</v>
      </c>
      <c r="ID317" s="9">
        <v>-1.6</v>
      </c>
      <c r="IE317" s="9">
        <v>-1</v>
      </c>
      <c r="IF317" s="9">
        <v>-2.2999999999999998</v>
      </c>
      <c r="IG317" s="9">
        <v>0.4</v>
      </c>
      <c r="IH317" s="9">
        <v>0.6</v>
      </c>
      <c r="II317" s="9">
        <v>0.1</v>
      </c>
      <c r="IJ317" s="9">
        <v>0.7</v>
      </c>
      <c r="IK317" s="9">
        <v>-3.6</v>
      </c>
      <c r="IL317" s="9">
        <v>0.3</v>
      </c>
      <c r="IM317" s="9">
        <v>-7.6</v>
      </c>
      <c r="IN317" s="9">
        <v>1</v>
      </c>
      <c r="IO317" s="9">
        <v>-0.8</v>
      </c>
      <c r="IP317" s="9">
        <v>0.6</v>
      </c>
      <c r="IQ317" s="9">
        <v>2.1</v>
      </c>
    </row>
    <row r="318" spans="1:251" x14ac:dyDescent="0.2">
      <c r="A318" s="10">
        <v>45809</v>
      </c>
      <c r="B318" s="8">
        <v>98.43</v>
      </c>
      <c r="C318" s="8">
        <v>99.43</v>
      </c>
      <c r="D318" s="8">
        <v>99.8</v>
      </c>
      <c r="E318" s="8">
        <v>100.41</v>
      </c>
      <c r="F318" s="8">
        <v>99.44</v>
      </c>
      <c r="G318" s="8">
        <v>99.29</v>
      </c>
      <c r="H318" s="8">
        <v>99.36</v>
      </c>
      <c r="I318" s="8">
        <v>98.34</v>
      </c>
      <c r="J318" s="8">
        <v>96.29</v>
      </c>
      <c r="K318" s="8">
        <v>99.85</v>
      </c>
      <c r="L318" s="8">
        <v>90.4</v>
      </c>
      <c r="M318" s="8">
        <v>100.22</v>
      </c>
      <c r="N318" s="8">
        <v>101.56</v>
      </c>
      <c r="O318" s="8">
        <v>99.99</v>
      </c>
      <c r="P318" s="8">
        <v>98.33</v>
      </c>
      <c r="Q318" s="8">
        <v>97.57</v>
      </c>
      <c r="R318" s="8">
        <v>100.63</v>
      </c>
      <c r="S318" s="8">
        <v>96.93</v>
      </c>
      <c r="T318" s="8">
        <v>105.22</v>
      </c>
      <c r="U318" s="8">
        <v>105.36</v>
      </c>
      <c r="V318" s="8">
        <v>105.12</v>
      </c>
      <c r="W318" s="8">
        <v>98.67</v>
      </c>
      <c r="X318" s="8">
        <v>100.9</v>
      </c>
      <c r="Y318" s="8">
        <v>97.54</v>
      </c>
      <c r="Z318" s="8">
        <v>99.03</v>
      </c>
      <c r="AA318" s="8">
        <v>99.65</v>
      </c>
      <c r="AB318" s="8">
        <v>97.8</v>
      </c>
      <c r="AC318" s="8">
        <v>99.25</v>
      </c>
      <c r="AD318" s="8">
        <v>100.59</v>
      </c>
      <c r="AE318" s="8">
        <v>93.48</v>
      </c>
      <c r="AF318" s="8">
        <v>102.76</v>
      </c>
      <c r="AG318" s="8">
        <v>98.25</v>
      </c>
      <c r="AH318" s="8">
        <v>98.33</v>
      </c>
      <c r="AI318" s="8">
        <v>98.15</v>
      </c>
      <c r="AJ318" s="8">
        <v>97.56</v>
      </c>
      <c r="AK318" s="8">
        <v>99.11</v>
      </c>
      <c r="AL318" s="8">
        <v>99.23</v>
      </c>
      <c r="AM318" s="8">
        <v>99.31</v>
      </c>
      <c r="AN318" s="8">
        <v>98.89</v>
      </c>
      <c r="AO318" s="8">
        <v>93.95</v>
      </c>
      <c r="AP318" s="8">
        <v>93.95</v>
      </c>
      <c r="AQ318" s="8">
        <v>99.44</v>
      </c>
      <c r="AR318" s="8">
        <v>102.03</v>
      </c>
      <c r="AS318" s="8">
        <v>103.26</v>
      </c>
      <c r="AT318" s="8">
        <v>102.02</v>
      </c>
      <c r="AU318" s="8">
        <v>100.17</v>
      </c>
      <c r="AV318" s="8">
        <v>100.84</v>
      </c>
      <c r="AW318" s="8">
        <v>103.4</v>
      </c>
      <c r="AX318" s="8">
        <v>99.75</v>
      </c>
      <c r="AY318" s="8">
        <v>101.27</v>
      </c>
      <c r="AZ318" s="8">
        <v>92.67</v>
      </c>
      <c r="BA318" s="8">
        <v>92.19</v>
      </c>
      <c r="BB318" s="8">
        <v>98.07</v>
      </c>
      <c r="BC318" s="8">
        <v>97.19</v>
      </c>
      <c r="BD318" s="8">
        <v>98.79</v>
      </c>
      <c r="BE318" s="8">
        <v>98.79</v>
      </c>
      <c r="BF318" s="8">
        <v>98.31</v>
      </c>
      <c r="BG318" s="8">
        <v>98.31</v>
      </c>
      <c r="BH318" s="8">
        <v>95.24</v>
      </c>
      <c r="BI318" s="8">
        <v>98.91</v>
      </c>
      <c r="BJ318" s="8">
        <v>90.43</v>
      </c>
      <c r="BK318" s="8">
        <v>94.31</v>
      </c>
      <c r="BL318" s="8">
        <v>97.33</v>
      </c>
      <c r="BM318" s="8">
        <v>94.07</v>
      </c>
      <c r="BN318" s="8">
        <v>92.25</v>
      </c>
      <c r="BO318" s="8">
        <v>99</v>
      </c>
      <c r="BP318" s="8">
        <v>98.74</v>
      </c>
      <c r="BQ318" s="8">
        <v>98.72</v>
      </c>
      <c r="BR318" s="8">
        <v>98.81</v>
      </c>
      <c r="BS318" s="8">
        <v>96.75</v>
      </c>
      <c r="BT318" s="8">
        <v>96.75</v>
      </c>
      <c r="BU318" s="8">
        <v>101.61</v>
      </c>
      <c r="BV318" s="8">
        <v>99.95</v>
      </c>
      <c r="BW318" s="8">
        <v>102.52</v>
      </c>
      <c r="BX318" s="8">
        <v>103.47</v>
      </c>
      <c r="BY318" s="8">
        <v>100.69</v>
      </c>
      <c r="BZ318" s="8">
        <v>100.16</v>
      </c>
      <c r="CA318" s="8">
        <v>98.86</v>
      </c>
      <c r="CB318" s="8">
        <v>99.53</v>
      </c>
      <c r="CC318" s="8">
        <v>100.83</v>
      </c>
      <c r="CD318" s="8">
        <v>97.29</v>
      </c>
      <c r="CE318" s="8">
        <v>94.18</v>
      </c>
      <c r="CF318" s="8">
        <v>98.79</v>
      </c>
      <c r="CG318" s="8">
        <v>98.62</v>
      </c>
      <c r="CH318" s="8">
        <v>100.02</v>
      </c>
      <c r="CI318" s="8">
        <v>101.55</v>
      </c>
      <c r="CJ318" s="8">
        <v>101.97</v>
      </c>
      <c r="CK318" s="8">
        <v>98.83</v>
      </c>
      <c r="CL318" s="8">
        <v>99.73</v>
      </c>
      <c r="CM318" s="8">
        <v>99.97</v>
      </c>
      <c r="CN318" s="8">
        <v>97.69</v>
      </c>
      <c r="CO318" s="8">
        <v>98.67</v>
      </c>
      <c r="CP318" s="8">
        <v>98.68</v>
      </c>
      <c r="CQ318" s="8">
        <v>99.89</v>
      </c>
      <c r="CR318" s="8">
        <v>101.98</v>
      </c>
      <c r="CS318" s="8">
        <v>97.46</v>
      </c>
      <c r="CT318" s="8">
        <v>98.63</v>
      </c>
      <c r="CU318" s="8">
        <v>96.56</v>
      </c>
      <c r="CV318" s="8">
        <v>98.13</v>
      </c>
      <c r="CW318" s="8">
        <v>98.13</v>
      </c>
      <c r="CX318" s="8">
        <v>98.53</v>
      </c>
      <c r="CY318" s="8">
        <v>98.53</v>
      </c>
      <c r="CZ318" s="8">
        <v>98.13</v>
      </c>
      <c r="DA318" s="8">
        <v>98.55</v>
      </c>
      <c r="DB318" s="8">
        <v>97.16</v>
      </c>
      <c r="DC318" s="8">
        <v>96.6</v>
      </c>
      <c r="DD318" s="8">
        <v>100.98</v>
      </c>
      <c r="DE318" s="8">
        <v>92.07</v>
      </c>
      <c r="DF318" s="8">
        <v>98.72</v>
      </c>
      <c r="DG318" s="8">
        <v>101.26</v>
      </c>
      <c r="DH318" s="8">
        <v>97.76</v>
      </c>
      <c r="DI318" s="8">
        <v>95.27</v>
      </c>
      <c r="DJ318" s="8">
        <v>95.75</v>
      </c>
      <c r="DK318" s="8">
        <v>94.78</v>
      </c>
      <c r="DL318" s="8">
        <v>100.16</v>
      </c>
      <c r="DM318" s="8">
        <v>100.44</v>
      </c>
      <c r="DN318" s="8">
        <v>101.46</v>
      </c>
      <c r="DO318" s="8">
        <v>100.8</v>
      </c>
      <c r="DP318" s="8">
        <v>97.9</v>
      </c>
      <c r="DQ318" s="8">
        <v>98.25</v>
      </c>
      <c r="DR318" s="8">
        <v>102.39</v>
      </c>
      <c r="DS318" s="8">
        <v>99.8</v>
      </c>
      <c r="DT318" s="8">
        <v>99.8</v>
      </c>
      <c r="DU318" s="8">
        <v>99.35</v>
      </c>
      <c r="DV318" s="8">
        <v>100</v>
      </c>
      <c r="DW318" s="8">
        <v>99.82</v>
      </c>
      <c r="DX318" s="8">
        <v>99.09</v>
      </c>
      <c r="DY318" s="8">
        <v>98.49</v>
      </c>
      <c r="DZ318" s="8">
        <v>98.49</v>
      </c>
      <c r="EA318" s="8">
        <v>99.29</v>
      </c>
      <c r="EB318" s="8">
        <v>99.48</v>
      </c>
      <c r="EC318" s="8">
        <v>99.26</v>
      </c>
      <c r="ED318" s="9">
        <v>0.7</v>
      </c>
      <c r="EE318" s="9">
        <v>1</v>
      </c>
      <c r="EF318" s="9">
        <v>-0.7</v>
      </c>
      <c r="EG318" s="9">
        <v>-0.7</v>
      </c>
      <c r="EH318" s="9">
        <v>-0.4</v>
      </c>
      <c r="EI318" s="9">
        <v>-1.8</v>
      </c>
      <c r="EJ318" s="9">
        <v>-1.4</v>
      </c>
      <c r="EK318" s="9">
        <v>0</v>
      </c>
      <c r="EL318" s="9">
        <v>1.5</v>
      </c>
      <c r="EM318" s="9">
        <v>-0.7</v>
      </c>
      <c r="EN318" s="9">
        <v>0.4</v>
      </c>
      <c r="EO318" s="9">
        <v>-1.4</v>
      </c>
      <c r="EP318" s="9">
        <v>-0.2</v>
      </c>
      <c r="EQ318" s="9">
        <v>0.6</v>
      </c>
      <c r="ER318" s="9">
        <v>0.2</v>
      </c>
      <c r="ES318" s="9">
        <v>0.3</v>
      </c>
      <c r="ET318" s="9">
        <v>0</v>
      </c>
      <c r="EU318" s="9">
        <v>0.3</v>
      </c>
      <c r="EV318" s="9">
        <v>4.3</v>
      </c>
      <c r="EW318" s="9">
        <v>4</v>
      </c>
      <c r="EX318" s="9">
        <v>4.5</v>
      </c>
      <c r="EY318" s="9">
        <v>0.6</v>
      </c>
      <c r="EZ318" s="9">
        <v>6.5</v>
      </c>
      <c r="FA318" s="9">
        <v>0</v>
      </c>
      <c r="FB318" s="9">
        <v>-0.8</v>
      </c>
      <c r="FC318" s="9">
        <v>-0.7</v>
      </c>
      <c r="FD318" s="9">
        <v>1.7</v>
      </c>
      <c r="FE318" s="9">
        <v>-1.6</v>
      </c>
      <c r="FF318" s="9">
        <v>2.2000000000000002</v>
      </c>
      <c r="FG318" s="9">
        <v>4.3</v>
      </c>
      <c r="FH318" s="9">
        <v>1.7</v>
      </c>
      <c r="FI318" s="9">
        <v>0.7</v>
      </c>
      <c r="FJ318" s="9">
        <v>0.4</v>
      </c>
      <c r="FK318" s="9">
        <v>1.1000000000000001</v>
      </c>
      <c r="FL318" s="9">
        <v>0.6</v>
      </c>
      <c r="FM318" s="9">
        <v>0.1</v>
      </c>
      <c r="FN318" s="9">
        <v>0.1</v>
      </c>
      <c r="FO318" s="9">
        <v>0</v>
      </c>
      <c r="FP318" s="9">
        <v>0.2</v>
      </c>
      <c r="FQ318" s="9">
        <v>2</v>
      </c>
      <c r="FR318" s="9">
        <v>2</v>
      </c>
      <c r="FS318" s="9">
        <v>2.7</v>
      </c>
      <c r="FT318" s="9">
        <v>3.5</v>
      </c>
      <c r="FU318" s="9">
        <v>2.4</v>
      </c>
      <c r="FV318" s="9">
        <v>3.6</v>
      </c>
      <c r="FW318" s="9">
        <v>5.0999999999999996</v>
      </c>
      <c r="FX318" s="9">
        <v>5.7</v>
      </c>
      <c r="FY318" s="9">
        <v>5.5</v>
      </c>
      <c r="FZ318" s="9">
        <v>7.4</v>
      </c>
      <c r="GA318" s="9">
        <v>-0.3</v>
      </c>
      <c r="GB318" s="9">
        <v>-1.1000000000000001</v>
      </c>
      <c r="GC318" s="9">
        <v>-1.4</v>
      </c>
      <c r="GD318" s="9">
        <v>1.3</v>
      </c>
      <c r="GE318" s="9">
        <v>1.2</v>
      </c>
      <c r="GF318" s="9">
        <v>1</v>
      </c>
      <c r="GG318" s="9">
        <v>1</v>
      </c>
      <c r="GH318" s="9">
        <v>0.4</v>
      </c>
      <c r="GI318" s="9">
        <v>0.4</v>
      </c>
      <c r="GJ318" s="9">
        <v>0.3</v>
      </c>
      <c r="GK318" s="9">
        <v>0.6</v>
      </c>
      <c r="GL318" s="9">
        <v>0</v>
      </c>
      <c r="GM318" s="9">
        <v>3.9</v>
      </c>
      <c r="GN318" s="9">
        <v>0</v>
      </c>
      <c r="GO318" s="9">
        <v>8.1</v>
      </c>
      <c r="GP318" s="9">
        <v>-2.1</v>
      </c>
      <c r="GQ318" s="9">
        <v>1.1000000000000001</v>
      </c>
      <c r="GR318" s="9">
        <v>2.4</v>
      </c>
      <c r="GS318" s="9">
        <v>2.9</v>
      </c>
      <c r="GT318" s="9">
        <v>0.4</v>
      </c>
      <c r="GU318" s="9">
        <v>3.5</v>
      </c>
      <c r="GV318" s="9">
        <v>3.5</v>
      </c>
      <c r="GW318" s="9">
        <v>0.8</v>
      </c>
      <c r="GX318" s="9">
        <v>1.7</v>
      </c>
      <c r="GY318" s="9">
        <v>1.3</v>
      </c>
      <c r="GZ318" s="9">
        <v>0.5</v>
      </c>
      <c r="HA318" s="9">
        <v>0</v>
      </c>
      <c r="HB318" s="9">
        <v>0.4</v>
      </c>
      <c r="HC318" s="9">
        <v>-0.2</v>
      </c>
      <c r="HD318" s="9">
        <v>0.2</v>
      </c>
      <c r="HE318" s="9">
        <v>0.7</v>
      </c>
      <c r="HF318" s="9">
        <v>0.6</v>
      </c>
      <c r="HG318" s="9">
        <v>1.2</v>
      </c>
      <c r="HH318" s="9">
        <v>0.5</v>
      </c>
      <c r="HI318" s="9">
        <v>0.1</v>
      </c>
      <c r="HJ318" s="9">
        <v>1.5</v>
      </c>
      <c r="HK318" s="9">
        <v>-1.6</v>
      </c>
      <c r="HL318" s="9">
        <v>-2</v>
      </c>
      <c r="HM318" s="9">
        <v>1.3</v>
      </c>
      <c r="HN318" s="9">
        <v>2.1</v>
      </c>
      <c r="HO318" s="9">
        <v>2.2999999999999998</v>
      </c>
      <c r="HP318" s="9">
        <v>0.5</v>
      </c>
      <c r="HQ318" s="9">
        <v>-0.7</v>
      </c>
      <c r="HR318" s="9">
        <v>-0.8</v>
      </c>
      <c r="HS318" s="9">
        <v>-0.2</v>
      </c>
      <c r="HT318" s="9">
        <v>0.7</v>
      </c>
      <c r="HU318" s="9">
        <v>-3.5</v>
      </c>
      <c r="HV318" s="9">
        <v>1.5</v>
      </c>
      <c r="HW318" s="9">
        <v>0.3</v>
      </c>
      <c r="HX318" s="9">
        <v>1.7</v>
      </c>
      <c r="HY318" s="9">
        <v>1.7</v>
      </c>
      <c r="HZ318" s="9">
        <v>0.2</v>
      </c>
      <c r="IA318" s="9">
        <v>0.2</v>
      </c>
      <c r="IB318" s="9">
        <v>2.2000000000000002</v>
      </c>
      <c r="IC318" s="9">
        <v>0.1</v>
      </c>
      <c r="ID318" s="9">
        <v>0.4</v>
      </c>
      <c r="IE318" s="9">
        <v>1.8</v>
      </c>
      <c r="IF318" s="9">
        <v>2.2999999999999998</v>
      </c>
      <c r="IG318" s="9">
        <v>1.3</v>
      </c>
      <c r="IH318" s="9">
        <v>1.5</v>
      </c>
      <c r="II318" s="9">
        <v>0</v>
      </c>
      <c r="IJ318" s="9">
        <v>2.2000000000000002</v>
      </c>
      <c r="IK318" s="9">
        <v>0.3</v>
      </c>
      <c r="IL318" s="9">
        <v>-3.7</v>
      </c>
      <c r="IM318" s="9">
        <v>4.7</v>
      </c>
      <c r="IN318" s="9">
        <v>-0.2</v>
      </c>
      <c r="IO318" s="9">
        <v>-0.3</v>
      </c>
      <c r="IP318" s="9">
        <v>-0.3</v>
      </c>
      <c r="IQ318" s="9">
        <v>-0.6</v>
      </c>
    </row>
    <row r="319" spans="1:251" x14ac:dyDescent="0.2">
      <c r="A319" s="10">
        <v>45901</v>
      </c>
      <c r="B319" s="8">
        <v>99.73</v>
      </c>
      <c r="C319" s="8">
        <v>100.14</v>
      </c>
      <c r="D319" s="8">
        <v>100.17</v>
      </c>
      <c r="E319" s="8">
        <v>100.08</v>
      </c>
      <c r="F319" s="8">
        <v>100.52</v>
      </c>
      <c r="G319" s="8">
        <v>99.54</v>
      </c>
      <c r="H319" s="8">
        <v>99.52</v>
      </c>
      <c r="I319" s="8">
        <v>99.34</v>
      </c>
      <c r="J319" s="8">
        <v>98.46</v>
      </c>
      <c r="K319" s="8">
        <v>100.01</v>
      </c>
      <c r="L319" s="8">
        <v>95.67</v>
      </c>
      <c r="M319" s="8">
        <v>100.31</v>
      </c>
      <c r="N319" s="8">
        <v>100.75</v>
      </c>
      <c r="O319" s="8">
        <v>100</v>
      </c>
      <c r="P319" s="8">
        <v>99.19</v>
      </c>
      <c r="Q319" s="8">
        <v>99.07</v>
      </c>
      <c r="R319" s="8">
        <v>99.95</v>
      </c>
      <c r="S319" s="8">
        <v>98.54</v>
      </c>
      <c r="T319" s="8">
        <v>103.82</v>
      </c>
      <c r="U319" s="8">
        <v>104.49</v>
      </c>
      <c r="V319" s="8">
        <v>103.27</v>
      </c>
      <c r="W319" s="8">
        <v>99.47</v>
      </c>
      <c r="X319" s="8">
        <v>100.86</v>
      </c>
      <c r="Y319" s="8">
        <v>98.88</v>
      </c>
      <c r="Z319" s="8">
        <v>99.77</v>
      </c>
      <c r="AA319" s="8">
        <v>99.63</v>
      </c>
      <c r="AB319" s="8">
        <v>99.07</v>
      </c>
      <c r="AC319" s="8">
        <v>99.74</v>
      </c>
      <c r="AD319" s="8">
        <v>100.8</v>
      </c>
      <c r="AE319" s="8">
        <v>98.48</v>
      </c>
      <c r="AF319" s="8">
        <v>101.52</v>
      </c>
      <c r="AG319" s="8">
        <v>99.58</v>
      </c>
      <c r="AH319" s="8">
        <v>99.53</v>
      </c>
      <c r="AI319" s="8">
        <v>99.65</v>
      </c>
      <c r="AJ319" s="8">
        <v>99.15</v>
      </c>
      <c r="AK319" s="8">
        <v>100.22</v>
      </c>
      <c r="AL319" s="8">
        <v>100</v>
      </c>
      <c r="AM319" s="8">
        <v>100.81</v>
      </c>
      <c r="AN319" s="8">
        <v>99.85</v>
      </c>
      <c r="AO319" s="8">
        <v>96.66</v>
      </c>
      <c r="AP319" s="8">
        <v>96.66</v>
      </c>
      <c r="AQ319" s="8">
        <v>99.96</v>
      </c>
      <c r="AR319" s="8">
        <v>101.32</v>
      </c>
      <c r="AS319" s="8">
        <v>101.18</v>
      </c>
      <c r="AT319" s="8">
        <v>101.9</v>
      </c>
      <c r="AU319" s="8">
        <v>99.64</v>
      </c>
      <c r="AV319" s="8">
        <v>98.12</v>
      </c>
      <c r="AW319" s="8">
        <v>100.39</v>
      </c>
      <c r="AX319" s="8">
        <v>96.89</v>
      </c>
      <c r="AY319" s="8">
        <v>99.56</v>
      </c>
      <c r="AZ319" s="8">
        <v>97.87</v>
      </c>
      <c r="BA319" s="8">
        <v>97.69</v>
      </c>
      <c r="BB319" s="8">
        <v>99.81</v>
      </c>
      <c r="BC319" s="8">
        <v>99.65</v>
      </c>
      <c r="BD319" s="8">
        <v>99.74</v>
      </c>
      <c r="BE319" s="8">
        <v>99.74</v>
      </c>
      <c r="BF319" s="8">
        <v>99.42</v>
      </c>
      <c r="BG319" s="8">
        <v>99.42</v>
      </c>
      <c r="BH319" s="8">
        <v>98.29</v>
      </c>
      <c r="BI319" s="8">
        <v>99.94</v>
      </c>
      <c r="BJ319" s="8">
        <v>96.08</v>
      </c>
      <c r="BK319" s="8">
        <v>101.05</v>
      </c>
      <c r="BL319" s="8">
        <v>100</v>
      </c>
      <c r="BM319" s="8">
        <v>102.54</v>
      </c>
      <c r="BN319" s="8">
        <v>98.41</v>
      </c>
      <c r="BO319" s="8">
        <v>99.95</v>
      </c>
      <c r="BP319" s="8">
        <v>99.07</v>
      </c>
      <c r="BQ319" s="8">
        <v>98.96</v>
      </c>
      <c r="BR319" s="8">
        <v>99.61</v>
      </c>
      <c r="BS319" s="8">
        <v>101.31</v>
      </c>
      <c r="BT319" s="8">
        <v>101.31</v>
      </c>
      <c r="BU319" s="8">
        <v>101.13</v>
      </c>
      <c r="BV319" s="8">
        <v>100.18</v>
      </c>
      <c r="BW319" s="8">
        <v>101.02</v>
      </c>
      <c r="BX319" s="8">
        <v>103.02</v>
      </c>
      <c r="BY319" s="8">
        <v>100.25</v>
      </c>
      <c r="BZ319" s="8">
        <v>100.32</v>
      </c>
      <c r="CA319" s="8">
        <v>100.27</v>
      </c>
      <c r="CB319" s="8">
        <v>100.13</v>
      </c>
      <c r="CC319" s="8">
        <v>100.46</v>
      </c>
      <c r="CD319" s="8">
        <v>99.31</v>
      </c>
      <c r="CE319" s="8">
        <v>97.95</v>
      </c>
      <c r="CF319" s="8">
        <v>99.54</v>
      </c>
      <c r="CG319" s="8">
        <v>100.57</v>
      </c>
      <c r="CH319" s="8">
        <v>100.02</v>
      </c>
      <c r="CI319" s="8">
        <v>100.55</v>
      </c>
      <c r="CJ319" s="8">
        <v>100.67</v>
      </c>
      <c r="CK319" s="8">
        <v>99.8</v>
      </c>
      <c r="CL319" s="8">
        <v>99.92</v>
      </c>
      <c r="CM319" s="8">
        <v>99.97</v>
      </c>
      <c r="CN319" s="8">
        <v>99.53</v>
      </c>
      <c r="CO319" s="8">
        <v>99.83</v>
      </c>
      <c r="CP319" s="8">
        <v>99.83</v>
      </c>
      <c r="CQ319" s="8">
        <v>100.55</v>
      </c>
      <c r="CR319" s="8">
        <v>100.65</v>
      </c>
      <c r="CS319" s="8">
        <v>99.41</v>
      </c>
      <c r="CT319" s="8">
        <v>99.78</v>
      </c>
      <c r="CU319" s="8">
        <v>98.55</v>
      </c>
      <c r="CV319" s="8">
        <v>99.99</v>
      </c>
      <c r="CW319" s="8">
        <v>99.99</v>
      </c>
      <c r="CX319" s="8">
        <v>99.9</v>
      </c>
      <c r="CY319" s="8">
        <v>99.9</v>
      </c>
      <c r="CZ319" s="8">
        <v>99.66</v>
      </c>
      <c r="DA319" s="8">
        <v>99.91</v>
      </c>
      <c r="DB319" s="8">
        <v>98.98</v>
      </c>
      <c r="DC319" s="8">
        <v>99.43</v>
      </c>
      <c r="DD319" s="8">
        <v>100.98</v>
      </c>
      <c r="DE319" s="8">
        <v>97.83</v>
      </c>
      <c r="DF319" s="8">
        <v>100.31</v>
      </c>
      <c r="DG319" s="8">
        <v>101</v>
      </c>
      <c r="DH319" s="8">
        <v>100.05</v>
      </c>
      <c r="DI319" s="8">
        <v>98.06</v>
      </c>
      <c r="DJ319" s="8">
        <v>98.82</v>
      </c>
      <c r="DK319" s="8">
        <v>97.3</v>
      </c>
      <c r="DL319" s="8">
        <v>100</v>
      </c>
      <c r="DM319" s="8">
        <v>100.22</v>
      </c>
      <c r="DN319" s="8">
        <v>98.06</v>
      </c>
      <c r="DO319" s="8">
        <v>100.4</v>
      </c>
      <c r="DP319" s="8">
        <v>99.65</v>
      </c>
      <c r="DQ319" s="8">
        <v>99.76</v>
      </c>
      <c r="DR319" s="8">
        <v>101.52</v>
      </c>
      <c r="DS319" s="8">
        <v>99.94</v>
      </c>
      <c r="DT319" s="8">
        <v>99.94</v>
      </c>
      <c r="DU319" s="8">
        <v>99.8</v>
      </c>
      <c r="DV319" s="8">
        <v>100</v>
      </c>
      <c r="DW319" s="8">
        <v>99.95</v>
      </c>
      <c r="DX319" s="8">
        <v>99.85</v>
      </c>
      <c r="DY319" s="8">
        <v>100.01</v>
      </c>
      <c r="DZ319" s="8">
        <v>100.01</v>
      </c>
      <c r="EA319" s="8">
        <v>99.79</v>
      </c>
      <c r="EB319" s="8">
        <v>100.61</v>
      </c>
      <c r="EC319" s="8">
        <v>99.71</v>
      </c>
      <c r="ED319" s="9">
        <v>1.3</v>
      </c>
      <c r="EE319" s="9">
        <v>0.7</v>
      </c>
      <c r="EF319" s="9">
        <v>0.4</v>
      </c>
      <c r="EG319" s="9">
        <v>-0.3</v>
      </c>
      <c r="EH319" s="9">
        <v>1.1000000000000001</v>
      </c>
      <c r="EI319" s="9">
        <v>0.3</v>
      </c>
      <c r="EJ319" s="9">
        <v>0.2</v>
      </c>
      <c r="EK319" s="9">
        <v>1</v>
      </c>
      <c r="EL319" s="9">
        <v>2.2999999999999998</v>
      </c>
      <c r="EM319" s="9">
        <v>0.2</v>
      </c>
      <c r="EN319" s="9">
        <v>5.8</v>
      </c>
      <c r="EO319" s="9">
        <v>0.1</v>
      </c>
      <c r="EP319" s="9">
        <v>-0.8</v>
      </c>
      <c r="EQ319" s="9">
        <v>0</v>
      </c>
      <c r="ER319" s="9">
        <v>0.9</v>
      </c>
      <c r="ES319" s="9">
        <v>1.5</v>
      </c>
      <c r="ET319" s="9">
        <v>-0.7</v>
      </c>
      <c r="EU319" s="9">
        <v>1.7</v>
      </c>
      <c r="EV319" s="9">
        <v>-1.3</v>
      </c>
      <c r="EW319" s="9">
        <v>-0.8</v>
      </c>
      <c r="EX319" s="9">
        <v>-1.8</v>
      </c>
      <c r="EY319" s="9">
        <v>0.8</v>
      </c>
      <c r="EZ319" s="9">
        <v>0</v>
      </c>
      <c r="FA319" s="9">
        <v>1.4</v>
      </c>
      <c r="FB319" s="9">
        <v>0.7</v>
      </c>
      <c r="FC319" s="9">
        <v>0</v>
      </c>
      <c r="FD319" s="9">
        <v>1.3</v>
      </c>
      <c r="FE319" s="9">
        <v>0.5</v>
      </c>
      <c r="FF319" s="9">
        <v>0.2</v>
      </c>
      <c r="FG319" s="9">
        <v>5.3</v>
      </c>
      <c r="FH319" s="9">
        <v>-1.2</v>
      </c>
      <c r="FI319" s="9">
        <v>1.4</v>
      </c>
      <c r="FJ319" s="9">
        <v>1.2</v>
      </c>
      <c r="FK319" s="9">
        <v>1.5</v>
      </c>
      <c r="FL319" s="9">
        <v>1.6</v>
      </c>
      <c r="FM319" s="9">
        <v>1.1000000000000001</v>
      </c>
      <c r="FN319" s="9">
        <v>0.8</v>
      </c>
      <c r="FO319" s="9">
        <v>1.5</v>
      </c>
      <c r="FP319" s="9">
        <v>1</v>
      </c>
      <c r="FQ319" s="9">
        <v>2.9</v>
      </c>
      <c r="FR319" s="9">
        <v>2.9</v>
      </c>
      <c r="FS319" s="9">
        <v>0.5</v>
      </c>
      <c r="FT319" s="9">
        <v>-0.7</v>
      </c>
      <c r="FU319" s="9">
        <v>-2</v>
      </c>
      <c r="FV319" s="9">
        <v>-0.1</v>
      </c>
      <c r="FW319" s="9">
        <v>-0.5</v>
      </c>
      <c r="FX319" s="9">
        <v>-2.7</v>
      </c>
      <c r="FY319" s="9">
        <v>-2.9</v>
      </c>
      <c r="FZ319" s="9">
        <v>-2.9</v>
      </c>
      <c r="GA319" s="9">
        <v>-1.7</v>
      </c>
      <c r="GB319" s="9">
        <v>5.6</v>
      </c>
      <c r="GC319" s="9">
        <v>6</v>
      </c>
      <c r="GD319" s="9">
        <v>1.8</v>
      </c>
      <c r="GE319" s="9">
        <v>2.5</v>
      </c>
      <c r="GF319" s="9">
        <v>1</v>
      </c>
      <c r="GG319" s="9">
        <v>1</v>
      </c>
      <c r="GH319" s="9">
        <v>1.1000000000000001</v>
      </c>
      <c r="GI319" s="9">
        <v>1.1000000000000001</v>
      </c>
      <c r="GJ319" s="9">
        <v>3.2</v>
      </c>
      <c r="GK319" s="9">
        <v>1</v>
      </c>
      <c r="GL319" s="9">
        <v>6.2</v>
      </c>
      <c r="GM319" s="9">
        <v>7.1</v>
      </c>
      <c r="GN319" s="9">
        <v>2.7</v>
      </c>
      <c r="GO319" s="9">
        <v>9</v>
      </c>
      <c r="GP319" s="9">
        <v>6.7</v>
      </c>
      <c r="GQ319" s="9">
        <v>1</v>
      </c>
      <c r="GR319" s="9">
        <v>0.3</v>
      </c>
      <c r="GS319" s="9">
        <v>0.2</v>
      </c>
      <c r="GT319" s="9">
        <v>0.8</v>
      </c>
      <c r="GU319" s="9">
        <v>4.7</v>
      </c>
      <c r="GV319" s="9">
        <v>4.7</v>
      </c>
      <c r="GW319" s="9">
        <v>-0.5</v>
      </c>
      <c r="GX319" s="9">
        <v>0.2</v>
      </c>
      <c r="GY319" s="9">
        <v>-1.5</v>
      </c>
      <c r="GZ319" s="9">
        <v>-0.4</v>
      </c>
      <c r="HA319" s="9">
        <v>-0.4</v>
      </c>
      <c r="HB319" s="9">
        <v>0.2</v>
      </c>
      <c r="HC319" s="9">
        <v>1.4</v>
      </c>
      <c r="HD319" s="9">
        <v>0.6</v>
      </c>
      <c r="HE319" s="9">
        <v>-0.4</v>
      </c>
      <c r="HF319" s="9">
        <v>2.1</v>
      </c>
      <c r="HG319" s="9">
        <v>4</v>
      </c>
      <c r="HH319" s="9">
        <v>0.8</v>
      </c>
      <c r="HI319" s="9">
        <v>2</v>
      </c>
      <c r="HJ319" s="9">
        <v>0</v>
      </c>
      <c r="HK319" s="9">
        <v>-1</v>
      </c>
      <c r="HL319" s="9">
        <v>-1.3</v>
      </c>
      <c r="HM319" s="9">
        <v>1</v>
      </c>
      <c r="HN319" s="9">
        <v>0.2</v>
      </c>
      <c r="HO319" s="9">
        <v>0</v>
      </c>
      <c r="HP319" s="9">
        <v>1.9</v>
      </c>
      <c r="HQ319" s="9">
        <v>1.2</v>
      </c>
      <c r="HR319" s="9">
        <v>1.2</v>
      </c>
      <c r="HS319" s="9">
        <v>0.7</v>
      </c>
      <c r="HT319" s="9">
        <v>-1.3</v>
      </c>
      <c r="HU319" s="9">
        <v>2</v>
      </c>
      <c r="HV319" s="9">
        <v>1.2</v>
      </c>
      <c r="HW319" s="9">
        <v>2.1</v>
      </c>
      <c r="HX319" s="9">
        <v>1.9</v>
      </c>
      <c r="HY319" s="9">
        <v>1.9</v>
      </c>
      <c r="HZ319" s="9">
        <v>1.4</v>
      </c>
      <c r="IA319" s="9">
        <v>1.4</v>
      </c>
      <c r="IB319" s="9">
        <v>1.6</v>
      </c>
      <c r="IC319" s="9">
        <v>1.4</v>
      </c>
      <c r="ID319" s="9">
        <v>1.9</v>
      </c>
      <c r="IE319" s="9">
        <v>2.9</v>
      </c>
      <c r="IF319" s="9">
        <v>0</v>
      </c>
      <c r="IG319" s="9">
        <v>6.3</v>
      </c>
      <c r="IH319" s="9">
        <v>1.6</v>
      </c>
      <c r="II319" s="9">
        <v>-0.3</v>
      </c>
      <c r="IJ319" s="9">
        <v>2.2999999999999998</v>
      </c>
      <c r="IK319" s="9">
        <v>2.9</v>
      </c>
      <c r="IL319" s="9">
        <v>3.2</v>
      </c>
      <c r="IM319" s="9">
        <v>2.7</v>
      </c>
      <c r="IN319" s="9">
        <v>-0.2</v>
      </c>
      <c r="IO319" s="9">
        <v>-0.2</v>
      </c>
      <c r="IP319" s="9">
        <v>-3.4</v>
      </c>
      <c r="IQ319" s="9">
        <v>-0.4</v>
      </c>
    </row>
    <row r="320" spans="1:251" x14ac:dyDescent="0.2">
      <c r="A320" s="10">
        <v>45992</v>
      </c>
      <c r="B320" s="8">
        <v>100.32</v>
      </c>
      <c r="C320" s="8">
        <v>100.53</v>
      </c>
      <c r="D320" s="8">
        <v>100.94</v>
      </c>
      <c r="E320" s="8">
        <v>100.88</v>
      </c>
      <c r="F320" s="8">
        <v>100.7</v>
      </c>
      <c r="G320" s="8">
        <v>105.11</v>
      </c>
      <c r="H320" s="8">
        <v>99.81</v>
      </c>
      <c r="I320" s="8">
        <v>101.36</v>
      </c>
      <c r="J320" s="8">
        <v>103.67</v>
      </c>
      <c r="K320" s="8">
        <v>99.92</v>
      </c>
      <c r="L320" s="8">
        <v>100.94</v>
      </c>
      <c r="M320" s="8">
        <v>100.25</v>
      </c>
      <c r="N320" s="8">
        <v>102.19</v>
      </c>
      <c r="O320" s="8">
        <v>100.29</v>
      </c>
      <c r="P320" s="8">
        <v>100.42</v>
      </c>
      <c r="Q320" s="8">
        <v>100.93</v>
      </c>
      <c r="R320" s="8">
        <v>99.97</v>
      </c>
      <c r="S320" s="8">
        <v>100.23</v>
      </c>
      <c r="T320" s="8">
        <v>100.93</v>
      </c>
      <c r="U320" s="8">
        <v>103.04</v>
      </c>
      <c r="V320" s="8">
        <v>99.23</v>
      </c>
      <c r="W320" s="8">
        <v>99.99</v>
      </c>
      <c r="X320" s="8">
        <v>97.76</v>
      </c>
      <c r="Y320" s="8">
        <v>99.98</v>
      </c>
      <c r="Z320" s="8">
        <v>100.34</v>
      </c>
      <c r="AA320" s="8">
        <v>98.11</v>
      </c>
      <c r="AB320" s="8">
        <v>99.88</v>
      </c>
      <c r="AC320" s="8">
        <v>101.53</v>
      </c>
      <c r="AD320" s="8">
        <v>99.61</v>
      </c>
      <c r="AE320" s="8">
        <v>100.98</v>
      </c>
      <c r="AF320" s="8">
        <v>99.19</v>
      </c>
      <c r="AG320" s="8">
        <v>100.43</v>
      </c>
      <c r="AH320" s="8">
        <v>100.66</v>
      </c>
      <c r="AI320" s="8">
        <v>100.16</v>
      </c>
      <c r="AJ320" s="8">
        <v>100.05</v>
      </c>
      <c r="AK320" s="8">
        <v>99.38</v>
      </c>
      <c r="AL320" s="8">
        <v>99.52</v>
      </c>
      <c r="AM320" s="8">
        <v>98.34</v>
      </c>
      <c r="AN320" s="8">
        <v>100.15</v>
      </c>
      <c r="AO320" s="8">
        <v>101.6</v>
      </c>
      <c r="AP320" s="8">
        <v>101.6</v>
      </c>
      <c r="AQ320" s="8">
        <v>99.83</v>
      </c>
      <c r="AR320" s="8">
        <v>100.58</v>
      </c>
      <c r="AS320" s="8">
        <v>100.95</v>
      </c>
      <c r="AT320" s="8">
        <v>100.53</v>
      </c>
      <c r="AU320" s="8">
        <v>100.18</v>
      </c>
      <c r="AV320" s="8">
        <v>98.29</v>
      </c>
      <c r="AW320" s="8">
        <v>99.76</v>
      </c>
      <c r="AX320" s="8">
        <v>96.76</v>
      </c>
      <c r="AY320" s="8">
        <v>102.26</v>
      </c>
      <c r="AZ320" s="8">
        <v>98.93</v>
      </c>
      <c r="BA320" s="8">
        <v>98.78</v>
      </c>
      <c r="BB320" s="8">
        <v>100.61</v>
      </c>
      <c r="BC320" s="8">
        <v>99.95</v>
      </c>
      <c r="BD320" s="8">
        <v>100.53</v>
      </c>
      <c r="BE320" s="8">
        <v>100.53</v>
      </c>
      <c r="BF320" s="8">
        <v>100.79</v>
      </c>
      <c r="BG320" s="8">
        <v>100.79</v>
      </c>
      <c r="BH320" s="8">
        <v>100.51</v>
      </c>
      <c r="BI320" s="8">
        <v>100.89</v>
      </c>
      <c r="BJ320" s="8">
        <v>100</v>
      </c>
      <c r="BK320" s="8">
        <v>97.09</v>
      </c>
      <c r="BL320" s="8">
        <v>104.21</v>
      </c>
      <c r="BM320" s="8">
        <v>93.88</v>
      </c>
      <c r="BN320" s="8">
        <v>98.52</v>
      </c>
      <c r="BO320" s="8">
        <v>100.04</v>
      </c>
      <c r="BP320" s="8">
        <v>99.68</v>
      </c>
      <c r="BQ320" s="8">
        <v>99.7</v>
      </c>
      <c r="BR320" s="8">
        <v>99.6</v>
      </c>
      <c r="BS320" s="8">
        <v>99.79</v>
      </c>
      <c r="BT320" s="8">
        <v>99.79</v>
      </c>
      <c r="BU320" s="8">
        <v>99.12</v>
      </c>
      <c r="BV320" s="8">
        <v>98.32</v>
      </c>
      <c r="BW320" s="8">
        <v>99.9</v>
      </c>
      <c r="BX320" s="8">
        <v>98.68</v>
      </c>
      <c r="BY320" s="8">
        <v>99.8</v>
      </c>
      <c r="BZ320" s="8">
        <v>99.63</v>
      </c>
      <c r="CA320" s="8">
        <v>100.55</v>
      </c>
      <c r="CB320" s="8">
        <v>99.69</v>
      </c>
      <c r="CC320" s="8">
        <v>99.42</v>
      </c>
      <c r="CD320" s="8">
        <v>101.08</v>
      </c>
      <c r="CE320" s="8">
        <v>101.64</v>
      </c>
      <c r="CF320" s="8">
        <v>100.79</v>
      </c>
      <c r="CG320" s="8">
        <v>100.86</v>
      </c>
      <c r="CH320" s="8">
        <v>99.54</v>
      </c>
      <c r="CI320" s="8">
        <v>99.37</v>
      </c>
      <c r="CJ320" s="8">
        <v>99.32</v>
      </c>
      <c r="CK320" s="8">
        <v>99.65</v>
      </c>
      <c r="CL320" s="8">
        <v>99.57</v>
      </c>
      <c r="CM320" s="8">
        <v>99.5</v>
      </c>
      <c r="CN320" s="8">
        <v>100.2</v>
      </c>
      <c r="CO320" s="8">
        <v>100.49</v>
      </c>
      <c r="CP320" s="8">
        <v>100.57</v>
      </c>
      <c r="CQ320" s="8">
        <v>100.43</v>
      </c>
      <c r="CR320" s="8">
        <v>100.92</v>
      </c>
      <c r="CS320" s="8">
        <v>100.55</v>
      </c>
      <c r="CT320" s="8">
        <v>100.98</v>
      </c>
      <c r="CU320" s="8">
        <v>100.13</v>
      </c>
      <c r="CV320" s="8">
        <v>97.88</v>
      </c>
      <c r="CW320" s="8">
        <v>97.88</v>
      </c>
      <c r="CX320" s="8">
        <v>99.95</v>
      </c>
      <c r="CY320" s="8">
        <v>99.95</v>
      </c>
      <c r="CZ320" s="8">
        <v>100.69</v>
      </c>
      <c r="DA320" s="8">
        <v>99.91</v>
      </c>
      <c r="DB320" s="8">
        <v>101.55</v>
      </c>
      <c r="DC320" s="8">
        <v>99.65</v>
      </c>
      <c r="DD320" s="8">
        <v>98.88</v>
      </c>
      <c r="DE320" s="8">
        <v>100.44</v>
      </c>
      <c r="DF320" s="8">
        <v>100.37</v>
      </c>
      <c r="DG320" s="8">
        <v>100.96</v>
      </c>
      <c r="DH320" s="8">
        <v>100.15</v>
      </c>
      <c r="DI320" s="8">
        <v>102.53</v>
      </c>
      <c r="DJ320" s="8">
        <v>105.84</v>
      </c>
      <c r="DK320" s="8">
        <v>99.21</v>
      </c>
      <c r="DL320" s="8">
        <v>101.11</v>
      </c>
      <c r="DM320" s="8">
        <v>99.03</v>
      </c>
      <c r="DN320" s="8">
        <v>100.23</v>
      </c>
      <c r="DO320" s="8">
        <v>101.51</v>
      </c>
      <c r="DP320" s="8">
        <v>100.33</v>
      </c>
      <c r="DQ320" s="8">
        <v>100.56</v>
      </c>
      <c r="DR320" s="8">
        <v>103.7</v>
      </c>
      <c r="DS320" s="8">
        <v>100.04</v>
      </c>
      <c r="DT320" s="8">
        <v>100.04</v>
      </c>
      <c r="DU320" s="8">
        <v>100.19</v>
      </c>
      <c r="DV320" s="8">
        <v>100</v>
      </c>
      <c r="DW320" s="8">
        <v>100</v>
      </c>
      <c r="DX320" s="8">
        <v>100.43</v>
      </c>
      <c r="DY320" s="8">
        <v>101.07</v>
      </c>
      <c r="DZ320" s="8">
        <v>101.07</v>
      </c>
      <c r="EA320" s="8">
        <v>100.22</v>
      </c>
      <c r="EB320" s="8">
        <v>100.37</v>
      </c>
      <c r="EC320" s="8">
        <v>100.21</v>
      </c>
      <c r="ED320" s="9">
        <v>0.6</v>
      </c>
      <c r="EE320" s="9">
        <v>0.4</v>
      </c>
      <c r="EF320" s="9">
        <v>0.8</v>
      </c>
      <c r="EG320" s="9">
        <v>0.8</v>
      </c>
      <c r="EH320" s="9">
        <v>0.2</v>
      </c>
      <c r="EI320" s="9">
        <v>5.6</v>
      </c>
      <c r="EJ320" s="9">
        <v>0.3</v>
      </c>
      <c r="EK320" s="9">
        <v>2</v>
      </c>
      <c r="EL320" s="9">
        <v>5.3</v>
      </c>
      <c r="EM320" s="9">
        <v>-0.1</v>
      </c>
      <c r="EN320" s="9">
        <v>5.5</v>
      </c>
      <c r="EO320" s="9">
        <v>-0.1</v>
      </c>
      <c r="EP320" s="9">
        <v>1.4</v>
      </c>
      <c r="EQ320" s="9">
        <v>0.3</v>
      </c>
      <c r="ER320" s="9">
        <v>1.2</v>
      </c>
      <c r="ES320" s="9">
        <v>1.9</v>
      </c>
      <c r="ET320" s="9">
        <v>0</v>
      </c>
      <c r="EU320" s="9">
        <v>1.7</v>
      </c>
      <c r="EV320" s="9">
        <v>-2.8</v>
      </c>
      <c r="EW320" s="9">
        <v>-1.4</v>
      </c>
      <c r="EX320" s="9">
        <v>-3.9</v>
      </c>
      <c r="EY320" s="9">
        <v>0.5</v>
      </c>
      <c r="EZ320" s="9">
        <v>-3.1</v>
      </c>
      <c r="FA320" s="9">
        <v>1.1000000000000001</v>
      </c>
      <c r="FB320" s="9">
        <v>0.6</v>
      </c>
      <c r="FC320" s="9">
        <v>-1.5</v>
      </c>
      <c r="FD320" s="9">
        <v>0.8</v>
      </c>
      <c r="FE320" s="9">
        <v>1.8</v>
      </c>
      <c r="FF320" s="9">
        <v>-1.2</v>
      </c>
      <c r="FG320" s="9">
        <v>2.5</v>
      </c>
      <c r="FH320" s="9">
        <v>-2.2999999999999998</v>
      </c>
      <c r="FI320" s="9">
        <v>0.9</v>
      </c>
      <c r="FJ320" s="9">
        <v>1.1000000000000001</v>
      </c>
      <c r="FK320" s="9">
        <v>0.5</v>
      </c>
      <c r="FL320" s="9">
        <v>0.9</v>
      </c>
      <c r="FM320" s="9">
        <v>-0.8</v>
      </c>
      <c r="FN320" s="9">
        <v>-0.5</v>
      </c>
      <c r="FO320" s="9">
        <v>-2.5</v>
      </c>
      <c r="FP320" s="9">
        <v>0.3</v>
      </c>
      <c r="FQ320" s="9">
        <v>5.0999999999999996</v>
      </c>
      <c r="FR320" s="9">
        <v>5.0999999999999996</v>
      </c>
      <c r="FS320" s="9">
        <v>-0.1</v>
      </c>
      <c r="FT320" s="9">
        <v>-0.7</v>
      </c>
      <c r="FU320" s="9">
        <v>-0.2</v>
      </c>
      <c r="FV320" s="9">
        <v>-1.3</v>
      </c>
      <c r="FW320" s="9">
        <v>0.5</v>
      </c>
      <c r="FX320" s="9">
        <v>0.2</v>
      </c>
      <c r="FY320" s="9">
        <v>-0.6</v>
      </c>
      <c r="FZ320" s="9">
        <v>-0.1</v>
      </c>
      <c r="GA320" s="9">
        <v>2.7</v>
      </c>
      <c r="GB320" s="9">
        <v>1.1000000000000001</v>
      </c>
      <c r="GC320" s="9">
        <v>1.1000000000000001</v>
      </c>
      <c r="GD320" s="9">
        <v>0.8</v>
      </c>
      <c r="GE320" s="9">
        <v>0.3</v>
      </c>
      <c r="GF320" s="9">
        <v>0.8</v>
      </c>
      <c r="GG320" s="9">
        <v>0.8</v>
      </c>
      <c r="GH320" s="9">
        <v>1.4</v>
      </c>
      <c r="GI320" s="9">
        <v>1.4</v>
      </c>
      <c r="GJ320" s="9">
        <v>2.2999999999999998</v>
      </c>
      <c r="GK320" s="9">
        <v>1</v>
      </c>
      <c r="GL320" s="9">
        <v>4.0999999999999996</v>
      </c>
      <c r="GM320" s="9">
        <v>-3.9</v>
      </c>
      <c r="GN320" s="9">
        <v>4.2</v>
      </c>
      <c r="GO320" s="9">
        <v>-8.4</v>
      </c>
      <c r="GP320" s="9">
        <v>0.1</v>
      </c>
      <c r="GQ320" s="9">
        <v>0.1</v>
      </c>
      <c r="GR320" s="9">
        <v>0.6</v>
      </c>
      <c r="GS320" s="9">
        <v>0.7</v>
      </c>
      <c r="GT320" s="9">
        <v>0</v>
      </c>
      <c r="GU320" s="9">
        <v>-1.5</v>
      </c>
      <c r="GV320" s="9">
        <v>-1.5</v>
      </c>
      <c r="GW320" s="9">
        <v>-2</v>
      </c>
      <c r="GX320" s="9">
        <v>-1.9</v>
      </c>
      <c r="GY320" s="9">
        <v>-1.1000000000000001</v>
      </c>
      <c r="GZ320" s="9">
        <v>-4.2</v>
      </c>
      <c r="HA320" s="9">
        <v>-0.4</v>
      </c>
      <c r="HB320" s="9">
        <v>-0.7</v>
      </c>
      <c r="HC320" s="9">
        <v>0.3</v>
      </c>
      <c r="HD320" s="9">
        <v>-0.4</v>
      </c>
      <c r="HE320" s="9">
        <v>-1</v>
      </c>
      <c r="HF320" s="9">
        <v>1.8</v>
      </c>
      <c r="HG320" s="9">
        <v>3.8</v>
      </c>
      <c r="HH320" s="9">
        <v>1.3</v>
      </c>
      <c r="HI320" s="9">
        <v>0.3</v>
      </c>
      <c r="HJ320" s="9">
        <v>-0.5</v>
      </c>
      <c r="HK320" s="9">
        <v>-1.2</v>
      </c>
      <c r="HL320" s="9">
        <v>-1.3</v>
      </c>
      <c r="HM320" s="9">
        <v>-0.2</v>
      </c>
      <c r="HN320" s="9">
        <v>-0.4</v>
      </c>
      <c r="HO320" s="9">
        <v>-0.5</v>
      </c>
      <c r="HP320" s="9">
        <v>0.7</v>
      </c>
      <c r="HQ320" s="9">
        <v>0.7</v>
      </c>
      <c r="HR320" s="9">
        <v>0.7</v>
      </c>
      <c r="HS320" s="9">
        <v>-0.1</v>
      </c>
      <c r="HT320" s="9">
        <v>0.3</v>
      </c>
      <c r="HU320" s="9">
        <v>1.1000000000000001</v>
      </c>
      <c r="HV320" s="9">
        <v>1.2</v>
      </c>
      <c r="HW320" s="9">
        <v>1.6</v>
      </c>
      <c r="HX320" s="9">
        <v>-2.1</v>
      </c>
      <c r="HY320" s="9">
        <v>-2.1</v>
      </c>
      <c r="HZ320" s="9">
        <v>0.1</v>
      </c>
      <c r="IA320" s="9">
        <v>0.1</v>
      </c>
      <c r="IB320" s="9">
        <v>1</v>
      </c>
      <c r="IC320" s="9">
        <v>0</v>
      </c>
      <c r="ID320" s="9">
        <v>2.6</v>
      </c>
      <c r="IE320" s="9">
        <v>0.2</v>
      </c>
      <c r="IF320" s="9">
        <v>-2.1</v>
      </c>
      <c r="IG320" s="9">
        <v>2.7</v>
      </c>
      <c r="IH320" s="9">
        <v>0.1</v>
      </c>
      <c r="II320" s="9">
        <v>0</v>
      </c>
      <c r="IJ320" s="9">
        <v>0.1</v>
      </c>
      <c r="IK320" s="9">
        <v>4.5999999999999996</v>
      </c>
      <c r="IL320" s="9">
        <v>7.1</v>
      </c>
      <c r="IM320" s="9">
        <v>2</v>
      </c>
      <c r="IN320" s="9">
        <v>1.1000000000000001</v>
      </c>
      <c r="IO320" s="9">
        <v>-1.2</v>
      </c>
      <c r="IP320" s="9">
        <v>2.2000000000000002</v>
      </c>
      <c r="IQ320" s="9">
        <v>1.1000000000000001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Q320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147" s="2" customFormat="1" ht="99.95" customHeight="1" x14ac:dyDescent="0.2">
      <c r="B1" s="3" t="s">
        <v>501</v>
      </c>
      <c r="C1" s="3" t="s">
        <v>502</v>
      </c>
      <c r="D1" s="3" t="s">
        <v>503</v>
      </c>
      <c r="E1" s="3" t="s">
        <v>504</v>
      </c>
      <c r="F1" s="3" t="s">
        <v>504</v>
      </c>
      <c r="G1" s="3" t="s">
        <v>505</v>
      </c>
      <c r="H1" s="3" t="s">
        <v>506</v>
      </c>
      <c r="I1" s="3" t="s">
        <v>507</v>
      </c>
      <c r="J1" s="3" t="s">
        <v>508</v>
      </c>
      <c r="K1" s="3" t="s">
        <v>509</v>
      </c>
      <c r="L1" s="3" t="s">
        <v>509</v>
      </c>
      <c r="M1" s="3" t="s">
        <v>510</v>
      </c>
      <c r="N1" s="3" t="s">
        <v>511</v>
      </c>
      <c r="O1" s="3" t="s">
        <v>512</v>
      </c>
      <c r="P1" s="3" t="s">
        <v>513</v>
      </c>
      <c r="Q1" s="3" t="s">
        <v>514</v>
      </c>
      <c r="R1" s="3" t="s">
        <v>515</v>
      </c>
      <c r="S1" s="3" t="s">
        <v>516</v>
      </c>
      <c r="T1" s="3" t="s">
        <v>517</v>
      </c>
      <c r="U1" s="3" t="s">
        <v>518</v>
      </c>
      <c r="V1" s="3" t="s">
        <v>519</v>
      </c>
      <c r="W1" s="3" t="s">
        <v>520</v>
      </c>
      <c r="X1" s="3" t="s">
        <v>521</v>
      </c>
      <c r="Y1" s="3" t="s">
        <v>522</v>
      </c>
      <c r="Z1" s="3" t="s">
        <v>523</v>
      </c>
      <c r="AA1" s="3" t="s">
        <v>524</v>
      </c>
      <c r="AB1" s="3" t="s">
        <v>525</v>
      </c>
      <c r="AC1" s="3" t="s">
        <v>526</v>
      </c>
      <c r="AD1" s="3" t="s">
        <v>527</v>
      </c>
      <c r="AE1" s="3" t="s">
        <v>528</v>
      </c>
      <c r="AF1" s="3" t="s">
        <v>529</v>
      </c>
      <c r="AG1" s="3" t="s">
        <v>530</v>
      </c>
      <c r="AH1" s="3" t="s">
        <v>531</v>
      </c>
      <c r="AI1" s="3" t="s">
        <v>532</v>
      </c>
      <c r="AJ1" s="3" t="s">
        <v>533</v>
      </c>
      <c r="AK1" s="3" t="s">
        <v>534</v>
      </c>
      <c r="AL1" s="3" t="s">
        <v>535</v>
      </c>
      <c r="AM1" s="3" t="s">
        <v>536</v>
      </c>
      <c r="AN1" s="3" t="s">
        <v>537</v>
      </c>
      <c r="AO1" s="3" t="s">
        <v>538</v>
      </c>
      <c r="AP1" s="3" t="s">
        <v>539</v>
      </c>
      <c r="AQ1" s="3" t="s">
        <v>540</v>
      </c>
      <c r="AR1" s="3" t="s">
        <v>541</v>
      </c>
      <c r="AS1" s="3" t="s">
        <v>542</v>
      </c>
      <c r="AT1" s="3" t="s">
        <v>543</v>
      </c>
      <c r="AU1" s="3" t="s">
        <v>544</v>
      </c>
      <c r="AV1" s="3" t="s">
        <v>545</v>
      </c>
      <c r="AW1" s="3" t="s">
        <v>546</v>
      </c>
      <c r="AX1" s="3" t="s">
        <v>547</v>
      </c>
      <c r="AY1" s="3" t="s">
        <v>548</v>
      </c>
      <c r="AZ1" s="3" t="s">
        <v>549</v>
      </c>
      <c r="BA1" s="3" t="s">
        <v>550</v>
      </c>
      <c r="BB1" s="3" t="s">
        <v>551</v>
      </c>
      <c r="BC1" s="3" t="s">
        <v>552</v>
      </c>
      <c r="BD1" s="3" t="s">
        <v>552</v>
      </c>
      <c r="BE1" s="3" t="s">
        <v>553</v>
      </c>
      <c r="BF1" s="3" t="s">
        <v>554</v>
      </c>
      <c r="BG1" s="3" t="s">
        <v>555</v>
      </c>
      <c r="BH1" s="3" t="s">
        <v>556</v>
      </c>
      <c r="BI1" s="3" t="s">
        <v>557</v>
      </c>
      <c r="BJ1" s="3" t="s">
        <v>558</v>
      </c>
      <c r="BK1" s="3" t="s">
        <v>559</v>
      </c>
      <c r="BL1" s="3" t="s">
        <v>560</v>
      </c>
      <c r="BM1" s="3" t="s">
        <v>561</v>
      </c>
      <c r="BN1" s="3" t="s">
        <v>562</v>
      </c>
      <c r="BO1" s="3" t="s">
        <v>563</v>
      </c>
      <c r="BP1" s="3" t="s">
        <v>564</v>
      </c>
      <c r="BQ1" s="3" t="s">
        <v>565</v>
      </c>
      <c r="BR1" s="3" t="s">
        <v>566</v>
      </c>
      <c r="BS1" s="3" t="s">
        <v>566</v>
      </c>
      <c r="BT1" s="3" t="s">
        <v>567</v>
      </c>
      <c r="BU1" s="3" t="s">
        <v>567</v>
      </c>
      <c r="BV1" s="3" t="s">
        <v>568</v>
      </c>
      <c r="BW1" s="3" t="s">
        <v>569</v>
      </c>
      <c r="BX1" s="3" t="s">
        <v>570</v>
      </c>
      <c r="BY1" s="3" t="s">
        <v>571</v>
      </c>
      <c r="BZ1" s="3" t="s">
        <v>572</v>
      </c>
      <c r="CA1" s="3" t="s">
        <v>573</v>
      </c>
      <c r="CB1" s="3" t="s">
        <v>574</v>
      </c>
      <c r="CC1" s="3" t="s">
        <v>575</v>
      </c>
      <c r="CD1" s="3" t="s">
        <v>576</v>
      </c>
      <c r="CE1" s="3" t="s">
        <v>577</v>
      </c>
      <c r="CF1" s="3" t="s">
        <v>578</v>
      </c>
      <c r="CG1" s="3" t="s">
        <v>579</v>
      </c>
      <c r="CH1" s="3" t="s">
        <v>579</v>
      </c>
      <c r="CI1" s="3" t="s">
        <v>580</v>
      </c>
      <c r="CJ1" s="3" t="s">
        <v>581</v>
      </c>
      <c r="CK1" s="3" t="s">
        <v>582</v>
      </c>
      <c r="CL1" s="3" t="s">
        <v>583</v>
      </c>
      <c r="CM1" s="3" t="s">
        <v>584</v>
      </c>
      <c r="CN1" s="3" t="s">
        <v>585</v>
      </c>
      <c r="CO1" s="3" t="s">
        <v>586</v>
      </c>
      <c r="CP1" s="3" t="s">
        <v>587</v>
      </c>
      <c r="CQ1" s="3" t="s">
        <v>588</v>
      </c>
      <c r="CR1" s="3" t="s">
        <v>589</v>
      </c>
      <c r="CS1" s="3" t="s">
        <v>590</v>
      </c>
      <c r="CT1" s="3" t="s">
        <v>591</v>
      </c>
      <c r="CU1" s="3" t="s">
        <v>592</v>
      </c>
      <c r="CV1" s="3" t="s">
        <v>593</v>
      </c>
      <c r="CW1" s="3" t="s">
        <v>594</v>
      </c>
      <c r="CX1" s="3" t="s">
        <v>595</v>
      </c>
      <c r="CY1" s="3" t="s">
        <v>596</v>
      </c>
      <c r="CZ1" s="3" t="s">
        <v>597</v>
      </c>
      <c r="DA1" s="3" t="s">
        <v>598</v>
      </c>
      <c r="DB1" s="3" t="s">
        <v>599</v>
      </c>
      <c r="DC1" s="3" t="s">
        <v>600</v>
      </c>
      <c r="DD1" s="3" t="s">
        <v>601</v>
      </c>
      <c r="DE1" s="3" t="s">
        <v>602</v>
      </c>
      <c r="DF1" s="3" t="s">
        <v>603</v>
      </c>
      <c r="DG1" s="3" t="s">
        <v>604</v>
      </c>
      <c r="DH1" s="3" t="s">
        <v>605</v>
      </c>
      <c r="DI1" s="3" t="s">
        <v>606</v>
      </c>
      <c r="DJ1" s="3" t="s">
        <v>607</v>
      </c>
      <c r="DK1" s="3" t="s">
        <v>607</v>
      </c>
      <c r="DL1" s="3" t="s">
        <v>608</v>
      </c>
      <c r="DM1" s="3" t="s">
        <v>608</v>
      </c>
      <c r="DN1" s="3" t="s">
        <v>609</v>
      </c>
      <c r="DO1" s="3" t="s">
        <v>610</v>
      </c>
      <c r="DP1" s="3" t="s">
        <v>611</v>
      </c>
      <c r="DQ1" s="3" t="s">
        <v>612</v>
      </c>
      <c r="DR1" s="3" t="s">
        <v>613</v>
      </c>
      <c r="DS1" s="3" t="s">
        <v>614</v>
      </c>
      <c r="DT1" s="3" t="s">
        <v>615</v>
      </c>
      <c r="DU1" s="3" t="s">
        <v>616</v>
      </c>
      <c r="DV1" s="3" t="s">
        <v>617</v>
      </c>
      <c r="DW1" s="3" t="s">
        <v>618</v>
      </c>
      <c r="DX1" s="3" t="s">
        <v>619</v>
      </c>
      <c r="DY1" s="3" t="s">
        <v>620</v>
      </c>
      <c r="DZ1" s="3" t="s">
        <v>621</v>
      </c>
      <c r="EA1" s="3" t="s">
        <v>622</v>
      </c>
      <c r="EB1" s="3" t="s">
        <v>623</v>
      </c>
      <c r="EC1" s="3" t="s">
        <v>624</v>
      </c>
      <c r="ED1" s="3" t="s">
        <v>625</v>
      </c>
      <c r="EE1" s="3" t="s">
        <v>626</v>
      </c>
      <c r="EF1" s="3" t="s">
        <v>627</v>
      </c>
      <c r="EG1" s="3" t="s">
        <v>628</v>
      </c>
      <c r="EH1" s="3" t="s">
        <v>628</v>
      </c>
      <c r="EI1" s="3" t="s">
        <v>629</v>
      </c>
      <c r="EJ1" s="3" t="s">
        <v>630</v>
      </c>
      <c r="EK1" s="3" t="s">
        <v>631</v>
      </c>
      <c r="EL1" s="3" t="s">
        <v>632</v>
      </c>
      <c r="EM1" s="3" t="s">
        <v>633</v>
      </c>
      <c r="EN1" s="3" t="s">
        <v>633</v>
      </c>
      <c r="EO1" s="3" t="s">
        <v>634</v>
      </c>
      <c r="EP1" s="3" t="s">
        <v>635</v>
      </c>
      <c r="EQ1" s="3" t="s">
        <v>636</v>
      </c>
    </row>
    <row r="2" spans="1:147" x14ac:dyDescent="0.2">
      <c r="A2" s="4" t="s">
        <v>236</v>
      </c>
      <c r="B2" s="7" t="s">
        <v>381</v>
      </c>
      <c r="C2" s="7" t="s">
        <v>381</v>
      </c>
      <c r="D2" s="7" t="s">
        <v>381</v>
      </c>
      <c r="E2" s="7" t="s">
        <v>381</v>
      </c>
      <c r="F2" s="7" t="s">
        <v>381</v>
      </c>
      <c r="G2" s="7" t="s">
        <v>381</v>
      </c>
      <c r="H2" s="7" t="s">
        <v>381</v>
      </c>
      <c r="I2" s="7" t="s">
        <v>381</v>
      </c>
      <c r="J2" s="7" t="s">
        <v>381</v>
      </c>
      <c r="K2" s="7" t="s">
        <v>381</v>
      </c>
      <c r="L2" s="7" t="s">
        <v>381</v>
      </c>
      <c r="M2" s="7" t="s">
        <v>381</v>
      </c>
      <c r="N2" s="7" t="s">
        <v>381</v>
      </c>
      <c r="O2" s="7" t="s">
        <v>381</v>
      </c>
      <c r="P2" s="7" t="s">
        <v>651</v>
      </c>
      <c r="Q2" s="7" t="s">
        <v>651</v>
      </c>
      <c r="R2" s="7" t="s">
        <v>651</v>
      </c>
      <c r="S2" s="7" t="s">
        <v>651</v>
      </c>
      <c r="T2" s="7" t="s">
        <v>651</v>
      </c>
      <c r="U2" s="7" t="s">
        <v>651</v>
      </c>
      <c r="V2" s="7" t="s">
        <v>651</v>
      </c>
      <c r="W2" s="7" t="s">
        <v>651</v>
      </c>
      <c r="X2" s="7" t="s">
        <v>651</v>
      </c>
      <c r="Y2" s="7" t="s">
        <v>651</v>
      </c>
      <c r="Z2" s="7" t="s">
        <v>651</v>
      </c>
      <c r="AA2" s="7" t="s">
        <v>651</v>
      </c>
      <c r="AB2" s="7" t="s">
        <v>651</v>
      </c>
      <c r="AC2" s="7" t="s">
        <v>651</v>
      </c>
      <c r="AD2" s="7" t="s">
        <v>651</v>
      </c>
      <c r="AE2" s="7" t="s">
        <v>651</v>
      </c>
      <c r="AF2" s="7" t="s">
        <v>651</v>
      </c>
      <c r="AG2" s="7" t="s">
        <v>651</v>
      </c>
      <c r="AH2" s="7" t="s">
        <v>651</v>
      </c>
      <c r="AI2" s="7" t="s">
        <v>651</v>
      </c>
      <c r="AJ2" s="7" t="s">
        <v>651</v>
      </c>
      <c r="AK2" s="7" t="s">
        <v>651</v>
      </c>
      <c r="AL2" s="7" t="s">
        <v>651</v>
      </c>
      <c r="AM2" s="7" t="s">
        <v>651</v>
      </c>
      <c r="AN2" s="7" t="s">
        <v>651</v>
      </c>
      <c r="AO2" s="7" t="s">
        <v>651</v>
      </c>
      <c r="AP2" s="7" t="s">
        <v>651</v>
      </c>
      <c r="AQ2" s="7" t="s">
        <v>651</v>
      </c>
      <c r="AR2" s="7" t="s">
        <v>651</v>
      </c>
      <c r="AS2" s="7" t="s">
        <v>651</v>
      </c>
      <c r="AT2" s="7" t="s">
        <v>651</v>
      </c>
      <c r="AU2" s="7" t="s">
        <v>651</v>
      </c>
      <c r="AV2" s="7" t="s">
        <v>651</v>
      </c>
      <c r="AW2" s="7" t="s">
        <v>651</v>
      </c>
      <c r="AX2" s="7" t="s">
        <v>651</v>
      </c>
      <c r="AY2" s="7" t="s">
        <v>651</v>
      </c>
      <c r="AZ2" s="7" t="s">
        <v>651</v>
      </c>
      <c r="BA2" s="7" t="s">
        <v>651</v>
      </c>
      <c r="BB2" s="7" t="s">
        <v>651</v>
      </c>
      <c r="BC2" s="7" t="s">
        <v>651</v>
      </c>
      <c r="BD2" s="7" t="s">
        <v>651</v>
      </c>
      <c r="BE2" s="7" t="s">
        <v>651</v>
      </c>
      <c r="BF2" s="7" t="s">
        <v>651</v>
      </c>
      <c r="BG2" s="7" t="s">
        <v>651</v>
      </c>
      <c r="BH2" s="7" t="s">
        <v>651</v>
      </c>
      <c r="BI2" s="7" t="s">
        <v>651</v>
      </c>
      <c r="BJ2" s="7" t="s">
        <v>651</v>
      </c>
      <c r="BK2" s="7" t="s">
        <v>651</v>
      </c>
      <c r="BL2" s="7" t="s">
        <v>651</v>
      </c>
      <c r="BM2" s="7" t="s">
        <v>651</v>
      </c>
      <c r="BN2" s="7" t="s">
        <v>651</v>
      </c>
      <c r="BO2" s="7" t="s">
        <v>651</v>
      </c>
      <c r="BP2" s="7" t="s">
        <v>651</v>
      </c>
      <c r="BQ2" s="7" t="s">
        <v>651</v>
      </c>
      <c r="BR2" s="7" t="s">
        <v>651</v>
      </c>
      <c r="BS2" s="7" t="s">
        <v>651</v>
      </c>
      <c r="BT2" s="7" t="s">
        <v>651</v>
      </c>
      <c r="BU2" s="7" t="s">
        <v>651</v>
      </c>
      <c r="BV2" s="7" t="s">
        <v>651</v>
      </c>
      <c r="BW2" s="7" t="s">
        <v>651</v>
      </c>
      <c r="BX2" s="7" t="s">
        <v>651</v>
      </c>
      <c r="BY2" s="7" t="s">
        <v>651</v>
      </c>
      <c r="BZ2" s="7" t="s">
        <v>651</v>
      </c>
      <c r="CA2" s="7" t="s">
        <v>651</v>
      </c>
      <c r="CB2" s="7" t="s">
        <v>651</v>
      </c>
      <c r="CC2" s="7" t="s">
        <v>651</v>
      </c>
      <c r="CD2" s="7" t="s">
        <v>651</v>
      </c>
      <c r="CE2" s="7" t="s">
        <v>651</v>
      </c>
      <c r="CF2" s="7" t="s">
        <v>651</v>
      </c>
      <c r="CG2" s="7" t="s">
        <v>651</v>
      </c>
      <c r="CH2" s="7" t="s">
        <v>651</v>
      </c>
      <c r="CI2" s="7" t="s">
        <v>651</v>
      </c>
      <c r="CJ2" s="7" t="s">
        <v>651</v>
      </c>
      <c r="CK2" s="7" t="s">
        <v>651</v>
      </c>
      <c r="CL2" s="7" t="s">
        <v>651</v>
      </c>
      <c r="CM2" s="7" t="s">
        <v>651</v>
      </c>
      <c r="CN2" s="7" t="s">
        <v>651</v>
      </c>
      <c r="CO2" s="7" t="s">
        <v>651</v>
      </c>
      <c r="CP2" s="7" t="s">
        <v>651</v>
      </c>
      <c r="CQ2" s="7" t="s">
        <v>651</v>
      </c>
      <c r="CR2" s="7" t="s">
        <v>651</v>
      </c>
      <c r="CS2" s="7" t="s">
        <v>651</v>
      </c>
      <c r="CT2" s="7" t="s">
        <v>651</v>
      </c>
      <c r="CU2" s="7" t="s">
        <v>651</v>
      </c>
      <c r="CV2" s="7" t="s">
        <v>651</v>
      </c>
      <c r="CW2" s="7" t="s">
        <v>651</v>
      </c>
      <c r="CX2" s="7" t="s">
        <v>651</v>
      </c>
      <c r="CY2" s="7" t="s">
        <v>651</v>
      </c>
      <c r="CZ2" s="7" t="s">
        <v>651</v>
      </c>
      <c r="DA2" s="7" t="s">
        <v>651</v>
      </c>
      <c r="DB2" s="7" t="s">
        <v>651</v>
      </c>
      <c r="DC2" s="7" t="s">
        <v>651</v>
      </c>
      <c r="DD2" s="7" t="s">
        <v>651</v>
      </c>
      <c r="DE2" s="7" t="s">
        <v>651</v>
      </c>
      <c r="DF2" s="7" t="s">
        <v>651</v>
      </c>
      <c r="DG2" s="7" t="s">
        <v>651</v>
      </c>
      <c r="DH2" s="7" t="s">
        <v>651</v>
      </c>
      <c r="DI2" s="7" t="s">
        <v>651</v>
      </c>
      <c r="DJ2" s="7" t="s">
        <v>651</v>
      </c>
      <c r="DK2" s="7" t="s">
        <v>651</v>
      </c>
      <c r="DL2" s="7" t="s">
        <v>651</v>
      </c>
      <c r="DM2" s="7" t="s">
        <v>651</v>
      </c>
      <c r="DN2" s="7" t="s">
        <v>651</v>
      </c>
      <c r="DO2" s="7" t="s">
        <v>651</v>
      </c>
      <c r="DP2" s="7" t="s">
        <v>651</v>
      </c>
      <c r="DQ2" s="7" t="s">
        <v>651</v>
      </c>
      <c r="DR2" s="7" t="s">
        <v>651</v>
      </c>
      <c r="DS2" s="7" t="s">
        <v>651</v>
      </c>
      <c r="DT2" s="7" t="s">
        <v>651</v>
      </c>
      <c r="DU2" s="7" t="s">
        <v>651</v>
      </c>
      <c r="DV2" s="7" t="s">
        <v>651</v>
      </c>
      <c r="DW2" s="7" t="s">
        <v>651</v>
      </c>
      <c r="DX2" s="7" t="s">
        <v>651</v>
      </c>
      <c r="DY2" s="7" t="s">
        <v>651</v>
      </c>
      <c r="DZ2" s="7" t="s">
        <v>651</v>
      </c>
      <c r="EA2" s="7" t="s">
        <v>651</v>
      </c>
      <c r="EB2" s="7" t="s">
        <v>651</v>
      </c>
      <c r="EC2" s="7" t="s">
        <v>651</v>
      </c>
      <c r="ED2" s="7" t="s">
        <v>651</v>
      </c>
      <c r="EE2" s="7" t="s">
        <v>651</v>
      </c>
      <c r="EF2" s="7" t="s">
        <v>651</v>
      </c>
      <c r="EG2" s="7" t="s">
        <v>651</v>
      </c>
      <c r="EH2" s="7" t="s">
        <v>651</v>
      </c>
      <c r="EI2" s="7" t="s">
        <v>651</v>
      </c>
      <c r="EJ2" s="7" t="s">
        <v>651</v>
      </c>
      <c r="EK2" s="7" t="s">
        <v>651</v>
      </c>
      <c r="EL2" s="7" t="s">
        <v>651</v>
      </c>
      <c r="EM2" s="7" t="s">
        <v>651</v>
      </c>
      <c r="EN2" s="7" t="s">
        <v>651</v>
      </c>
      <c r="EO2" s="7" t="s">
        <v>651</v>
      </c>
      <c r="EP2" s="7" t="s">
        <v>651</v>
      </c>
      <c r="EQ2" s="7" t="s">
        <v>651</v>
      </c>
    </row>
    <row r="3" spans="1:147" x14ac:dyDescent="0.2">
      <c r="A3" s="4" t="s">
        <v>237</v>
      </c>
      <c r="B3" s="7" t="s">
        <v>246</v>
      </c>
      <c r="C3" s="7" t="s">
        <v>246</v>
      </c>
      <c r="D3" s="7" t="s">
        <v>246</v>
      </c>
      <c r="E3" s="7" t="s">
        <v>246</v>
      </c>
      <c r="F3" s="7" t="s">
        <v>246</v>
      </c>
      <c r="G3" s="7" t="s">
        <v>246</v>
      </c>
      <c r="H3" s="7" t="s">
        <v>246</v>
      </c>
      <c r="I3" s="7" t="s">
        <v>246</v>
      </c>
      <c r="J3" s="7" t="s">
        <v>246</v>
      </c>
      <c r="K3" s="7" t="s">
        <v>246</v>
      </c>
      <c r="L3" s="7" t="s">
        <v>246</v>
      </c>
      <c r="M3" s="7" t="s">
        <v>246</v>
      </c>
      <c r="N3" s="7" t="s">
        <v>246</v>
      </c>
      <c r="O3" s="7" t="s">
        <v>246</v>
      </c>
      <c r="P3" s="7" t="s">
        <v>246</v>
      </c>
      <c r="Q3" s="7" t="s">
        <v>246</v>
      </c>
      <c r="R3" s="7" t="s">
        <v>246</v>
      </c>
      <c r="S3" s="7" t="s">
        <v>246</v>
      </c>
      <c r="T3" s="7" t="s">
        <v>246</v>
      </c>
      <c r="U3" s="7" t="s">
        <v>246</v>
      </c>
      <c r="V3" s="7" t="s">
        <v>246</v>
      </c>
      <c r="W3" s="7" t="s">
        <v>246</v>
      </c>
      <c r="X3" s="7" t="s">
        <v>246</v>
      </c>
      <c r="Y3" s="7" t="s">
        <v>246</v>
      </c>
      <c r="Z3" s="7" t="s">
        <v>246</v>
      </c>
      <c r="AA3" s="7" t="s">
        <v>246</v>
      </c>
      <c r="AB3" s="7" t="s">
        <v>246</v>
      </c>
      <c r="AC3" s="7" t="s">
        <v>246</v>
      </c>
      <c r="AD3" s="7" t="s">
        <v>246</v>
      </c>
      <c r="AE3" s="7" t="s">
        <v>246</v>
      </c>
      <c r="AF3" s="7" t="s">
        <v>246</v>
      </c>
      <c r="AG3" s="7" t="s">
        <v>246</v>
      </c>
      <c r="AH3" s="7" t="s">
        <v>246</v>
      </c>
      <c r="AI3" s="7" t="s">
        <v>246</v>
      </c>
      <c r="AJ3" s="7" t="s">
        <v>246</v>
      </c>
      <c r="AK3" s="7" t="s">
        <v>246</v>
      </c>
      <c r="AL3" s="7" t="s">
        <v>246</v>
      </c>
      <c r="AM3" s="7" t="s">
        <v>246</v>
      </c>
      <c r="AN3" s="7" t="s">
        <v>246</v>
      </c>
      <c r="AO3" s="7" t="s">
        <v>246</v>
      </c>
      <c r="AP3" s="7" t="s">
        <v>246</v>
      </c>
      <c r="AQ3" s="7" t="s">
        <v>246</v>
      </c>
      <c r="AR3" s="7" t="s">
        <v>246</v>
      </c>
      <c r="AS3" s="7" t="s">
        <v>246</v>
      </c>
      <c r="AT3" s="7" t="s">
        <v>246</v>
      </c>
      <c r="AU3" s="7" t="s">
        <v>246</v>
      </c>
      <c r="AV3" s="7" t="s">
        <v>246</v>
      </c>
      <c r="AW3" s="7" t="s">
        <v>246</v>
      </c>
      <c r="AX3" s="7" t="s">
        <v>246</v>
      </c>
      <c r="AY3" s="7" t="s">
        <v>246</v>
      </c>
      <c r="AZ3" s="7" t="s">
        <v>246</v>
      </c>
      <c r="BA3" s="7" t="s">
        <v>246</v>
      </c>
      <c r="BB3" s="7" t="s">
        <v>246</v>
      </c>
      <c r="BC3" s="7" t="s">
        <v>246</v>
      </c>
      <c r="BD3" s="7" t="s">
        <v>246</v>
      </c>
      <c r="BE3" s="7" t="s">
        <v>246</v>
      </c>
      <c r="BF3" s="7" t="s">
        <v>246</v>
      </c>
      <c r="BG3" s="7" t="s">
        <v>246</v>
      </c>
      <c r="BH3" s="7" t="s">
        <v>246</v>
      </c>
      <c r="BI3" s="7" t="s">
        <v>246</v>
      </c>
      <c r="BJ3" s="7" t="s">
        <v>246</v>
      </c>
      <c r="BK3" s="7" t="s">
        <v>246</v>
      </c>
      <c r="BL3" s="7" t="s">
        <v>246</v>
      </c>
      <c r="BM3" s="7" t="s">
        <v>246</v>
      </c>
      <c r="BN3" s="7" t="s">
        <v>246</v>
      </c>
      <c r="BO3" s="7" t="s">
        <v>246</v>
      </c>
      <c r="BP3" s="7" t="s">
        <v>246</v>
      </c>
      <c r="BQ3" s="7" t="s">
        <v>246</v>
      </c>
      <c r="BR3" s="7" t="s">
        <v>246</v>
      </c>
      <c r="BS3" s="7" t="s">
        <v>246</v>
      </c>
      <c r="BT3" s="7" t="s">
        <v>246</v>
      </c>
      <c r="BU3" s="7" t="s">
        <v>246</v>
      </c>
      <c r="BV3" s="7" t="s">
        <v>246</v>
      </c>
      <c r="BW3" s="7" t="s">
        <v>246</v>
      </c>
      <c r="BX3" s="7" t="s">
        <v>246</v>
      </c>
      <c r="BY3" s="7" t="s">
        <v>246</v>
      </c>
      <c r="BZ3" s="7" t="s">
        <v>246</v>
      </c>
      <c r="CA3" s="7" t="s">
        <v>246</v>
      </c>
      <c r="CB3" s="7" t="s">
        <v>246</v>
      </c>
      <c r="CC3" s="7" t="s">
        <v>246</v>
      </c>
      <c r="CD3" s="7" t="s">
        <v>246</v>
      </c>
      <c r="CE3" s="7" t="s">
        <v>246</v>
      </c>
      <c r="CF3" s="7" t="s">
        <v>246</v>
      </c>
      <c r="CG3" s="7" t="s">
        <v>246</v>
      </c>
      <c r="CH3" s="7" t="s">
        <v>246</v>
      </c>
      <c r="CI3" s="7" t="s">
        <v>246</v>
      </c>
      <c r="CJ3" s="7" t="s">
        <v>246</v>
      </c>
      <c r="CK3" s="7" t="s">
        <v>246</v>
      </c>
      <c r="CL3" s="7" t="s">
        <v>246</v>
      </c>
      <c r="CM3" s="7" t="s">
        <v>246</v>
      </c>
      <c r="CN3" s="7" t="s">
        <v>246</v>
      </c>
      <c r="CO3" s="7" t="s">
        <v>246</v>
      </c>
      <c r="CP3" s="7" t="s">
        <v>246</v>
      </c>
      <c r="CQ3" s="7" t="s">
        <v>246</v>
      </c>
      <c r="CR3" s="7" t="s">
        <v>246</v>
      </c>
      <c r="CS3" s="7" t="s">
        <v>246</v>
      </c>
      <c r="CT3" s="7" t="s">
        <v>246</v>
      </c>
      <c r="CU3" s="7" t="s">
        <v>246</v>
      </c>
      <c r="CV3" s="7" t="s">
        <v>246</v>
      </c>
      <c r="CW3" s="7" t="s">
        <v>246</v>
      </c>
      <c r="CX3" s="7" t="s">
        <v>246</v>
      </c>
      <c r="CY3" s="7" t="s">
        <v>246</v>
      </c>
      <c r="CZ3" s="7" t="s">
        <v>246</v>
      </c>
      <c r="DA3" s="7" t="s">
        <v>246</v>
      </c>
      <c r="DB3" s="7" t="s">
        <v>246</v>
      </c>
      <c r="DC3" s="7" t="s">
        <v>246</v>
      </c>
      <c r="DD3" s="7" t="s">
        <v>246</v>
      </c>
      <c r="DE3" s="7" t="s">
        <v>246</v>
      </c>
      <c r="DF3" s="7" t="s">
        <v>246</v>
      </c>
      <c r="DG3" s="7" t="s">
        <v>246</v>
      </c>
      <c r="DH3" s="7" t="s">
        <v>246</v>
      </c>
      <c r="DI3" s="7" t="s">
        <v>246</v>
      </c>
      <c r="DJ3" s="7" t="s">
        <v>246</v>
      </c>
      <c r="DK3" s="7" t="s">
        <v>246</v>
      </c>
      <c r="DL3" s="7" t="s">
        <v>246</v>
      </c>
      <c r="DM3" s="7" t="s">
        <v>246</v>
      </c>
      <c r="DN3" s="7" t="s">
        <v>246</v>
      </c>
      <c r="DO3" s="7" t="s">
        <v>246</v>
      </c>
      <c r="DP3" s="7" t="s">
        <v>246</v>
      </c>
      <c r="DQ3" s="7" t="s">
        <v>246</v>
      </c>
      <c r="DR3" s="7" t="s">
        <v>246</v>
      </c>
      <c r="DS3" s="7" t="s">
        <v>246</v>
      </c>
      <c r="DT3" s="7" t="s">
        <v>246</v>
      </c>
      <c r="DU3" s="7" t="s">
        <v>246</v>
      </c>
      <c r="DV3" s="7" t="s">
        <v>246</v>
      </c>
      <c r="DW3" s="7" t="s">
        <v>246</v>
      </c>
      <c r="DX3" s="7" t="s">
        <v>246</v>
      </c>
      <c r="DY3" s="7" t="s">
        <v>246</v>
      </c>
      <c r="DZ3" s="7" t="s">
        <v>246</v>
      </c>
      <c r="EA3" s="7" t="s">
        <v>246</v>
      </c>
      <c r="EB3" s="7" t="s">
        <v>246</v>
      </c>
      <c r="EC3" s="7" t="s">
        <v>246</v>
      </c>
      <c r="ED3" s="7" t="s">
        <v>246</v>
      </c>
      <c r="EE3" s="7" t="s">
        <v>246</v>
      </c>
      <c r="EF3" s="7" t="s">
        <v>246</v>
      </c>
      <c r="EG3" s="7" t="s">
        <v>246</v>
      </c>
      <c r="EH3" s="7" t="s">
        <v>246</v>
      </c>
      <c r="EI3" s="7" t="s">
        <v>246</v>
      </c>
      <c r="EJ3" s="7" t="s">
        <v>246</v>
      </c>
      <c r="EK3" s="7" t="s">
        <v>246</v>
      </c>
      <c r="EL3" s="7" t="s">
        <v>246</v>
      </c>
      <c r="EM3" s="7" t="s">
        <v>246</v>
      </c>
      <c r="EN3" s="7" t="s">
        <v>246</v>
      </c>
      <c r="EO3" s="7" t="s">
        <v>246</v>
      </c>
      <c r="EP3" s="7" t="s">
        <v>246</v>
      </c>
      <c r="EQ3" s="7" t="s">
        <v>246</v>
      </c>
    </row>
    <row r="4" spans="1:147" x14ac:dyDescent="0.2">
      <c r="A4" s="4" t="s">
        <v>238</v>
      </c>
      <c r="B4" s="7" t="s">
        <v>382</v>
      </c>
      <c r="C4" s="7" t="s">
        <v>382</v>
      </c>
      <c r="D4" s="7" t="s">
        <v>382</v>
      </c>
      <c r="E4" s="7" t="s">
        <v>382</v>
      </c>
      <c r="F4" s="7" t="s">
        <v>382</v>
      </c>
      <c r="G4" s="7" t="s">
        <v>382</v>
      </c>
      <c r="H4" s="7" t="s">
        <v>382</v>
      </c>
      <c r="I4" s="7" t="s">
        <v>382</v>
      </c>
      <c r="J4" s="7" t="s">
        <v>382</v>
      </c>
      <c r="K4" s="7" t="s">
        <v>382</v>
      </c>
      <c r="L4" s="7" t="s">
        <v>382</v>
      </c>
      <c r="M4" s="7" t="s">
        <v>382</v>
      </c>
      <c r="N4" s="7" t="s">
        <v>382</v>
      </c>
      <c r="O4" s="7" t="s">
        <v>382</v>
      </c>
      <c r="P4" s="7" t="s">
        <v>247</v>
      </c>
      <c r="Q4" s="7" t="s">
        <v>247</v>
      </c>
      <c r="R4" s="7" t="s">
        <v>247</v>
      </c>
      <c r="S4" s="7" t="s">
        <v>247</v>
      </c>
      <c r="T4" s="7" t="s">
        <v>247</v>
      </c>
      <c r="U4" s="7" t="s">
        <v>247</v>
      </c>
      <c r="V4" s="7" t="s">
        <v>247</v>
      </c>
      <c r="W4" s="7" t="s">
        <v>247</v>
      </c>
      <c r="X4" s="7" t="s">
        <v>247</v>
      </c>
      <c r="Y4" s="7" t="s">
        <v>247</v>
      </c>
      <c r="Z4" s="7" t="s">
        <v>247</v>
      </c>
      <c r="AA4" s="7" t="s">
        <v>247</v>
      </c>
      <c r="AB4" s="7" t="s">
        <v>247</v>
      </c>
      <c r="AC4" s="7" t="s">
        <v>247</v>
      </c>
      <c r="AD4" s="7" t="s">
        <v>247</v>
      </c>
      <c r="AE4" s="7" t="s">
        <v>247</v>
      </c>
      <c r="AF4" s="7" t="s">
        <v>247</v>
      </c>
      <c r="AG4" s="7" t="s">
        <v>247</v>
      </c>
      <c r="AH4" s="7" t="s">
        <v>247</v>
      </c>
      <c r="AI4" s="7" t="s">
        <v>247</v>
      </c>
      <c r="AJ4" s="7" t="s">
        <v>247</v>
      </c>
      <c r="AK4" s="7" t="s">
        <v>247</v>
      </c>
      <c r="AL4" s="7" t="s">
        <v>247</v>
      </c>
      <c r="AM4" s="7" t="s">
        <v>247</v>
      </c>
      <c r="AN4" s="7" t="s">
        <v>247</v>
      </c>
      <c r="AO4" s="7" t="s">
        <v>247</v>
      </c>
      <c r="AP4" s="7" t="s">
        <v>247</v>
      </c>
      <c r="AQ4" s="7" t="s">
        <v>247</v>
      </c>
      <c r="AR4" s="7" t="s">
        <v>247</v>
      </c>
      <c r="AS4" s="7" t="s">
        <v>247</v>
      </c>
      <c r="AT4" s="7" t="s">
        <v>247</v>
      </c>
      <c r="AU4" s="7" t="s">
        <v>247</v>
      </c>
      <c r="AV4" s="7" t="s">
        <v>247</v>
      </c>
      <c r="AW4" s="7" t="s">
        <v>247</v>
      </c>
      <c r="AX4" s="7" t="s">
        <v>247</v>
      </c>
      <c r="AY4" s="7" t="s">
        <v>247</v>
      </c>
      <c r="AZ4" s="7" t="s">
        <v>247</v>
      </c>
      <c r="BA4" s="7" t="s">
        <v>247</v>
      </c>
      <c r="BB4" s="7" t="s">
        <v>247</v>
      </c>
      <c r="BC4" s="7" t="s">
        <v>247</v>
      </c>
      <c r="BD4" s="7" t="s">
        <v>247</v>
      </c>
      <c r="BE4" s="7" t="s">
        <v>247</v>
      </c>
      <c r="BF4" s="7" t="s">
        <v>247</v>
      </c>
      <c r="BG4" s="7" t="s">
        <v>247</v>
      </c>
      <c r="BH4" s="7" t="s">
        <v>247</v>
      </c>
      <c r="BI4" s="7" t="s">
        <v>247</v>
      </c>
      <c r="BJ4" s="7" t="s">
        <v>247</v>
      </c>
      <c r="BK4" s="7" t="s">
        <v>247</v>
      </c>
      <c r="BL4" s="7" t="s">
        <v>247</v>
      </c>
      <c r="BM4" s="7" t="s">
        <v>247</v>
      </c>
      <c r="BN4" s="7" t="s">
        <v>247</v>
      </c>
      <c r="BO4" s="7" t="s">
        <v>247</v>
      </c>
      <c r="BP4" s="7" t="s">
        <v>247</v>
      </c>
      <c r="BQ4" s="7" t="s">
        <v>247</v>
      </c>
      <c r="BR4" s="7" t="s">
        <v>247</v>
      </c>
      <c r="BS4" s="7" t="s">
        <v>247</v>
      </c>
      <c r="BT4" s="7" t="s">
        <v>247</v>
      </c>
      <c r="BU4" s="7" t="s">
        <v>247</v>
      </c>
      <c r="BV4" s="7" t="s">
        <v>247</v>
      </c>
      <c r="BW4" s="7" t="s">
        <v>247</v>
      </c>
      <c r="BX4" s="7" t="s">
        <v>247</v>
      </c>
      <c r="BY4" s="7" t="s">
        <v>247</v>
      </c>
      <c r="BZ4" s="7" t="s">
        <v>247</v>
      </c>
      <c r="CA4" s="7" t="s">
        <v>247</v>
      </c>
      <c r="CB4" s="7" t="s">
        <v>247</v>
      </c>
      <c r="CC4" s="7" t="s">
        <v>247</v>
      </c>
      <c r="CD4" s="7" t="s">
        <v>247</v>
      </c>
      <c r="CE4" s="7" t="s">
        <v>247</v>
      </c>
      <c r="CF4" s="7" t="s">
        <v>247</v>
      </c>
      <c r="CG4" s="7" t="s">
        <v>247</v>
      </c>
      <c r="CH4" s="7" t="s">
        <v>247</v>
      </c>
      <c r="CI4" s="7" t="s">
        <v>247</v>
      </c>
      <c r="CJ4" s="7" t="s">
        <v>247</v>
      </c>
      <c r="CK4" s="7" t="s">
        <v>247</v>
      </c>
      <c r="CL4" s="7" t="s">
        <v>247</v>
      </c>
      <c r="CM4" s="7" t="s">
        <v>247</v>
      </c>
      <c r="CN4" s="7" t="s">
        <v>247</v>
      </c>
      <c r="CO4" s="7" t="s">
        <v>247</v>
      </c>
      <c r="CP4" s="7" t="s">
        <v>247</v>
      </c>
      <c r="CQ4" s="7" t="s">
        <v>247</v>
      </c>
      <c r="CR4" s="7" t="s">
        <v>247</v>
      </c>
      <c r="CS4" s="7" t="s">
        <v>247</v>
      </c>
      <c r="CT4" s="7" t="s">
        <v>247</v>
      </c>
      <c r="CU4" s="7" t="s">
        <v>247</v>
      </c>
      <c r="CV4" s="7" t="s">
        <v>247</v>
      </c>
      <c r="CW4" s="7" t="s">
        <v>247</v>
      </c>
      <c r="CX4" s="7" t="s">
        <v>247</v>
      </c>
      <c r="CY4" s="7" t="s">
        <v>247</v>
      </c>
      <c r="CZ4" s="7" t="s">
        <v>247</v>
      </c>
      <c r="DA4" s="7" t="s">
        <v>247</v>
      </c>
      <c r="DB4" s="7" t="s">
        <v>247</v>
      </c>
      <c r="DC4" s="7" t="s">
        <v>247</v>
      </c>
      <c r="DD4" s="7" t="s">
        <v>247</v>
      </c>
      <c r="DE4" s="7" t="s">
        <v>247</v>
      </c>
      <c r="DF4" s="7" t="s">
        <v>247</v>
      </c>
      <c r="DG4" s="7" t="s">
        <v>247</v>
      </c>
      <c r="DH4" s="7" t="s">
        <v>247</v>
      </c>
      <c r="DI4" s="7" t="s">
        <v>247</v>
      </c>
      <c r="DJ4" s="7" t="s">
        <v>247</v>
      </c>
      <c r="DK4" s="7" t="s">
        <v>247</v>
      </c>
      <c r="DL4" s="7" t="s">
        <v>247</v>
      </c>
      <c r="DM4" s="7" t="s">
        <v>247</v>
      </c>
      <c r="DN4" s="7" t="s">
        <v>247</v>
      </c>
      <c r="DO4" s="7" t="s">
        <v>247</v>
      </c>
      <c r="DP4" s="7" t="s">
        <v>247</v>
      </c>
      <c r="DQ4" s="7" t="s">
        <v>247</v>
      </c>
      <c r="DR4" s="7" t="s">
        <v>247</v>
      </c>
      <c r="DS4" s="7" t="s">
        <v>247</v>
      </c>
      <c r="DT4" s="7" t="s">
        <v>247</v>
      </c>
      <c r="DU4" s="7" t="s">
        <v>247</v>
      </c>
      <c r="DV4" s="7" t="s">
        <v>247</v>
      </c>
      <c r="DW4" s="7" t="s">
        <v>247</v>
      </c>
      <c r="DX4" s="7" t="s">
        <v>247</v>
      </c>
      <c r="DY4" s="7" t="s">
        <v>247</v>
      </c>
      <c r="DZ4" s="7" t="s">
        <v>247</v>
      </c>
      <c r="EA4" s="7" t="s">
        <v>247</v>
      </c>
      <c r="EB4" s="7" t="s">
        <v>247</v>
      </c>
      <c r="EC4" s="7" t="s">
        <v>247</v>
      </c>
      <c r="ED4" s="7" t="s">
        <v>247</v>
      </c>
      <c r="EE4" s="7" t="s">
        <v>247</v>
      </c>
      <c r="EF4" s="7" t="s">
        <v>247</v>
      </c>
      <c r="EG4" s="7" t="s">
        <v>247</v>
      </c>
      <c r="EH4" s="7" t="s">
        <v>247</v>
      </c>
      <c r="EI4" s="7" t="s">
        <v>247</v>
      </c>
      <c r="EJ4" s="7" t="s">
        <v>247</v>
      </c>
      <c r="EK4" s="7" t="s">
        <v>247</v>
      </c>
      <c r="EL4" s="7" t="s">
        <v>247</v>
      </c>
      <c r="EM4" s="7" t="s">
        <v>247</v>
      </c>
      <c r="EN4" s="7" t="s">
        <v>247</v>
      </c>
      <c r="EO4" s="7" t="s">
        <v>247</v>
      </c>
      <c r="EP4" s="7" t="s">
        <v>247</v>
      </c>
      <c r="EQ4" s="7" t="s">
        <v>247</v>
      </c>
    </row>
    <row r="5" spans="1:147" x14ac:dyDescent="0.2">
      <c r="A5" s="4" t="s">
        <v>239</v>
      </c>
      <c r="B5" s="7" t="s">
        <v>248</v>
      </c>
      <c r="C5" s="7" t="s">
        <v>248</v>
      </c>
      <c r="D5" s="7" t="s">
        <v>248</v>
      </c>
      <c r="E5" s="7" t="s">
        <v>248</v>
      </c>
      <c r="F5" s="7" t="s">
        <v>248</v>
      </c>
      <c r="G5" s="7" t="s">
        <v>248</v>
      </c>
      <c r="H5" s="7" t="s">
        <v>248</v>
      </c>
      <c r="I5" s="7" t="s">
        <v>248</v>
      </c>
      <c r="J5" s="7" t="s">
        <v>248</v>
      </c>
      <c r="K5" s="7" t="s">
        <v>248</v>
      </c>
      <c r="L5" s="7" t="s">
        <v>248</v>
      </c>
      <c r="M5" s="7" t="s">
        <v>248</v>
      </c>
      <c r="N5" s="7" t="s">
        <v>248</v>
      </c>
      <c r="O5" s="7" t="s">
        <v>248</v>
      </c>
      <c r="P5" s="7" t="s">
        <v>248</v>
      </c>
      <c r="Q5" s="7" t="s">
        <v>248</v>
      </c>
      <c r="R5" s="7" t="s">
        <v>248</v>
      </c>
      <c r="S5" s="7" t="s">
        <v>248</v>
      </c>
      <c r="T5" s="7" t="s">
        <v>248</v>
      </c>
      <c r="U5" s="7" t="s">
        <v>248</v>
      </c>
      <c r="V5" s="7" t="s">
        <v>248</v>
      </c>
      <c r="W5" s="7" t="s">
        <v>248</v>
      </c>
      <c r="X5" s="7" t="s">
        <v>248</v>
      </c>
      <c r="Y5" s="7" t="s">
        <v>248</v>
      </c>
      <c r="Z5" s="7" t="s">
        <v>248</v>
      </c>
      <c r="AA5" s="7" t="s">
        <v>248</v>
      </c>
      <c r="AB5" s="7" t="s">
        <v>248</v>
      </c>
      <c r="AC5" s="7" t="s">
        <v>248</v>
      </c>
      <c r="AD5" s="7" t="s">
        <v>248</v>
      </c>
      <c r="AE5" s="7" t="s">
        <v>248</v>
      </c>
      <c r="AF5" s="7" t="s">
        <v>248</v>
      </c>
      <c r="AG5" s="7" t="s">
        <v>248</v>
      </c>
      <c r="AH5" s="7" t="s">
        <v>248</v>
      </c>
      <c r="AI5" s="7" t="s">
        <v>248</v>
      </c>
      <c r="AJ5" s="7" t="s">
        <v>248</v>
      </c>
      <c r="AK5" s="7" t="s">
        <v>248</v>
      </c>
      <c r="AL5" s="7" t="s">
        <v>248</v>
      </c>
      <c r="AM5" s="7" t="s">
        <v>248</v>
      </c>
      <c r="AN5" s="7" t="s">
        <v>248</v>
      </c>
      <c r="AO5" s="7" t="s">
        <v>248</v>
      </c>
      <c r="AP5" s="7" t="s">
        <v>248</v>
      </c>
      <c r="AQ5" s="7" t="s">
        <v>248</v>
      </c>
      <c r="AR5" s="7" t="s">
        <v>248</v>
      </c>
      <c r="AS5" s="7" t="s">
        <v>248</v>
      </c>
      <c r="AT5" s="7" t="s">
        <v>248</v>
      </c>
      <c r="AU5" s="7" t="s">
        <v>248</v>
      </c>
      <c r="AV5" s="7" t="s">
        <v>248</v>
      </c>
      <c r="AW5" s="7" t="s">
        <v>248</v>
      </c>
      <c r="AX5" s="7" t="s">
        <v>248</v>
      </c>
      <c r="AY5" s="7" t="s">
        <v>248</v>
      </c>
      <c r="AZ5" s="7" t="s">
        <v>248</v>
      </c>
      <c r="BA5" s="7" t="s">
        <v>248</v>
      </c>
      <c r="BB5" s="7" t="s">
        <v>248</v>
      </c>
      <c r="BC5" s="7" t="s">
        <v>248</v>
      </c>
      <c r="BD5" s="7" t="s">
        <v>248</v>
      </c>
      <c r="BE5" s="7" t="s">
        <v>248</v>
      </c>
      <c r="BF5" s="7" t="s">
        <v>248</v>
      </c>
      <c r="BG5" s="7" t="s">
        <v>248</v>
      </c>
      <c r="BH5" s="7" t="s">
        <v>248</v>
      </c>
      <c r="BI5" s="7" t="s">
        <v>248</v>
      </c>
      <c r="BJ5" s="7" t="s">
        <v>248</v>
      </c>
      <c r="BK5" s="7" t="s">
        <v>248</v>
      </c>
      <c r="BL5" s="7" t="s">
        <v>248</v>
      </c>
      <c r="BM5" s="7" t="s">
        <v>248</v>
      </c>
      <c r="BN5" s="7" t="s">
        <v>248</v>
      </c>
      <c r="BO5" s="7" t="s">
        <v>248</v>
      </c>
      <c r="BP5" s="7" t="s">
        <v>248</v>
      </c>
      <c r="BQ5" s="7" t="s">
        <v>248</v>
      </c>
      <c r="BR5" s="7" t="s">
        <v>248</v>
      </c>
      <c r="BS5" s="7" t="s">
        <v>248</v>
      </c>
      <c r="BT5" s="7" t="s">
        <v>248</v>
      </c>
      <c r="BU5" s="7" t="s">
        <v>248</v>
      </c>
      <c r="BV5" s="7" t="s">
        <v>248</v>
      </c>
      <c r="BW5" s="7" t="s">
        <v>248</v>
      </c>
      <c r="BX5" s="7" t="s">
        <v>248</v>
      </c>
      <c r="BY5" s="7" t="s">
        <v>248</v>
      </c>
      <c r="BZ5" s="7" t="s">
        <v>248</v>
      </c>
      <c r="CA5" s="7" t="s">
        <v>248</v>
      </c>
      <c r="CB5" s="7" t="s">
        <v>248</v>
      </c>
      <c r="CC5" s="7" t="s">
        <v>248</v>
      </c>
      <c r="CD5" s="7" t="s">
        <v>248</v>
      </c>
      <c r="CE5" s="7" t="s">
        <v>248</v>
      </c>
      <c r="CF5" s="7" t="s">
        <v>248</v>
      </c>
      <c r="CG5" s="7" t="s">
        <v>248</v>
      </c>
      <c r="CH5" s="7" t="s">
        <v>248</v>
      </c>
      <c r="CI5" s="7" t="s">
        <v>248</v>
      </c>
      <c r="CJ5" s="7" t="s">
        <v>248</v>
      </c>
      <c r="CK5" s="7" t="s">
        <v>248</v>
      </c>
      <c r="CL5" s="7" t="s">
        <v>248</v>
      </c>
      <c r="CM5" s="7" t="s">
        <v>248</v>
      </c>
      <c r="CN5" s="7" t="s">
        <v>248</v>
      </c>
      <c r="CO5" s="7" t="s">
        <v>248</v>
      </c>
      <c r="CP5" s="7" t="s">
        <v>248</v>
      </c>
      <c r="CQ5" s="7" t="s">
        <v>248</v>
      </c>
      <c r="CR5" s="7" t="s">
        <v>248</v>
      </c>
      <c r="CS5" s="7" t="s">
        <v>248</v>
      </c>
      <c r="CT5" s="7" t="s">
        <v>248</v>
      </c>
      <c r="CU5" s="7" t="s">
        <v>248</v>
      </c>
      <c r="CV5" s="7" t="s">
        <v>248</v>
      </c>
      <c r="CW5" s="7" t="s">
        <v>248</v>
      </c>
      <c r="CX5" s="7" t="s">
        <v>248</v>
      </c>
      <c r="CY5" s="7" t="s">
        <v>248</v>
      </c>
      <c r="CZ5" s="7" t="s">
        <v>248</v>
      </c>
      <c r="DA5" s="7" t="s">
        <v>248</v>
      </c>
      <c r="DB5" s="7" t="s">
        <v>248</v>
      </c>
      <c r="DC5" s="7" t="s">
        <v>248</v>
      </c>
      <c r="DD5" s="7" t="s">
        <v>248</v>
      </c>
      <c r="DE5" s="7" t="s">
        <v>248</v>
      </c>
      <c r="DF5" s="7" t="s">
        <v>248</v>
      </c>
      <c r="DG5" s="7" t="s">
        <v>248</v>
      </c>
      <c r="DH5" s="7" t="s">
        <v>248</v>
      </c>
      <c r="DI5" s="7" t="s">
        <v>248</v>
      </c>
      <c r="DJ5" s="7" t="s">
        <v>248</v>
      </c>
      <c r="DK5" s="7" t="s">
        <v>248</v>
      </c>
      <c r="DL5" s="7" t="s">
        <v>248</v>
      </c>
      <c r="DM5" s="7" t="s">
        <v>248</v>
      </c>
      <c r="DN5" s="7" t="s">
        <v>248</v>
      </c>
      <c r="DO5" s="7" t="s">
        <v>248</v>
      </c>
      <c r="DP5" s="7" t="s">
        <v>248</v>
      </c>
      <c r="DQ5" s="7" t="s">
        <v>248</v>
      </c>
      <c r="DR5" s="7" t="s">
        <v>248</v>
      </c>
      <c r="DS5" s="7" t="s">
        <v>248</v>
      </c>
      <c r="DT5" s="7" t="s">
        <v>248</v>
      </c>
      <c r="DU5" s="7" t="s">
        <v>248</v>
      </c>
      <c r="DV5" s="7" t="s">
        <v>248</v>
      </c>
      <c r="DW5" s="7" t="s">
        <v>248</v>
      </c>
      <c r="DX5" s="7" t="s">
        <v>248</v>
      </c>
      <c r="DY5" s="7" t="s">
        <v>248</v>
      </c>
      <c r="DZ5" s="7" t="s">
        <v>248</v>
      </c>
      <c r="EA5" s="7" t="s">
        <v>248</v>
      </c>
      <c r="EB5" s="7" t="s">
        <v>248</v>
      </c>
      <c r="EC5" s="7" t="s">
        <v>248</v>
      </c>
      <c r="ED5" s="7" t="s">
        <v>248</v>
      </c>
      <c r="EE5" s="7" t="s">
        <v>248</v>
      </c>
      <c r="EF5" s="7" t="s">
        <v>248</v>
      </c>
      <c r="EG5" s="7" t="s">
        <v>248</v>
      </c>
      <c r="EH5" s="7" t="s">
        <v>248</v>
      </c>
      <c r="EI5" s="7" t="s">
        <v>248</v>
      </c>
      <c r="EJ5" s="7" t="s">
        <v>248</v>
      </c>
      <c r="EK5" s="7" t="s">
        <v>248</v>
      </c>
      <c r="EL5" s="7" t="s">
        <v>248</v>
      </c>
      <c r="EM5" s="7" t="s">
        <v>248</v>
      </c>
      <c r="EN5" s="7" t="s">
        <v>248</v>
      </c>
      <c r="EO5" s="7" t="s">
        <v>248</v>
      </c>
      <c r="EP5" s="7" t="s">
        <v>248</v>
      </c>
      <c r="EQ5" s="7" t="s">
        <v>248</v>
      </c>
    </row>
    <row r="6" spans="1:147" x14ac:dyDescent="0.2">
      <c r="A6" s="4" t="s">
        <v>240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3</v>
      </c>
      <c r="DX6" s="1">
        <v>3</v>
      </c>
      <c r="DY6" s="1">
        <v>3</v>
      </c>
      <c r="DZ6" s="1">
        <v>3</v>
      </c>
      <c r="EA6" s="1">
        <v>3</v>
      </c>
      <c r="EB6" s="1">
        <v>3</v>
      </c>
      <c r="EC6" s="1">
        <v>3</v>
      </c>
      <c r="ED6" s="1">
        <v>3</v>
      </c>
      <c r="EE6" s="1">
        <v>3</v>
      </c>
      <c r="EF6" s="1">
        <v>3</v>
      </c>
      <c r="EG6" s="1">
        <v>3</v>
      </c>
      <c r="EH6" s="1">
        <v>3</v>
      </c>
      <c r="EI6" s="1">
        <v>3</v>
      </c>
      <c r="EJ6" s="1">
        <v>3</v>
      </c>
      <c r="EK6" s="1">
        <v>3</v>
      </c>
      <c r="EL6" s="1">
        <v>3</v>
      </c>
      <c r="EM6" s="1">
        <v>3</v>
      </c>
      <c r="EN6" s="1">
        <v>3</v>
      </c>
      <c r="EO6" s="1">
        <v>3</v>
      </c>
      <c r="EP6" s="1">
        <v>3</v>
      </c>
      <c r="EQ6" s="1">
        <v>3</v>
      </c>
    </row>
    <row r="7" spans="1:147" s="6" customFormat="1" x14ac:dyDescent="0.2">
      <c r="A7" s="5" t="s">
        <v>241</v>
      </c>
      <c r="B7" s="6">
        <v>31837</v>
      </c>
      <c r="C7" s="6">
        <v>36039</v>
      </c>
      <c r="D7" s="6">
        <v>36039</v>
      </c>
      <c r="E7" s="6">
        <v>30103</v>
      </c>
      <c r="F7" s="6">
        <v>30103</v>
      </c>
      <c r="G7" s="6">
        <v>36770</v>
      </c>
      <c r="H7" s="6">
        <v>36770</v>
      </c>
      <c r="I7" s="6">
        <v>36770</v>
      </c>
      <c r="J7" s="6">
        <v>38596</v>
      </c>
      <c r="K7" s="6">
        <v>32843</v>
      </c>
      <c r="L7" s="6">
        <v>32843</v>
      </c>
      <c r="M7" s="6">
        <v>40787</v>
      </c>
      <c r="N7" s="6">
        <v>40787</v>
      </c>
      <c r="O7" s="6">
        <v>38596</v>
      </c>
      <c r="P7" s="6">
        <v>45992</v>
      </c>
      <c r="Q7" s="6">
        <v>45992</v>
      </c>
      <c r="R7" s="6">
        <v>45992</v>
      </c>
      <c r="S7" s="6">
        <v>45992</v>
      </c>
      <c r="T7" s="6">
        <v>45992</v>
      </c>
      <c r="U7" s="6">
        <v>45992</v>
      </c>
      <c r="V7" s="6">
        <v>45992</v>
      </c>
      <c r="W7" s="6">
        <v>45992</v>
      </c>
      <c r="X7" s="6">
        <v>45992</v>
      </c>
      <c r="Y7" s="6">
        <v>45992</v>
      </c>
      <c r="Z7" s="6">
        <v>45992</v>
      </c>
      <c r="AA7" s="6">
        <v>45992</v>
      </c>
      <c r="AB7" s="6">
        <v>45992</v>
      </c>
      <c r="AC7" s="6">
        <v>45992</v>
      </c>
      <c r="AD7" s="6">
        <v>45992</v>
      </c>
      <c r="AE7" s="6">
        <v>45992</v>
      </c>
      <c r="AF7" s="6">
        <v>45992</v>
      </c>
      <c r="AG7" s="6">
        <v>45992</v>
      </c>
      <c r="AH7" s="6">
        <v>45992</v>
      </c>
      <c r="AI7" s="6">
        <v>45992</v>
      </c>
      <c r="AJ7" s="6">
        <v>45992</v>
      </c>
      <c r="AK7" s="6">
        <v>45992</v>
      </c>
      <c r="AL7" s="6">
        <v>45992</v>
      </c>
      <c r="AM7" s="6">
        <v>45992</v>
      </c>
      <c r="AN7" s="6">
        <v>45992</v>
      </c>
      <c r="AO7" s="6">
        <v>45992</v>
      </c>
      <c r="AP7" s="6">
        <v>45992</v>
      </c>
      <c r="AQ7" s="6">
        <v>45992</v>
      </c>
      <c r="AR7" s="6">
        <v>45992</v>
      </c>
      <c r="AS7" s="6">
        <v>45992</v>
      </c>
      <c r="AT7" s="6">
        <v>45992</v>
      </c>
      <c r="AU7" s="6">
        <v>45992</v>
      </c>
      <c r="AV7" s="6">
        <v>45992</v>
      </c>
      <c r="AW7" s="6">
        <v>45992</v>
      </c>
      <c r="AX7" s="6">
        <v>45992</v>
      </c>
      <c r="AY7" s="6">
        <v>45992</v>
      </c>
      <c r="AZ7" s="6">
        <v>45992</v>
      </c>
      <c r="BA7" s="6">
        <v>45992</v>
      </c>
      <c r="BB7" s="6">
        <v>45992</v>
      </c>
      <c r="BC7" s="6">
        <v>45992</v>
      </c>
      <c r="BD7" s="6">
        <v>45992</v>
      </c>
      <c r="BE7" s="6">
        <v>45992</v>
      </c>
      <c r="BF7" s="6">
        <v>45992</v>
      </c>
      <c r="BG7" s="6">
        <v>45992</v>
      </c>
      <c r="BH7" s="6">
        <v>45992</v>
      </c>
      <c r="BI7" s="6">
        <v>45992</v>
      </c>
      <c r="BJ7" s="6">
        <v>45992</v>
      </c>
      <c r="BK7" s="6">
        <v>45992</v>
      </c>
      <c r="BL7" s="6">
        <v>45992</v>
      </c>
      <c r="BM7" s="6">
        <v>45992</v>
      </c>
      <c r="BN7" s="6">
        <v>45992</v>
      </c>
      <c r="BO7" s="6">
        <v>45992</v>
      </c>
      <c r="BP7" s="6">
        <v>45992</v>
      </c>
      <c r="BQ7" s="6">
        <v>45992</v>
      </c>
      <c r="BR7" s="6">
        <v>45992</v>
      </c>
      <c r="BS7" s="6">
        <v>45992</v>
      </c>
      <c r="BT7" s="6">
        <v>45992</v>
      </c>
      <c r="BU7" s="6">
        <v>45992</v>
      </c>
      <c r="BV7" s="6">
        <v>45992</v>
      </c>
      <c r="BW7" s="6">
        <v>45992</v>
      </c>
      <c r="BX7" s="6">
        <v>45992</v>
      </c>
      <c r="BY7" s="6">
        <v>45992</v>
      </c>
      <c r="BZ7" s="6">
        <v>45992</v>
      </c>
      <c r="CA7" s="6">
        <v>45992</v>
      </c>
      <c r="CB7" s="6">
        <v>45992</v>
      </c>
      <c r="CC7" s="6">
        <v>45992</v>
      </c>
      <c r="CD7" s="6">
        <v>45992</v>
      </c>
      <c r="CE7" s="6">
        <v>45992</v>
      </c>
      <c r="CF7" s="6">
        <v>45992</v>
      </c>
      <c r="CG7" s="6">
        <v>45992</v>
      </c>
      <c r="CH7" s="6">
        <v>45992</v>
      </c>
      <c r="CI7" s="6">
        <v>45992</v>
      </c>
      <c r="CJ7" s="6">
        <v>45992</v>
      </c>
      <c r="CK7" s="6">
        <v>45992</v>
      </c>
      <c r="CL7" s="6">
        <v>45992</v>
      </c>
      <c r="CM7" s="6">
        <v>45992</v>
      </c>
      <c r="CN7" s="6">
        <v>45992</v>
      </c>
      <c r="CO7" s="6">
        <v>45992</v>
      </c>
      <c r="CP7" s="6">
        <v>45992</v>
      </c>
      <c r="CQ7" s="6">
        <v>45992</v>
      </c>
      <c r="CR7" s="6">
        <v>45992</v>
      </c>
      <c r="CS7" s="6">
        <v>45992</v>
      </c>
      <c r="CT7" s="6">
        <v>45992</v>
      </c>
      <c r="CU7" s="6">
        <v>45992</v>
      </c>
      <c r="CV7" s="6">
        <v>45992</v>
      </c>
      <c r="CW7" s="6">
        <v>45992</v>
      </c>
      <c r="CX7" s="6">
        <v>45992</v>
      </c>
      <c r="CY7" s="6">
        <v>45992</v>
      </c>
      <c r="CZ7" s="6">
        <v>45992</v>
      </c>
      <c r="DA7" s="6">
        <v>45992</v>
      </c>
      <c r="DB7" s="6">
        <v>45992</v>
      </c>
      <c r="DC7" s="6">
        <v>45992</v>
      </c>
      <c r="DD7" s="6">
        <v>45992</v>
      </c>
      <c r="DE7" s="6">
        <v>45992</v>
      </c>
      <c r="DF7" s="6">
        <v>45992</v>
      </c>
      <c r="DG7" s="6">
        <v>45992</v>
      </c>
      <c r="DH7" s="6">
        <v>45992</v>
      </c>
      <c r="DI7" s="6">
        <v>45992</v>
      </c>
      <c r="DJ7" s="6">
        <v>45992</v>
      </c>
      <c r="DK7" s="6">
        <v>45992</v>
      </c>
      <c r="DL7" s="6">
        <v>45992</v>
      </c>
      <c r="DM7" s="6">
        <v>45992</v>
      </c>
      <c r="DN7" s="6">
        <v>45992</v>
      </c>
      <c r="DO7" s="6">
        <v>45992</v>
      </c>
      <c r="DP7" s="6">
        <v>45992</v>
      </c>
      <c r="DQ7" s="6">
        <v>45992</v>
      </c>
      <c r="DR7" s="6">
        <v>45992</v>
      </c>
      <c r="DS7" s="6">
        <v>45992</v>
      </c>
      <c r="DT7" s="6">
        <v>45992</v>
      </c>
      <c r="DU7" s="6">
        <v>45992</v>
      </c>
      <c r="DV7" s="6">
        <v>45992</v>
      </c>
      <c r="DW7" s="6">
        <v>45992</v>
      </c>
      <c r="DX7" s="6">
        <v>45992</v>
      </c>
      <c r="DY7" s="6">
        <v>45992</v>
      </c>
      <c r="DZ7" s="6">
        <v>45992</v>
      </c>
      <c r="EA7" s="6">
        <v>45992</v>
      </c>
      <c r="EB7" s="6">
        <v>45992</v>
      </c>
      <c r="EC7" s="6">
        <v>45992</v>
      </c>
      <c r="ED7" s="6">
        <v>45992</v>
      </c>
      <c r="EE7" s="6">
        <v>45992</v>
      </c>
      <c r="EF7" s="6">
        <v>45992</v>
      </c>
      <c r="EG7" s="6">
        <v>45992</v>
      </c>
      <c r="EH7" s="6">
        <v>45992</v>
      </c>
      <c r="EI7" s="6">
        <v>45992</v>
      </c>
      <c r="EJ7" s="6">
        <v>45992</v>
      </c>
      <c r="EK7" s="6">
        <v>45992</v>
      </c>
      <c r="EL7" s="6">
        <v>45992</v>
      </c>
      <c r="EM7" s="6">
        <v>45992</v>
      </c>
      <c r="EN7" s="6">
        <v>45992</v>
      </c>
      <c r="EO7" s="6">
        <v>45992</v>
      </c>
      <c r="EP7" s="6">
        <v>45992</v>
      </c>
      <c r="EQ7" s="6">
        <v>45992</v>
      </c>
    </row>
    <row r="8" spans="1:147" s="6" customFormat="1" x14ac:dyDescent="0.2">
      <c r="A8" s="5" t="s">
        <v>242</v>
      </c>
      <c r="B8" s="6">
        <v>45992</v>
      </c>
      <c r="C8" s="6">
        <v>45992</v>
      </c>
      <c r="D8" s="6">
        <v>45992</v>
      </c>
      <c r="E8" s="6">
        <v>45992</v>
      </c>
      <c r="F8" s="6">
        <v>45992</v>
      </c>
      <c r="G8" s="6">
        <v>45992</v>
      </c>
      <c r="H8" s="6">
        <v>45992</v>
      </c>
      <c r="I8" s="6">
        <v>45992</v>
      </c>
      <c r="J8" s="6">
        <v>45992</v>
      </c>
      <c r="K8" s="6">
        <v>45992</v>
      </c>
      <c r="L8" s="6">
        <v>45992</v>
      </c>
      <c r="M8" s="6">
        <v>45992</v>
      </c>
      <c r="N8" s="6">
        <v>45992</v>
      </c>
      <c r="O8" s="6">
        <v>45992</v>
      </c>
      <c r="P8" s="6">
        <v>45992</v>
      </c>
      <c r="Q8" s="6">
        <v>45992</v>
      </c>
      <c r="R8" s="6">
        <v>45992</v>
      </c>
      <c r="S8" s="6">
        <v>45992</v>
      </c>
      <c r="T8" s="6">
        <v>45992</v>
      </c>
      <c r="U8" s="6">
        <v>45992</v>
      </c>
      <c r="V8" s="6">
        <v>45992</v>
      </c>
      <c r="W8" s="6">
        <v>45992</v>
      </c>
      <c r="X8" s="6">
        <v>45992</v>
      </c>
      <c r="Y8" s="6">
        <v>45992</v>
      </c>
      <c r="Z8" s="6">
        <v>45992</v>
      </c>
      <c r="AA8" s="6">
        <v>45992</v>
      </c>
      <c r="AB8" s="6">
        <v>45992</v>
      </c>
      <c r="AC8" s="6">
        <v>45992</v>
      </c>
      <c r="AD8" s="6">
        <v>45992</v>
      </c>
      <c r="AE8" s="6">
        <v>45992</v>
      </c>
      <c r="AF8" s="6">
        <v>45992</v>
      </c>
      <c r="AG8" s="6">
        <v>45992</v>
      </c>
      <c r="AH8" s="6">
        <v>45992</v>
      </c>
      <c r="AI8" s="6">
        <v>45992</v>
      </c>
      <c r="AJ8" s="6">
        <v>45992</v>
      </c>
      <c r="AK8" s="6">
        <v>45992</v>
      </c>
      <c r="AL8" s="6">
        <v>45992</v>
      </c>
      <c r="AM8" s="6">
        <v>45992</v>
      </c>
      <c r="AN8" s="6">
        <v>45992</v>
      </c>
      <c r="AO8" s="6">
        <v>45992</v>
      </c>
      <c r="AP8" s="6">
        <v>45992</v>
      </c>
      <c r="AQ8" s="6">
        <v>45992</v>
      </c>
      <c r="AR8" s="6">
        <v>45992</v>
      </c>
      <c r="AS8" s="6">
        <v>45992</v>
      </c>
      <c r="AT8" s="6">
        <v>45992</v>
      </c>
      <c r="AU8" s="6">
        <v>45992</v>
      </c>
      <c r="AV8" s="6">
        <v>45992</v>
      </c>
      <c r="AW8" s="6">
        <v>45992</v>
      </c>
      <c r="AX8" s="6">
        <v>45992</v>
      </c>
      <c r="AY8" s="6">
        <v>45992</v>
      </c>
      <c r="AZ8" s="6">
        <v>45992</v>
      </c>
      <c r="BA8" s="6">
        <v>45992</v>
      </c>
      <c r="BB8" s="6">
        <v>45992</v>
      </c>
      <c r="BC8" s="6">
        <v>45992</v>
      </c>
      <c r="BD8" s="6">
        <v>45992</v>
      </c>
      <c r="BE8" s="6">
        <v>45992</v>
      </c>
      <c r="BF8" s="6">
        <v>45992</v>
      </c>
      <c r="BG8" s="6">
        <v>45992</v>
      </c>
      <c r="BH8" s="6">
        <v>45992</v>
      </c>
      <c r="BI8" s="6">
        <v>45992</v>
      </c>
      <c r="BJ8" s="6">
        <v>45992</v>
      </c>
      <c r="BK8" s="6">
        <v>45992</v>
      </c>
      <c r="BL8" s="6">
        <v>45992</v>
      </c>
      <c r="BM8" s="6">
        <v>45992</v>
      </c>
      <c r="BN8" s="6">
        <v>45992</v>
      </c>
      <c r="BO8" s="6">
        <v>45992</v>
      </c>
      <c r="BP8" s="6">
        <v>45992</v>
      </c>
      <c r="BQ8" s="6">
        <v>45992</v>
      </c>
      <c r="BR8" s="6">
        <v>45992</v>
      </c>
      <c r="BS8" s="6">
        <v>45992</v>
      </c>
      <c r="BT8" s="6">
        <v>45992</v>
      </c>
      <c r="BU8" s="6">
        <v>45992</v>
      </c>
      <c r="BV8" s="6">
        <v>45992</v>
      </c>
      <c r="BW8" s="6">
        <v>45992</v>
      </c>
      <c r="BX8" s="6">
        <v>45992</v>
      </c>
      <c r="BY8" s="6">
        <v>45992</v>
      </c>
      <c r="BZ8" s="6">
        <v>45992</v>
      </c>
      <c r="CA8" s="6">
        <v>45992</v>
      </c>
      <c r="CB8" s="6">
        <v>45992</v>
      </c>
      <c r="CC8" s="6">
        <v>45992</v>
      </c>
      <c r="CD8" s="6">
        <v>45992</v>
      </c>
      <c r="CE8" s="6">
        <v>45992</v>
      </c>
      <c r="CF8" s="6">
        <v>45992</v>
      </c>
      <c r="CG8" s="6">
        <v>45992</v>
      </c>
      <c r="CH8" s="6">
        <v>45992</v>
      </c>
      <c r="CI8" s="6">
        <v>45992</v>
      </c>
      <c r="CJ8" s="6">
        <v>45992</v>
      </c>
      <c r="CK8" s="6">
        <v>45992</v>
      </c>
      <c r="CL8" s="6">
        <v>45992</v>
      </c>
      <c r="CM8" s="6">
        <v>45992</v>
      </c>
      <c r="CN8" s="6">
        <v>45992</v>
      </c>
      <c r="CO8" s="6">
        <v>45992</v>
      </c>
      <c r="CP8" s="6">
        <v>45992</v>
      </c>
      <c r="CQ8" s="6">
        <v>45992</v>
      </c>
      <c r="CR8" s="6">
        <v>45992</v>
      </c>
      <c r="CS8" s="6">
        <v>45992</v>
      </c>
      <c r="CT8" s="6">
        <v>45992</v>
      </c>
      <c r="CU8" s="6">
        <v>45992</v>
      </c>
      <c r="CV8" s="6">
        <v>45992</v>
      </c>
      <c r="CW8" s="6">
        <v>45992</v>
      </c>
      <c r="CX8" s="6">
        <v>45992</v>
      </c>
      <c r="CY8" s="6">
        <v>45992</v>
      </c>
      <c r="CZ8" s="6">
        <v>45992</v>
      </c>
      <c r="DA8" s="6">
        <v>45992</v>
      </c>
      <c r="DB8" s="6">
        <v>45992</v>
      </c>
      <c r="DC8" s="6">
        <v>45992</v>
      </c>
      <c r="DD8" s="6">
        <v>45992</v>
      </c>
      <c r="DE8" s="6">
        <v>45992</v>
      </c>
      <c r="DF8" s="6">
        <v>45992</v>
      </c>
      <c r="DG8" s="6">
        <v>45992</v>
      </c>
      <c r="DH8" s="6">
        <v>45992</v>
      </c>
      <c r="DI8" s="6">
        <v>45992</v>
      </c>
      <c r="DJ8" s="6">
        <v>45992</v>
      </c>
      <c r="DK8" s="6">
        <v>45992</v>
      </c>
      <c r="DL8" s="6">
        <v>45992</v>
      </c>
      <c r="DM8" s="6">
        <v>45992</v>
      </c>
      <c r="DN8" s="6">
        <v>45992</v>
      </c>
      <c r="DO8" s="6">
        <v>45992</v>
      </c>
      <c r="DP8" s="6">
        <v>45992</v>
      </c>
      <c r="DQ8" s="6">
        <v>45992</v>
      </c>
      <c r="DR8" s="6">
        <v>45992</v>
      </c>
      <c r="DS8" s="6">
        <v>45992</v>
      </c>
      <c r="DT8" s="6">
        <v>45992</v>
      </c>
      <c r="DU8" s="6">
        <v>45992</v>
      </c>
      <c r="DV8" s="6">
        <v>45992</v>
      </c>
      <c r="DW8" s="6">
        <v>45992</v>
      </c>
      <c r="DX8" s="6">
        <v>45992</v>
      </c>
      <c r="DY8" s="6">
        <v>45992</v>
      </c>
      <c r="DZ8" s="6">
        <v>45992</v>
      </c>
      <c r="EA8" s="6">
        <v>45992</v>
      </c>
      <c r="EB8" s="6">
        <v>45992</v>
      </c>
      <c r="EC8" s="6">
        <v>45992</v>
      </c>
      <c r="ED8" s="6">
        <v>45992</v>
      </c>
      <c r="EE8" s="6">
        <v>45992</v>
      </c>
      <c r="EF8" s="6">
        <v>45992</v>
      </c>
      <c r="EG8" s="6">
        <v>45992</v>
      </c>
      <c r="EH8" s="6">
        <v>45992</v>
      </c>
      <c r="EI8" s="6">
        <v>45992</v>
      </c>
      <c r="EJ8" s="6">
        <v>45992</v>
      </c>
      <c r="EK8" s="6">
        <v>45992</v>
      </c>
      <c r="EL8" s="6">
        <v>45992</v>
      </c>
      <c r="EM8" s="6">
        <v>45992</v>
      </c>
      <c r="EN8" s="6">
        <v>45992</v>
      </c>
      <c r="EO8" s="6">
        <v>45992</v>
      </c>
      <c r="EP8" s="6">
        <v>45992</v>
      </c>
      <c r="EQ8" s="6">
        <v>45992</v>
      </c>
    </row>
    <row r="9" spans="1:147" x14ac:dyDescent="0.2">
      <c r="A9" s="4" t="s">
        <v>243</v>
      </c>
      <c r="B9" s="1">
        <v>156</v>
      </c>
      <c r="C9" s="1">
        <v>110</v>
      </c>
      <c r="D9" s="1">
        <v>110</v>
      </c>
      <c r="E9" s="1">
        <v>175</v>
      </c>
      <c r="F9" s="1">
        <v>175</v>
      </c>
      <c r="G9" s="1">
        <v>102</v>
      </c>
      <c r="H9" s="1">
        <v>102</v>
      </c>
      <c r="I9" s="1">
        <v>102</v>
      </c>
      <c r="J9" s="1">
        <v>82</v>
      </c>
      <c r="K9" s="1">
        <v>145</v>
      </c>
      <c r="L9" s="1">
        <v>145</v>
      </c>
      <c r="M9" s="1">
        <v>58</v>
      </c>
      <c r="N9" s="1">
        <v>58</v>
      </c>
      <c r="O9" s="1">
        <v>82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  <c r="CT9" s="1">
        <v>1</v>
      </c>
      <c r="CU9" s="1">
        <v>1</v>
      </c>
      <c r="CV9" s="1">
        <v>1</v>
      </c>
      <c r="CW9" s="1">
        <v>1</v>
      </c>
      <c r="CX9" s="1">
        <v>1</v>
      </c>
      <c r="CY9" s="1">
        <v>1</v>
      </c>
      <c r="CZ9" s="1">
        <v>1</v>
      </c>
      <c r="DA9" s="1">
        <v>1</v>
      </c>
      <c r="DB9" s="1">
        <v>1</v>
      </c>
      <c r="DC9" s="1">
        <v>1</v>
      </c>
      <c r="DD9" s="1">
        <v>1</v>
      </c>
      <c r="DE9" s="1">
        <v>1</v>
      </c>
      <c r="DF9" s="1">
        <v>1</v>
      </c>
      <c r="DG9" s="1">
        <v>1</v>
      </c>
      <c r="DH9" s="1">
        <v>1</v>
      </c>
      <c r="DI9" s="1">
        <v>1</v>
      </c>
      <c r="DJ9" s="1">
        <v>1</v>
      </c>
      <c r="DK9" s="1">
        <v>1</v>
      </c>
      <c r="DL9" s="1">
        <v>1</v>
      </c>
      <c r="DM9" s="1">
        <v>1</v>
      </c>
      <c r="DN9" s="1">
        <v>1</v>
      </c>
      <c r="DO9" s="1">
        <v>1</v>
      </c>
      <c r="DP9" s="1">
        <v>1</v>
      </c>
      <c r="DQ9" s="1">
        <v>1</v>
      </c>
      <c r="DR9" s="1">
        <v>1</v>
      </c>
      <c r="DS9" s="1">
        <v>1</v>
      </c>
      <c r="DT9" s="1">
        <v>1</v>
      </c>
      <c r="DU9" s="1">
        <v>1</v>
      </c>
      <c r="DV9" s="1">
        <v>1</v>
      </c>
      <c r="DW9" s="1">
        <v>1</v>
      </c>
      <c r="DX9" s="1">
        <v>1</v>
      </c>
      <c r="DY9" s="1">
        <v>1</v>
      </c>
      <c r="DZ9" s="1">
        <v>1</v>
      </c>
      <c r="EA9" s="1">
        <v>1</v>
      </c>
      <c r="EB9" s="1">
        <v>1</v>
      </c>
      <c r="EC9" s="1">
        <v>1</v>
      </c>
      <c r="ED9" s="1">
        <v>1</v>
      </c>
      <c r="EE9" s="1">
        <v>1</v>
      </c>
      <c r="EF9" s="1">
        <v>1</v>
      </c>
      <c r="EG9" s="1">
        <v>1</v>
      </c>
      <c r="EH9" s="1">
        <v>1</v>
      </c>
      <c r="EI9" s="1">
        <v>1</v>
      </c>
      <c r="EJ9" s="1">
        <v>1</v>
      </c>
      <c r="EK9" s="1">
        <v>1</v>
      </c>
      <c r="EL9" s="1">
        <v>1</v>
      </c>
      <c r="EM9" s="1">
        <v>1</v>
      </c>
      <c r="EN9" s="1">
        <v>1</v>
      </c>
      <c r="EO9" s="1">
        <v>1</v>
      </c>
      <c r="EP9" s="1">
        <v>1</v>
      </c>
      <c r="EQ9" s="1">
        <v>1</v>
      </c>
    </row>
    <row r="10" spans="1:147" x14ac:dyDescent="0.2">
      <c r="A10" s="4" t="s">
        <v>244</v>
      </c>
      <c r="B10" s="7" t="s">
        <v>637</v>
      </c>
      <c r="C10" s="7" t="s">
        <v>638</v>
      </c>
      <c r="D10" s="7" t="s">
        <v>639</v>
      </c>
      <c r="E10" s="7" t="s">
        <v>640</v>
      </c>
      <c r="F10" s="7" t="s">
        <v>641</v>
      </c>
      <c r="G10" s="7" t="s">
        <v>642</v>
      </c>
      <c r="H10" s="7" t="s">
        <v>643</v>
      </c>
      <c r="I10" s="7" t="s">
        <v>644</v>
      </c>
      <c r="J10" s="7" t="s">
        <v>645</v>
      </c>
      <c r="K10" s="7" t="s">
        <v>646</v>
      </c>
      <c r="L10" s="7" t="s">
        <v>647</v>
      </c>
      <c r="M10" s="7" t="s">
        <v>648</v>
      </c>
      <c r="N10" s="7" t="s">
        <v>649</v>
      </c>
      <c r="O10" s="7" t="s">
        <v>650</v>
      </c>
      <c r="P10" s="7" t="s">
        <v>652</v>
      </c>
      <c r="Q10" s="7" t="s">
        <v>653</v>
      </c>
      <c r="R10" s="7" t="s">
        <v>654</v>
      </c>
      <c r="S10" s="7" t="s">
        <v>655</v>
      </c>
      <c r="T10" s="7" t="s">
        <v>656</v>
      </c>
      <c r="U10" s="7" t="s">
        <v>657</v>
      </c>
      <c r="V10" s="7" t="s">
        <v>658</v>
      </c>
      <c r="W10" s="7" t="s">
        <v>659</v>
      </c>
      <c r="X10" s="7" t="s">
        <v>660</v>
      </c>
      <c r="Y10" s="7" t="s">
        <v>661</v>
      </c>
      <c r="Z10" s="7" t="s">
        <v>662</v>
      </c>
      <c r="AA10" s="7" t="s">
        <v>663</v>
      </c>
      <c r="AB10" s="7" t="s">
        <v>664</v>
      </c>
      <c r="AC10" s="7" t="s">
        <v>665</v>
      </c>
      <c r="AD10" s="7" t="s">
        <v>666</v>
      </c>
      <c r="AE10" s="7" t="s">
        <v>667</v>
      </c>
      <c r="AF10" s="7" t="s">
        <v>668</v>
      </c>
      <c r="AG10" s="7" t="s">
        <v>669</v>
      </c>
      <c r="AH10" s="7" t="s">
        <v>670</v>
      </c>
      <c r="AI10" s="7" t="s">
        <v>671</v>
      </c>
      <c r="AJ10" s="7" t="s">
        <v>672</v>
      </c>
      <c r="AK10" s="7" t="s">
        <v>673</v>
      </c>
      <c r="AL10" s="7" t="s">
        <v>674</v>
      </c>
      <c r="AM10" s="7" t="s">
        <v>675</v>
      </c>
      <c r="AN10" s="7" t="s">
        <v>676</v>
      </c>
      <c r="AO10" s="7" t="s">
        <v>677</v>
      </c>
      <c r="AP10" s="7" t="s">
        <v>678</v>
      </c>
      <c r="AQ10" s="7" t="s">
        <v>679</v>
      </c>
      <c r="AR10" s="7" t="s">
        <v>680</v>
      </c>
      <c r="AS10" s="7" t="s">
        <v>681</v>
      </c>
      <c r="AT10" s="7" t="s">
        <v>682</v>
      </c>
      <c r="AU10" s="7" t="s">
        <v>683</v>
      </c>
      <c r="AV10" s="7" t="s">
        <v>684</v>
      </c>
      <c r="AW10" s="7" t="s">
        <v>685</v>
      </c>
      <c r="AX10" s="7" t="s">
        <v>686</v>
      </c>
      <c r="AY10" s="7" t="s">
        <v>687</v>
      </c>
      <c r="AZ10" s="7" t="s">
        <v>688</v>
      </c>
      <c r="BA10" s="7" t="s">
        <v>689</v>
      </c>
      <c r="BB10" s="7" t="s">
        <v>690</v>
      </c>
      <c r="BC10" s="7" t="s">
        <v>691</v>
      </c>
      <c r="BD10" s="7" t="s">
        <v>692</v>
      </c>
      <c r="BE10" s="7" t="s">
        <v>693</v>
      </c>
      <c r="BF10" s="7" t="s">
        <v>694</v>
      </c>
      <c r="BG10" s="7" t="s">
        <v>695</v>
      </c>
      <c r="BH10" s="7" t="s">
        <v>696</v>
      </c>
      <c r="BI10" s="7" t="s">
        <v>697</v>
      </c>
      <c r="BJ10" s="7" t="s">
        <v>698</v>
      </c>
      <c r="BK10" s="7" t="s">
        <v>699</v>
      </c>
      <c r="BL10" s="7" t="s">
        <v>700</v>
      </c>
      <c r="BM10" s="7" t="s">
        <v>701</v>
      </c>
      <c r="BN10" s="7" t="s">
        <v>702</v>
      </c>
      <c r="BO10" s="7" t="s">
        <v>703</v>
      </c>
      <c r="BP10" s="7" t="s">
        <v>704</v>
      </c>
      <c r="BQ10" s="7" t="s">
        <v>705</v>
      </c>
      <c r="BR10" s="7" t="s">
        <v>706</v>
      </c>
      <c r="BS10" s="7" t="s">
        <v>707</v>
      </c>
      <c r="BT10" s="7" t="s">
        <v>708</v>
      </c>
      <c r="BU10" s="7" t="s">
        <v>709</v>
      </c>
      <c r="BV10" s="7" t="s">
        <v>710</v>
      </c>
      <c r="BW10" s="7" t="s">
        <v>711</v>
      </c>
      <c r="BX10" s="7" t="s">
        <v>712</v>
      </c>
      <c r="BY10" s="7" t="s">
        <v>713</v>
      </c>
      <c r="BZ10" s="7" t="s">
        <v>714</v>
      </c>
      <c r="CA10" s="7" t="s">
        <v>715</v>
      </c>
      <c r="CB10" s="7" t="s">
        <v>716</v>
      </c>
      <c r="CC10" s="7" t="s">
        <v>717</v>
      </c>
      <c r="CD10" s="7" t="s">
        <v>718</v>
      </c>
      <c r="CE10" s="7" t="s">
        <v>719</v>
      </c>
      <c r="CF10" s="7" t="s">
        <v>720</v>
      </c>
      <c r="CG10" s="7" t="s">
        <v>721</v>
      </c>
      <c r="CH10" s="7" t="s">
        <v>722</v>
      </c>
      <c r="CI10" s="7" t="s">
        <v>723</v>
      </c>
      <c r="CJ10" s="7" t="s">
        <v>724</v>
      </c>
      <c r="CK10" s="7" t="s">
        <v>725</v>
      </c>
      <c r="CL10" s="7" t="s">
        <v>726</v>
      </c>
      <c r="CM10" s="7" t="s">
        <v>727</v>
      </c>
      <c r="CN10" s="7" t="s">
        <v>728</v>
      </c>
      <c r="CO10" s="7" t="s">
        <v>729</v>
      </c>
      <c r="CP10" s="7" t="s">
        <v>730</v>
      </c>
      <c r="CQ10" s="7" t="s">
        <v>731</v>
      </c>
      <c r="CR10" s="7" t="s">
        <v>732</v>
      </c>
      <c r="CS10" s="7" t="s">
        <v>733</v>
      </c>
      <c r="CT10" s="7" t="s">
        <v>734</v>
      </c>
      <c r="CU10" s="7" t="s">
        <v>735</v>
      </c>
      <c r="CV10" s="7" t="s">
        <v>736</v>
      </c>
      <c r="CW10" s="7" t="s">
        <v>737</v>
      </c>
      <c r="CX10" s="7" t="s">
        <v>738</v>
      </c>
      <c r="CY10" s="7" t="s">
        <v>739</v>
      </c>
      <c r="CZ10" s="7" t="s">
        <v>740</v>
      </c>
      <c r="DA10" s="7" t="s">
        <v>741</v>
      </c>
      <c r="DB10" s="7" t="s">
        <v>742</v>
      </c>
      <c r="DC10" s="7" t="s">
        <v>743</v>
      </c>
      <c r="DD10" s="7" t="s">
        <v>744</v>
      </c>
      <c r="DE10" s="7" t="s">
        <v>745</v>
      </c>
      <c r="DF10" s="7" t="s">
        <v>746</v>
      </c>
      <c r="DG10" s="7" t="s">
        <v>747</v>
      </c>
      <c r="DH10" s="7" t="s">
        <v>748</v>
      </c>
      <c r="DI10" s="7" t="s">
        <v>749</v>
      </c>
      <c r="DJ10" s="7" t="s">
        <v>750</v>
      </c>
      <c r="DK10" s="7" t="s">
        <v>751</v>
      </c>
      <c r="DL10" s="7" t="s">
        <v>752</v>
      </c>
      <c r="DM10" s="7" t="s">
        <v>753</v>
      </c>
      <c r="DN10" s="7" t="s">
        <v>754</v>
      </c>
      <c r="DO10" s="7" t="s">
        <v>755</v>
      </c>
      <c r="DP10" s="7" t="s">
        <v>756</v>
      </c>
      <c r="DQ10" s="7" t="s">
        <v>757</v>
      </c>
      <c r="DR10" s="7" t="s">
        <v>758</v>
      </c>
      <c r="DS10" s="7" t="s">
        <v>759</v>
      </c>
      <c r="DT10" s="7" t="s">
        <v>760</v>
      </c>
      <c r="DU10" s="7" t="s">
        <v>761</v>
      </c>
      <c r="DV10" s="7" t="s">
        <v>762</v>
      </c>
      <c r="DW10" s="7" t="s">
        <v>763</v>
      </c>
      <c r="DX10" s="7" t="s">
        <v>764</v>
      </c>
      <c r="DY10" s="7" t="s">
        <v>765</v>
      </c>
      <c r="DZ10" s="7" t="s">
        <v>766</v>
      </c>
      <c r="EA10" s="7" t="s">
        <v>767</v>
      </c>
      <c r="EB10" s="7" t="s">
        <v>768</v>
      </c>
      <c r="EC10" s="7" t="s">
        <v>769</v>
      </c>
      <c r="ED10" s="7" t="s">
        <v>770</v>
      </c>
      <c r="EE10" s="7" t="s">
        <v>771</v>
      </c>
      <c r="EF10" s="7" t="s">
        <v>772</v>
      </c>
      <c r="EG10" s="7" t="s">
        <v>773</v>
      </c>
      <c r="EH10" s="7" t="s">
        <v>774</v>
      </c>
      <c r="EI10" s="7" t="s">
        <v>775</v>
      </c>
      <c r="EJ10" s="7" t="s">
        <v>776</v>
      </c>
      <c r="EK10" s="7" t="s">
        <v>777</v>
      </c>
      <c r="EL10" s="7" t="s">
        <v>778</v>
      </c>
      <c r="EM10" s="7" t="s">
        <v>779</v>
      </c>
      <c r="EN10" s="7" t="s">
        <v>780</v>
      </c>
      <c r="EO10" s="7" t="s">
        <v>781</v>
      </c>
      <c r="EP10" s="7" t="s">
        <v>782</v>
      </c>
      <c r="EQ10" s="7" t="s">
        <v>783</v>
      </c>
    </row>
    <row r="11" spans="1:147" x14ac:dyDescent="0.2">
      <c r="A11" s="10">
        <v>17777</v>
      </c>
    </row>
    <row r="12" spans="1:147" x14ac:dyDescent="0.2">
      <c r="A12" s="10">
        <v>17868</v>
      </c>
    </row>
    <row r="13" spans="1:147" x14ac:dyDescent="0.2">
      <c r="A13" s="10">
        <v>17958</v>
      </c>
    </row>
    <row r="14" spans="1:147" x14ac:dyDescent="0.2">
      <c r="A14" s="10">
        <v>18050</v>
      </c>
    </row>
    <row r="15" spans="1:147" x14ac:dyDescent="0.2">
      <c r="A15" s="10">
        <v>18142</v>
      </c>
    </row>
    <row r="16" spans="1:147" x14ac:dyDescent="0.2">
      <c r="A16" s="10">
        <v>18233</v>
      </c>
    </row>
    <row r="17" spans="1:1" x14ac:dyDescent="0.2">
      <c r="A17" s="10">
        <v>18323</v>
      </c>
    </row>
    <row r="18" spans="1:1" x14ac:dyDescent="0.2">
      <c r="A18" s="10">
        <v>18415</v>
      </c>
    </row>
    <row r="19" spans="1:1" x14ac:dyDescent="0.2">
      <c r="A19" s="10">
        <v>18507</v>
      </c>
    </row>
    <row r="20" spans="1:1" x14ac:dyDescent="0.2">
      <c r="A20" s="10">
        <v>18598</v>
      </c>
    </row>
    <row r="21" spans="1:1" x14ac:dyDescent="0.2">
      <c r="A21" s="10">
        <v>18688</v>
      </c>
    </row>
    <row r="22" spans="1:1" x14ac:dyDescent="0.2">
      <c r="A22" s="10">
        <v>18780</v>
      </c>
    </row>
    <row r="23" spans="1:1" x14ac:dyDescent="0.2">
      <c r="A23" s="10">
        <v>18872</v>
      </c>
    </row>
    <row r="24" spans="1:1" x14ac:dyDescent="0.2">
      <c r="A24" s="10">
        <v>18963</v>
      </c>
    </row>
    <row r="25" spans="1:1" x14ac:dyDescent="0.2">
      <c r="A25" s="10">
        <v>19054</v>
      </c>
    </row>
    <row r="26" spans="1:1" x14ac:dyDescent="0.2">
      <c r="A26" s="10">
        <v>19146</v>
      </c>
    </row>
    <row r="27" spans="1:1" x14ac:dyDescent="0.2">
      <c r="A27" s="10">
        <v>19238</v>
      </c>
    </row>
    <row r="28" spans="1:1" x14ac:dyDescent="0.2">
      <c r="A28" s="10">
        <v>19329</v>
      </c>
    </row>
    <row r="29" spans="1:1" x14ac:dyDescent="0.2">
      <c r="A29" s="10">
        <v>19419</v>
      </c>
    </row>
    <row r="30" spans="1:1" x14ac:dyDescent="0.2">
      <c r="A30" s="10">
        <v>19511</v>
      </c>
    </row>
    <row r="31" spans="1:1" x14ac:dyDescent="0.2">
      <c r="A31" s="10">
        <v>19603</v>
      </c>
    </row>
    <row r="32" spans="1:1" x14ac:dyDescent="0.2">
      <c r="A32" s="10">
        <v>19694</v>
      </c>
    </row>
    <row r="33" spans="1:1" x14ac:dyDescent="0.2">
      <c r="A33" s="10">
        <v>19784</v>
      </c>
    </row>
    <row r="34" spans="1:1" x14ac:dyDescent="0.2">
      <c r="A34" s="10">
        <v>19876</v>
      </c>
    </row>
    <row r="35" spans="1:1" x14ac:dyDescent="0.2">
      <c r="A35" s="10">
        <v>19968</v>
      </c>
    </row>
    <row r="36" spans="1:1" x14ac:dyDescent="0.2">
      <c r="A36" s="10">
        <v>20059</v>
      </c>
    </row>
    <row r="37" spans="1:1" x14ac:dyDescent="0.2">
      <c r="A37" s="10">
        <v>20149</v>
      </c>
    </row>
    <row r="38" spans="1:1" x14ac:dyDescent="0.2">
      <c r="A38" s="10">
        <v>20241</v>
      </c>
    </row>
    <row r="39" spans="1:1" x14ac:dyDescent="0.2">
      <c r="A39" s="10">
        <v>20333</v>
      </c>
    </row>
    <row r="40" spans="1:1" x14ac:dyDescent="0.2">
      <c r="A40" s="10">
        <v>20424</v>
      </c>
    </row>
    <row r="41" spans="1:1" x14ac:dyDescent="0.2">
      <c r="A41" s="10">
        <v>20515</v>
      </c>
    </row>
    <row r="42" spans="1:1" x14ac:dyDescent="0.2">
      <c r="A42" s="10">
        <v>20607</v>
      </c>
    </row>
    <row r="43" spans="1:1" x14ac:dyDescent="0.2">
      <c r="A43" s="10">
        <v>20699</v>
      </c>
    </row>
    <row r="44" spans="1:1" x14ac:dyDescent="0.2">
      <c r="A44" s="10">
        <v>20790</v>
      </c>
    </row>
    <row r="45" spans="1:1" x14ac:dyDescent="0.2">
      <c r="A45" s="10">
        <v>20880</v>
      </c>
    </row>
    <row r="46" spans="1:1" x14ac:dyDescent="0.2">
      <c r="A46" s="10">
        <v>20972</v>
      </c>
    </row>
    <row r="47" spans="1:1" x14ac:dyDescent="0.2">
      <c r="A47" s="10">
        <v>21064</v>
      </c>
    </row>
    <row r="48" spans="1:1" x14ac:dyDescent="0.2">
      <c r="A48" s="10">
        <v>21155</v>
      </c>
    </row>
    <row r="49" spans="1:1" x14ac:dyDescent="0.2">
      <c r="A49" s="10">
        <v>21245</v>
      </c>
    </row>
    <row r="50" spans="1:1" x14ac:dyDescent="0.2">
      <c r="A50" s="10">
        <v>21337</v>
      </c>
    </row>
    <row r="51" spans="1:1" x14ac:dyDescent="0.2">
      <c r="A51" s="10">
        <v>21429</v>
      </c>
    </row>
    <row r="52" spans="1:1" x14ac:dyDescent="0.2">
      <c r="A52" s="10">
        <v>21520</v>
      </c>
    </row>
    <row r="53" spans="1:1" x14ac:dyDescent="0.2">
      <c r="A53" s="10">
        <v>21610</v>
      </c>
    </row>
    <row r="54" spans="1:1" x14ac:dyDescent="0.2">
      <c r="A54" s="10">
        <v>21702</v>
      </c>
    </row>
    <row r="55" spans="1:1" x14ac:dyDescent="0.2">
      <c r="A55" s="10">
        <v>21794</v>
      </c>
    </row>
    <row r="56" spans="1:1" x14ac:dyDescent="0.2">
      <c r="A56" s="10">
        <v>21885</v>
      </c>
    </row>
    <row r="57" spans="1:1" x14ac:dyDescent="0.2">
      <c r="A57" s="10">
        <v>21976</v>
      </c>
    </row>
    <row r="58" spans="1:1" x14ac:dyDescent="0.2">
      <c r="A58" s="10">
        <v>22068</v>
      </c>
    </row>
    <row r="59" spans="1:1" x14ac:dyDescent="0.2">
      <c r="A59" s="10">
        <v>22160</v>
      </c>
    </row>
    <row r="60" spans="1:1" x14ac:dyDescent="0.2">
      <c r="A60" s="10">
        <v>22251</v>
      </c>
    </row>
    <row r="61" spans="1:1" x14ac:dyDescent="0.2">
      <c r="A61" s="10">
        <v>22341</v>
      </c>
    </row>
    <row r="62" spans="1:1" x14ac:dyDescent="0.2">
      <c r="A62" s="10">
        <v>22433</v>
      </c>
    </row>
    <row r="63" spans="1:1" x14ac:dyDescent="0.2">
      <c r="A63" s="10">
        <v>22525</v>
      </c>
    </row>
    <row r="64" spans="1:1" x14ac:dyDescent="0.2">
      <c r="A64" s="10">
        <v>22616</v>
      </c>
    </row>
    <row r="65" spans="1:1" x14ac:dyDescent="0.2">
      <c r="A65" s="10">
        <v>22706</v>
      </c>
    </row>
    <row r="66" spans="1:1" x14ac:dyDescent="0.2">
      <c r="A66" s="10">
        <v>22798</v>
      </c>
    </row>
    <row r="67" spans="1:1" x14ac:dyDescent="0.2">
      <c r="A67" s="10">
        <v>22890</v>
      </c>
    </row>
    <row r="68" spans="1:1" x14ac:dyDescent="0.2">
      <c r="A68" s="10">
        <v>22981</v>
      </c>
    </row>
    <row r="69" spans="1:1" x14ac:dyDescent="0.2">
      <c r="A69" s="10">
        <v>23071</v>
      </c>
    </row>
    <row r="70" spans="1:1" x14ac:dyDescent="0.2">
      <c r="A70" s="10">
        <v>23163</v>
      </c>
    </row>
    <row r="71" spans="1:1" x14ac:dyDescent="0.2">
      <c r="A71" s="10">
        <v>23255</v>
      </c>
    </row>
    <row r="72" spans="1:1" x14ac:dyDescent="0.2">
      <c r="A72" s="10">
        <v>23346</v>
      </c>
    </row>
    <row r="73" spans="1:1" x14ac:dyDescent="0.2">
      <c r="A73" s="10">
        <v>23437</v>
      </c>
    </row>
    <row r="74" spans="1:1" x14ac:dyDescent="0.2">
      <c r="A74" s="10">
        <v>23529</v>
      </c>
    </row>
    <row r="75" spans="1:1" x14ac:dyDescent="0.2">
      <c r="A75" s="10">
        <v>23621</v>
      </c>
    </row>
    <row r="76" spans="1:1" x14ac:dyDescent="0.2">
      <c r="A76" s="10">
        <v>23712</v>
      </c>
    </row>
    <row r="77" spans="1:1" x14ac:dyDescent="0.2">
      <c r="A77" s="10">
        <v>23802</v>
      </c>
    </row>
    <row r="78" spans="1:1" x14ac:dyDescent="0.2">
      <c r="A78" s="10">
        <v>23894</v>
      </c>
    </row>
    <row r="79" spans="1:1" x14ac:dyDescent="0.2">
      <c r="A79" s="10">
        <v>23986</v>
      </c>
    </row>
    <row r="80" spans="1:1" x14ac:dyDescent="0.2">
      <c r="A80" s="10">
        <v>24077</v>
      </c>
    </row>
    <row r="81" spans="1:1" x14ac:dyDescent="0.2">
      <c r="A81" s="10">
        <v>24167</v>
      </c>
    </row>
    <row r="82" spans="1:1" x14ac:dyDescent="0.2">
      <c r="A82" s="10">
        <v>24259</v>
      </c>
    </row>
    <row r="83" spans="1:1" x14ac:dyDescent="0.2">
      <c r="A83" s="10">
        <v>24351</v>
      </c>
    </row>
    <row r="84" spans="1:1" x14ac:dyDescent="0.2">
      <c r="A84" s="10">
        <v>24442</v>
      </c>
    </row>
    <row r="85" spans="1:1" x14ac:dyDescent="0.2">
      <c r="A85" s="10">
        <v>24532</v>
      </c>
    </row>
    <row r="86" spans="1:1" x14ac:dyDescent="0.2">
      <c r="A86" s="10">
        <v>24624</v>
      </c>
    </row>
    <row r="87" spans="1:1" x14ac:dyDescent="0.2">
      <c r="A87" s="10">
        <v>24716</v>
      </c>
    </row>
    <row r="88" spans="1:1" x14ac:dyDescent="0.2">
      <c r="A88" s="10">
        <v>24807</v>
      </c>
    </row>
    <row r="89" spans="1:1" x14ac:dyDescent="0.2">
      <c r="A89" s="10">
        <v>24898</v>
      </c>
    </row>
    <row r="90" spans="1:1" x14ac:dyDescent="0.2">
      <c r="A90" s="10">
        <v>24990</v>
      </c>
    </row>
    <row r="91" spans="1:1" x14ac:dyDescent="0.2">
      <c r="A91" s="10">
        <v>25082</v>
      </c>
    </row>
    <row r="92" spans="1:1" x14ac:dyDescent="0.2">
      <c r="A92" s="10">
        <v>25173</v>
      </c>
    </row>
    <row r="93" spans="1:1" x14ac:dyDescent="0.2">
      <c r="A93" s="10">
        <v>25263</v>
      </c>
    </row>
    <row r="94" spans="1:1" x14ac:dyDescent="0.2">
      <c r="A94" s="10">
        <v>25355</v>
      </c>
    </row>
    <row r="95" spans="1:1" x14ac:dyDescent="0.2">
      <c r="A95" s="10">
        <v>25447</v>
      </c>
    </row>
    <row r="96" spans="1:1" x14ac:dyDescent="0.2">
      <c r="A96" s="10">
        <v>25538</v>
      </c>
    </row>
    <row r="97" spans="1:1" x14ac:dyDescent="0.2">
      <c r="A97" s="10">
        <v>25628</v>
      </c>
    </row>
    <row r="98" spans="1:1" x14ac:dyDescent="0.2">
      <c r="A98" s="10">
        <v>25720</v>
      </c>
    </row>
    <row r="99" spans="1:1" x14ac:dyDescent="0.2">
      <c r="A99" s="10">
        <v>25812</v>
      </c>
    </row>
    <row r="100" spans="1:1" x14ac:dyDescent="0.2">
      <c r="A100" s="10">
        <v>25903</v>
      </c>
    </row>
    <row r="101" spans="1:1" x14ac:dyDescent="0.2">
      <c r="A101" s="10">
        <v>25993</v>
      </c>
    </row>
    <row r="102" spans="1:1" x14ac:dyDescent="0.2">
      <c r="A102" s="10">
        <v>26085</v>
      </c>
    </row>
    <row r="103" spans="1:1" x14ac:dyDescent="0.2">
      <c r="A103" s="10">
        <v>26177</v>
      </c>
    </row>
    <row r="104" spans="1:1" x14ac:dyDescent="0.2">
      <c r="A104" s="10">
        <v>26268</v>
      </c>
    </row>
    <row r="105" spans="1:1" x14ac:dyDescent="0.2">
      <c r="A105" s="10">
        <v>26359</v>
      </c>
    </row>
    <row r="106" spans="1:1" x14ac:dyDescent="0.2">
      <c r="A106" s="10">
        <v>26451</v>
      </c>
    </row>
    <row r="107" spans="1:1" x14ac:dyDescent="0.2">
      <c r="A107" s="10">
        <v>26543</v>
      </c>
    </row>
    <row r="108" spans="1:1" x14ac:dyDescent="0.2">
      <c r="A108" s="10">
        <v>26634</v>
      </c>
    </row>
    <row r="109" spans="1:1" x14ac:dyDescent="0.2">
      <c r="A109" s="10">
        <v>26724</v>
      </c>
    </row>
    <row r="110" spans="1:1" x14ac:dyDescent="0.2">
      <c r="A110" s="10">
        <v>26816</v>
      </c>
    </row>
    <row r="111" spans="1:1" x14ac:dyDescent="0.2">
      <c r="A111" s="10">
        <v>26908</v>
      </c>
    </row>
    <row r="112" spans="1:1" x14ac:dyDescent="0.2">
      <c r="A112" s="10">
        <v>26999</v>
      </c>
    </row>
    <row r="113" spans="1:1" x14ac:dyDescent="0.2">
      <c r="A113" s="10">
        <v>27089</v>
      </c>
    </row>
    <row r="114" spans="1:1" x14ac:dyDescent="0.2">
      <c r="A114" s="10">
        <v>27181</v>
      </c>
    </row>
    <row r="115" spans="1:1" x14ac:dyDescent="0.2">
      <c r="A115" s="10">
        <v>27273</v>
      </c>
    </row>
    <row r="116" spans="1:1" x14ac:dyDescent="0.2">
      <c r="A116" s="10">
        <v>27364</v>
      </c>
    </row>
    <row r="117" spans="1:1" x14ac:dyDescent="0.2">
      <c r="A117" s="10">
        <v>27454</v>
      </c>
    </row>
    <row r="118" spans="1:1" x14ac:dyDescent="0.2">
      <c r="A118" s="10">
        <v>27546</v>
      </c>
    </row>
    <row r="119" spans="1:1" x14ac:dyDescent="0.2">
      <c r="A119" s="10">
        <v>27638</v>
      </c>
    </row>
    <row r="120" spans="1:1" x14ac:dyDescent="0.2">
      <c r="A120" s="10">
        <v>27729</v>
      </c>
    </row>
    <row r="121" spans="1:1" x14ac:dyDescent="0.2">
      <c r="A121" s="10">
        <v>27820</v>
      </c>
    </row>
    <row r="122" spans="1:1" x14ac:dyDescent="0.2">
      <c r="A122" s="10">
        <v>27912</v>
      </c>
    </row>
    <row r="123" spans="1:1" x14ac:dyDescent="0.2">
      <c r="A123" s="10">
        <v>28004</v>
      </c>
    </row>
    <row r="124" spans="1:1" x14ac:dyDescent="0.2">
      <c r="A124" s="10">
        <v>28095</v>
      </c>
    </row>
    <row r="125" spans="1:1" x14ac:dyDescent="0.2">
      <c r="A125" s="10">
        <v>28185</v>
      </c>
    </row>
    <row r="126" spans="1:1" x14ac:dyDescent="0.2">
      <c r="A126" s="10">
        <v>28277</v>
      </c>
    </row>
    <row r="127" spans="1:1" x14ac:dyDescent="0.2">
      <c r="A127" s="10">
        <v>28369</v>
      </c>
    </row>
    <row r="128" spans="1:1" x14ac:dyDescent="0.2">
      <c r="A128" s="10">
        <v>28460</v>
      </c>
    </row>
    <row r="129" spans="1:1" x14ac:dyDescent="0.2">
      <c r="A129" s="10">
        <v>28550</v>
      </c>
    </row>
    <row r="130" spans="1:1" x14ac:dyDescent="0.2">
      <c r="A130" s="10">
        <v>28642</v>
      </c>
    </row>
    <row r="131" spans="1:1" x14ac:dyDescent="0.2">
      <c r="A131" s="10">
        <v>28734</v>
      </c>
    </row>
    <row r="132" spans="1:1" x14ac:dyDescent="0.2">
      <c r="A132" s="10">
        <v>28825</v>
      </c>
    </row>
    <row r="133" spans="1:1" x14ac:dyDescent="0.2">
      <c r="A133" s="10">
        <v>28915</v>
      </c>
    </row>
    <row r="134" spans="1:1" x14ac:dyDescent="0.2">
      <c r="A134" s="10">
        <v>29007</v>
      </c>
    </row>
    <row r="135" spans="1:1" x14ac:dyDescent="0.2">
      <c r="A135" s="10">
        <v>29099</v>
      </c>
    </row>
    <row r="136" spans="1:1" x14ac:dyDescent="0.2">
      <c r="A136" s="10">
        <v>29190</v>
      </c>
    </row>
    <row r="137" spans="1:1" x14ac:dyDescent="0.2">
      <c r="A137" s="10">
        <v>29281</v>
      </c>
    </row>
    <row r="138" spans="1:1" x14ac:dyDescent="0.2">
      <c r="A138" s="10">
        <v>29373</v>
      </c>
    </row>
    <row r="139" spans="1:1" x14ac:dyDescent="0.2">
      <c r="A139" s="10">
        <v>29465</v>
      </c>
    </row>
    <row r="140" spans="1:1" x14ac:dyDescent="0.2">
      <c r="A140" s="10">
        <v>29556</v>
      </c>
    </row>
    <row r="141" spans="1:1" x14ac:dyDescent="0.2">
      <c r="A141" s="10">
        <v>29646</v>
      </c>
    </row>
    <row r="142" spans="1:1" x14ac:dyDescent="0.2">
      <c r="A142" s="10">
        <v>29738</v>
      </c>
    </row>
    <row r="143" spans="1:1" x14ac:dyDescent="0.2">
      <c r="A143" s="10">
        <v>29830</v>
      </c>
    </row>
    <row r="144" spans="1:1" x14ac:dyDescent="0.2">
      <c r="A144" s="10">
        <v>29921</v>
      </c>
    </row>
    <row r="145" spans="1:6" x14ac:dyDescent="0.2">
      <c r="A145" s="10">
        <v>30011</v>
      </c>
    </row>
    <row r="146" spans="1:6" x14ac:dyDescent="0.2">
      <c r="A146" s="10">
        <v>30103</v>
      </c>
      <c r="E146" s="9">
        <v>0</v>
      </c>
      <c r="F146" s="9">
        <v>0</v>
      </c>
    </row>
    <row r="147" spans="1:6" x14ac:dyDescent="0.2">
      <c r="A147" s="10">
        <v>30195</v>
      </c>
      <c r="E147" s="9">
        <v>0</v>
      </c>
      <c r="F147" s="9">
        <v>0</v>
      </c>
    </row>
    <row r="148" spans="1:6" x14ac:dyDescent="0.2">
      <c r="A148" s="10">
        <v>30286</v>
      </c>
      <c r="E148" s="9">
        <v>0</v>
      </c>
      <c r="F148" s="9">
        <v>0</v>
      </c>
    </row>
    <row r="149" spans="1:6" x14ac:dyDescent="0.2">
      <c r="A149" s="10">
        <v>30376</v>
      </c>
      <c r="E149" s="9">
        <v>13.4</v>
      </c>
      <c r="F149" s="9">
        <v>13.4</v>
      </c>
    </row>
    <row r="150" spans="1:6" x14ac:dyDescent="0.2">
      <c r="A150" s="10">
        <v>30468</v>
      </c>
      <c r="E150" s="9">
        <v>0</v>
      </c>
      <c r="F150" s="9">
        <v>0</v>
      </c>
    </row>
    <row r="151" spans="1:6" x14ac:dyDescent="0.2">
      <c r="A151" s="10">
        <v>30560</v>
      </c>
      <c r="E151" s="9">
        <v>0</v>
      </c>
      <c r="F151" s="9">
        <v>0</v>
      </c>
    </row>
    <row r="152" spans="1:6" x14ac:dyDescent="0.2">
      <c r="A152" s="10">
        <v>30651</v>
      </c>
      <c r="E152" s="9">
        <v>0</v>
      </c>
      <c r="F152" s="9">
        <v>0</v>
      </c>
    </row>
    <row r="153" spans="1:6" x14ac:dyDescent="0.2">
      <c r="A153" s="10">
        <v>30742</v>
      </c>
      <c r="E153" s="9">
        <v>10.9</v>
      </c>
      <c r="F153" s="9">
        <v>10.9</v>
      </c>
    </row>
    <row r="154" spans="1:6" x14ac:dyDescent="0.2">
      <c r="A154" s="10">
        <v>30834</v>
      </c>
      <c r="E154" s="9">
        <v>0</v>
      </c>
      <c r="F154" s="9">
        <v>0</v>
      </c>
    </row>
    <row r="155" spans="1:6" x14ac:dyDescent="0.2">
      <c r="A155" s="10">
        <v>30926</v>
      </c>
      <c r="E155" s="9">
        <v>0.5</v>
      </c>
      <c r="F155" s="9">
        <v>0.5</v>
      </c>
    </row>
    <row r="156" spans="1:6" x14ac:dyDescent="0.2">
      <c r="A156" s="10">
        <v>31017</v>
      </c>
      <c r="E156" s="9">
        <v>0</v>
      </c>
      <c r="F156" s="9">
        <v>0</v>
      </c>
    </row>
    <row r="157" spans="1:6" x14ac:dyDescent="0.2">
      <c r="A157" s="10">
        <v>31107</v>
      </c>
      <c r="E157" s="9">
        <v>8.1</v>
      </c>
      <c r="F157" s="9">
        <v>8.1</v>
      </c>
    </row>
    <row r="158" spans="1:6" x14ac:dyDescent="0.2">
      <c r="A158" s="10">
        <v>31199</v>
      </c>
      <c r="E158" s="9">
        <v>0</v>
      </c>
      <c r="F158" s="9">
        <v>0</v>
      </c>
    </row>
    <row r="159" spans="1:6" x14ac:dyDescent="0.2">
      <c r="A159" s="10">
        <v>31291</v>
      </c>
      <c r="E159" s="9">
        <v>0.2</v>
      </c>
      <c r="F159" s="9">
        <v>0.2</v>
      </c>
    </row>
    <row r="160" spans="1:6" x14ac:dyDescent="0.2">
      <c r="A160" s="10">
        <v>31382</v>
      </c>
      <c r="E160" s="9">
        <v>0</v>
      </c>
      <c r="F160" s="9">
        <v>0</v>
      </c>
    </row>
    <row r="161" spans="1:12" x14ac:dyDescent="0.2">
      <c r="A161" s="10">
        <v>31472</v>
      </c>
      <c r="E161" s="9">
        <v>9.8000000000000007</v>
      </c>
      <c r="F161" s="9">
        <v>9.8000000000000007</v>
      </c>
    </row>
    <row r="162" spans="1:12" x14ac:dyDescent="0.2">
      <c r="A162" s="10">
        <v>31564</v>
      </c>
      <c r="E162" s="9">
        <v>0.2</v>
      </c>
      <c r="F162" s="9">
        <v>0.2</v>
      </c>
    </row>
    <row r="163" spans="1:12" x14ac:dyDescent="0.2">
      <c r="A163" s="10">
        <v>31656</v>
      </c>
      <c r="E163" s="9">
        <v>0</v>
      </c>
      <c r="F163" s="9">
        <v>0</v>
      </c>
    </row>
    <row r="164" spans="1:12" x14ac:dyDescent="0.2">
      <c r="A164" s="10">
        <v>31747</v>
      </c>
      <c r="E164" s="9">
        <v>0</v>
      </c>
      <c r="F164" s="9">
        <v>0</v>
      </c>
    </row>
    <row r="165" spans="1:12" x14ac:dyDescent="0.2">
      <c r="A165" s="10">
        <v>31837</v>
      </c>
      <c r="B165" s="9">
        <v>5.7</v>
      </c>
      <c r="E165" s="9">
        <v>10.199999999999999</v>
      </c>
      <c r="F165" s="9">
        <v>10.199999999999999</v>
      </c>
    </row>
    <row r="166" spans="1:12" x14ac:dyDescent="0.2">
      <c r="A166" s="10">
        <v>31929</v>
      </c>
      <c r="B166" s="9">
        <v>1.3</v>
      </c>
      <c r="E166" s="9">
        <v>0</v>
      </c>
      <c r="F166" s="9">
        <v>0</v>
      </c>
    </row>
    <row r="167" spans="1:12" x14ac:dyDescent="0.2">
      <c r="A167" s="10">
        <v>32021</v>
      </c>
      <c r="B167" s="9">
        <v>2.4</v>
      </c>
      <c r="E167" s="9">
        <v>0</v>
      </c>
      <c r="F167" s="9">
        <v>0</v>
      </c>
    </row>
    <row r="168" spans="1:12" x14ac:dyDescent="0.2">
      <c r="A168" s="10">
        <v>32112</v>
      </c>
      <c r="B168" s="9">
        <v>0.7</v>
      </c>
      <c r="E168" s="9">
        <v>0</v>
      </c>
      <c r="F168" s="9">
        <v>0</v>
      </c>
    </row>
    <row r="169" spans="1:12" x14ac:dyDescent="0.2">
      <c r="A169" s="10">
        <v>32203</v>
      </c>
      <c r="B169" s="9">
        <v>5.5</v>
      </c>
      <c r="E169" s="9">
        <v>11.9</v>
      </c>
      <c r="F169" s="9">
        <v>11.9</v>
      </c>
    </row>
    <row r="170" spans="1:12" x14ac:dyDescent="0.2">
      <c r="A170" s="10">
        <v>32295</v>
      </c>
      <c r="B170" s="9">
        <v>1.4</v>
      </c>
      <c r="E170" s="9">
        <v>0</v>
      </c>
      <c r="F170" s="9">
        <v>0</v>
      </c>
    </row>
    <row r="171" spans="1:12" x14ac:dyDescent="0.2">
      <c r="A171" s="10">
        <v>32387</v>
      </c>
      <c r="B171" s="9">
        <v>1.2</v>
      </c>
      <c r="E171" s="9">
        <v>0</v>
      </c>
      <c r="F171" s="9">
        <v>0</v>
      </c>
    </row>
    <row r="172" spans="1:12" x14ac:dyDescent="0.2">
      <c r="A172" s="10">
        <v>32478</v>
      </c>
      <c r="B172" s="9">
        <v>2</v>
      </c>
      <c r="E172" s="9">
        <v>0</v>
      </c>
      <c r="F172" s="9">
        <v>0</v>
      </c>
    </row>
    <row r="173" spans="1:12" x14ac:dyDescent="0.2">
      <c r="A173" s="10">
        <v>32568</v>
      </c>
      <c r="B173" s="9">
        <v>3.4</v>
      </c>
      <c r="E173" s="9">
        <v>12.4</v>
      </c>
      <c r="F173" s="9">
        <v>12.4</v>
      </c>
    </row>
    <row r="174" spans="1:12" x14ac:dyDescent="0.2">
      <c r="A174" s="10">
        <v>32660</v>
      </c>
      <c r="B174" s="9">
        <v>2.4</v>
      </c>
      <c r="E174" s="9">
        <v>0</v>
      </c>
      <c r="F174" s="9">
        <v>0</v>
      </c>
    </row>
    <row r="175" spans="1:12" x14ac:dyDescent="0.2">
      <c r="A175" s="10">
        <v>32752</v>
      </c>
      <c r="B175" s="9">
        <v>1.4</v>
      </c>
      <c r="E175" s="9">
        <v>0</v>
      </c>
      <c r="F175" s="9">
        <v>0</v>
      </c>
    </row>
    <row r="176" spans="1:12" x14ac:dyDescent="0.2">
      <c r="A176" s="10">
        <v>32843</v>
      </c>
      <c r="B176" s="9">
        <v>1.7</v>
      </c>
      <c r="E176" s="9">
        <v>0</v>
      </c>
      <c r="F176" s="9">
        <v>0</v>
      </c>
      <c r="K176" s="9">
        <v>1</v>
      </c>
      <c r="L176" s="9">
        <v>1</v>
      </c>
    </row>
    <row r="177" spans="1:12" x14ac:dyDescent="0.2">
      <c r="A177" s="10">
        <v>32933</v>
      </c>
      <c r="B177" s="9">
        <v>4.8</v>
      </c>
      <c r="E177" s="9">
        <v>14.1</v>
      </c>
      <c r="F177" s="9">
        <v>14.1</v>
      </c>
      <c r="K177" s="9">
        <v>1.1000000000000001</v>
      </c>
      <c r="L177" s="9">
        <v>1.1000000000000001</v>
      </c>
    </row>
    <row r="178" spans="1:12" x14ac:dyDescent="0.2">
      <c r="A178" s="10">
        <v>33025</v>
      </c>
      <c r="B178" s="9">
        <v>1.3</v>
      </c>
      <c r="E178" s="9">
        <v>0</v>
      </c>
      <c r="F178" s="9">
        <v>0</v>
      </c>
      <c r="K178" s="9">
        <v>1.2</v>
      </c>
      <c r="L178" s="9">
        <v>1.2</v>
      </c>
    </row>
    <row r="179" spans="1:12" x14ac:dyDescent="0.2">
      <c r="A179" s="10">
        <v>33117</v>
      </c>
      <c r="B179" s="9">
        <v>1.5</v>
      </c>
      <c r="E179" s="9">
        <v>0</v>
      </c>
      <c r="F179" s="9">
        <v>0</v>
      </c>
      <c r="K179" s="9">
        <v>3.6</v>
      </c>
      <c r="L179" s="9">
        <v>3.6</v>
      </c>
    </row>
    <row r="180" spans="1:12" x14ac:dyDescent="0.2">
      <c r="A180" s="10">
        <v>33208</v>
      </c>
      <c r="B180" s="9">
        <v>1</v>
      </c>
      <c r="E180" s="9">
        <v>0</v>
      </c>
      <c r="F180" s="9">
        <v>0</v>
      </c>
      <c r="K180" s="9">
        <v>0.9</v>
      </c>
      <c r="L180" s="9">
        <v>0.9</v>
      </c>
    </row>
    <row r="181" spans="1:12" x14ac:dyDescent="0.2">
      <c r="A181" s="10">
        <v>33298</v>
      </c>
      <c r="B181" s="9">
        <v>4</v>
      </c>
      <c r="E181" s="9">
        <v>10.199999999999999</v>
      </c>
      <c r="F181" s="9">
        <v>10.199999999999999</v>
      </c>
      <c r="K181" s="9">
        <v>0.7</v>
      </c>
      <c r="L181" s="9">
        <v>0.7</v>
      </c>
    </row>
    <row r="182" spans="1:12" x14ac:dyDescent="0.2">
      <c r="A182" s="10">
        <v>33390</v>
      </c>
      <c r="B182" s="9">
        <v>1.6</v>
      </c>
      <c r="E182" s="9">
        <v>0</v>
      </c>
      <c r="F182" s="9">
        <v>0</v>
      </c>
      <c r="K182" s="9">
        <v>1.7</v>
      </c>
      <c r="L182" s="9">
        <v>1.7</v>
      </c>
    </row>
    <row r="183" spans="1:12" x14ac:dyDescent="0.2">
      <c r="A183" s="10">
        <v>33482</v>
      </c>
      <c r="B183" s="9">
        <v>1.7</v>
      </c>
      <c r="E183" s="9">
        <v>0</v>
      </c>
      <c r="F183" s="9">
        <v>0</v>
      </c>
      <c r="K183" s="9">
        <v>-3.1</v>
      </c>
      <c r="L183" s="9">
        <v>-3.1</v>
      </c>
    </row>
    <row r="184" spans="1:12" x14ac:dyDescent="0.2">
      <c r="A184" s="10">
        <v>33573</v>
      </c>
      <c r="B184" s="9">
        <v>0.9</v>
      </c>
      <c r="E184" s="9">
        <v>0</v>
      </c>
      <c r="F184" s="9">
        <v>0</v>
      </c>
      <c r="K184" s="9">
        <v>5.4</v>
      </c>
      <c r="L184" s="9">
        <v>5.4</v>
      </c>
    </row>
    <row r="185" spans="1:12" x14ac:dyDescent="0.2">
      <c r="A185" s="10">
        <v>33664</v>
      </c>
      <c r="B185" s="9">
        <v>2.2999999999999998</v>
      </c>
      <c r="E185" s="9">
        <v>7.8</v>
      </c>
      <c r="F185" s="9">
        <v>7.8</v>
      </c>
      <c r="K185" s="9">
        <v>0.1</v>
      </c>
      <c r="L185" s="9">
        <v>0.1</v>
      </c>
    </row>
    <row r="186" spans="1:12" x14ac:dyDescent="0.2">
      <c r="A186" s="10">
        <v>33756</v>
      </c>
      <c r="B186" s="9">
        <v>0.7</v>
      </c>
      <c r="E186" s="9">
        <v>0</v>
      </c>
      <c r="F186" s="9">
        <v>0</v>
      </c>
      <c r="K186" s="9">
        <v>0</v>
      </c>
      <c r="L186" s="9">
        <v>0</v>
      </c>
    </row>
    <row r="187" spans="1:12" x14ac:dyDescent="0.2">
      <c r="A187" s="10">
        <v>33848</v>
      </c>
      <c r="B187" s="9">
        <v>0.6</v>
      </c>
      <c r="E187" s="9">
        <v>0</v>
      </c>
      <c r="F187" s="9">
        <v>0</v>
      </c>
      <c r="K187" s="9">
        <v>0.5</v>
      </c>
      <c r="L187" s="9">
        <v>0.5</v>
      </c>
    </row>
    <row r="188" spans="1:12" x14ac:dyDescent="0.2">
      <c r="A188" s="10">
        <v>33939</v>
      </c>
      <c r="B188" s="9">
        <v>1.1000000000000001</v>
      </c>
      <c r="E188" s="9">
        <v>0</v>
      </c>
      <c r="F188" s="9">
        <v>0</v>
      </c>
      <c r="K188" s="9">
        <v>-0.2</v>
      </c>
      <c r="L188" s="9">
        <v>-0.2</v>
      </c>
    </row>
    <row r="189" spans="1:12" x14ac:dyDescent="0.2">
      <c r="A189" s="10">
        <v>34029</v>
      </c>
      <c r="B189" s="9">
        <v>0.8</v>
      </c>
      <c r="E189" s="9">
        <v>4.3</v>
      </c>
      <c r="F189" s="9">
        <v>4.3</v>
      </c>
      <c r="K189" s="9">
        <v>-0.5</v>
      </c>
      <c r="L189" s="9">
        <v>-0.5</v>
      </c>
    </row>
    <row r="190" spans="1:12" x14ac:dyDescent="0.2">
      <c r="A190" s="10">
        <v>34121</v>
      </c>
      <c r="B190" s="9">
        <v>1.7</v>
      </c>
      <c r="E190" s="9">
        <v>0</v>
      </c>
      <c r="F190" s="9">
        <v>0</v>
      </c>
      <c r="K190" s="9">
        <v>0.3</v>
      </c>
      <c r="L190" s="9">
        <v>0.3</v>
      </c>
    </row>
    <row r="191" spans="1:12" x14ac:dyDescent="0.2">
      <c r="A191" s="10">
        <v>34213</v>
      </c>
      <c r="B191" s="9">
        <v>1.8</v>
      </c>
      <c r="E191" s="9">
        <v>0</v>
      </c>
      <c r="F191" s="9">
        <v>0</v>
      </c>
      <c r="K191" s="9">
        <v>1.4</v>
      </c>
      <c r="L191" s="9">
        <v>1.4</v>
      </c>
    </row>
    <row r="192" spans="1:12" x14ac:dyDescent="0.2">
      <c r="A192" s="10">
        <v>34304</v>
      </c>
      <c r="B192" s="9">
        <v>0.9</v>
      </c>
      <c r="E192" s="9">
        <v>0</v>
      </c>
      <c r="F192" s="9">
        <v>0</v>
      </c>
      <c r="K192" s="9">
        <v>0.9</v>
      </c>
      <c r="L192" s="9">
        <v>0.9</v>
      </c>
    </row>
    <row r="193" spans="1:12" x14ac:dyDescent="0.2">
      <c r="A193" s="10">
        <v>34394</v>
      </c>
      <c r="B193" s="9">
        <v>1.5</v>
      </c>
      <c r="E193" s="9">
        <v>3.6</v>
      </c>
      <c r="F193" s="9">
        <v>3.6</v>
      </c>
      <c r="K193" s="9">
        <v>2.4</v>
      </c>
      <c r="L193" s="9">
        <v>2.4</v>
      </c>
    </row>
    <row r="194" spans="1:12" x14ac:dyDescent="0.2">
      <c r="A194" s="10">
        <v>34486</v>
      </c>
      <c r="B194" s="9">
        <v>-0.1</v>
      </c>
      <c r="E194" s="9">
        <v>0</v>
      </c>
      <c r="F194" s="9">
        <v>0</v>
      </c>
      <c r="K194" s="9">
        <v>1.6</v>
      </c>
      <c r="L194" s="9">
        <v>1.6</v>
      </c>
    </row>
    <row r="195" spans="1:12" x14ac:dyDescent="0.2">
      <c r="A195" s="10">
        <v>34578</v>
      </c>
      <c r="B195" s="9">
        <v>0.7</v>
      </c>
      <c r="E195" s="9">
        <v>0</v>
      </c>
      <c r="F195" s="9">
        <v>0</v>
      </c>
      <c r="K195" s="9">
        <v>2.7</v>
      </c>
      <c r="L195" s="9">
        <v>2.7</v>
      </c>
    </row>
    <row r="196" spans="1:12" x14ac:dyDescent="0.2">
      <c r="A196" s="10">
        <v>34669</v>
      </c>
      <c r="B196" s="9">
        <v>0.7</v>
      </c>
      <c r="E196" s="9">
        <v>0</v>
      </c>
      <c r="F196" s="9">
        <v>0</v>
      </c>
      <c r="K196" s="9">
        <v>0.7</v>
      </c>
      <c r="L196" s="9">
        <v>0.7</v>
      </c>
    </row>
    <row r="197" spans="1:12" x14ac:dyDescent="0.2">
      <c r="A197" s="10">
        <v>34759</v>
      </c>
      <c r="B197" s="9">
        <v>1.4</v>
      </c>
      <c r="E197" s="9">
        <v>4.5</v>
      </c>
      <c r="F197" s="9">
        <v>4.5</v>
      </c>
      <c r="K197" s="9">
        <v>1</v>
      </c>
      <c r="L197" s="9">
        <v>1</v>
      </c>
    </row>
    <row r="198" spans="1:12" x14ac:dyDescent="0.2">
      <c r="A198" s="10">
        <v>34851</v>
      </c>
      <c r="B198" s="9">
        <v>0.9</v>
      </c>
      <c r="E198" s="9">
        <v>0</v>
      </c>
      <c r="F198" s="9">
        <v>0</v>
      </c>
      <c r="K198" s="9">
        <v>1.1000000000000001</v>
      </c>
      <c r="L198" s="9">
        <v>1.1000000000000001</v>
      </c>
    </row>
    <row r="199" spans="1:12" x14ac:dyDescent="0.2">
      <c r="A199" s="10">
        <v>34943</v>
      </c>
      <c r="B199" s="9">
        <v>0.6</v>
      </c>
      <c r="E199" s="9">
        <v>0</v>
      </c>
      <c r="F199" s="9">
        <v>0</v>
      </c>
      <c r="K199" s="9">
        <v>3.8</v>
      </c>
      <c r="L199" s="9">
        <v>3.8</v>
      </c>
    </row>
    <row r="200" spans="1:12" x14ac:dyDescent="0.2">
      <c r="A200" s="10">
        <v>35034</v>
      </c>
      <c r="B200" s="9">
        <v>0.5</v>
      </c>
      <c r="E200" s="9">
        <v>0</v>
      </c>
      <c r="F200" s="9">
        <v>0</v>
      </c>
      <c r="K200" s="9">
        <v>2.6</v>
      </c>
      <c r="L200" s="9">
        <v>2.6</v>
      </c>
    </row>
    <row r="201" spans="1:12" x14ac:dyDescent="0.2">
      <c r="A201" s="10">
        <v>35125</v>
      </c>
      <c r="B201" s="9">
        <v>1.4</v>
      </c>
      <c r="E201" s="9">
        <v>5.8</v>
      </c>
      <c r="F201" s="9">
        <v>5.8</v>
      </c>
      <c r="K201" s="9">
        <v>1</v>
      </c>
      <c r="L201" s="9">
        <v>1</v>
      </c>
    </row>
    <row r="202" spans="1:12" x14ac:dyDescent="0.2">
      <c r="A202" s="10">
        <v>35217</v>
      </c>
      <c r="B202" s="9">
        <v>0.6</v>
      </c>
      <c r="E202" s="9">
        <v>0</v>
      </c>
      <c r="F202" s="9">
        <v>0</v>
      </c>
      <c r="K202" s="9">
        <v>0.7</v>
      </c>
      <c r="L202" s="9">
        <v>0.7</v>
      </c>
    </row>
    <row r="203" spans="1:12" x14ac:dyDescent="0.2">
      <c r="A203" s="10">
        <v>35309</v>
      </c>
      <c r="B203" s="9">
        <v>1.2</v>
      </c>
      <c r="E203" s="9">
        <v>0</v>
      </c>
      <c r="F203" s="9">
        <v>0</v>
      </c>
      <c r="K203" s="9">
        <v>1.2</v>
      </c>
      <c r="L203" s="9">
        <v>1.2</v>
      </c>
    </row>
    <row r="204" spans="1:12" x14ac:dyDescent="0.2">
      <c r="A204" s="10">
        <v>35400</v>
      </c>
      <c r="B204" s="9">
        <v>0.2</v>
      </c>
      <c r="E204" s="9">
        <v>0</v>
      </c>
      <c r="F204" s="9">
        <v>0</v>
      </c>
      <c r="K204" s="9">
        <v>1.5</v>
      </c>
      <c r="L204" s="9">
        <v>1.5</v>
      </c>
    </row>
    <row r="205" spans="1:12" x14ac:dyDescent="0.2">
      <c r="A205" s="10">
        <v>35490</v>
      </c>
      <c r="B205" s="9">
        <v>1.7</v>
      </c>
      <c r="E205" s="9">
        <v>6.4</v>
      </c>
      <c r="F205" s="9">
        <v>6.4</v>
      </c>
      <c r="K205" s="9">
        <v>1.8</v>
      </c>
      <c r="L205" s="9">
        <v>1.8</v>
      </c>
    </row>
    <row r="206" spans="1:12" x14ac:dyDescent="0.2">
      <c r="A206" s="10">
        <v>35582</v>
      </c>
      <c r="B206" s="9">
        <v>1.6</v>
      </c>
      <c r="E206" s="9">
        <v>0</v>
      </c>
      <c r="F206" s="9">
        <v>0</v>
      </c>
      <c r="K206" s="9">
        <v>1.3</v>
      </c>
      <c r="L206" s="9">
        <v>1.3</v>
      </c>
    </row>
    <row r="207" spans="1:12" x14ac:dyDescent="0.2">
      <c r="A207" s="10">
        <v>35674</v>
      </c>
      <c r="B207" s="9">
        <v>0.3</v>
      </c>
      <c r="E207" s="9">
        <v>0</v>
      </c>
      <c r="F207" s="9">
        <v>0</v>
      </c>
      <c r="K207" s="9">
        <v>1.3</v>
      </c>
      <c r="L207" s="9">
        <v>1.3</v>
      </c>
    </row>
    <row r="208" spans="1:12" x14ac:dyDescent="0.2">
      <c r="A208" s="10">
        <v>35765</v>
      </c>
      <c r="B208" s="9">
        <v>0.3</v>
      </c>
      <c r="E208" s="9">
        <v>0</v>
      </c>
      <c r="F208" s="9">
        <v>0</v>
      </c>
      <c r="K208" s="9">
        <v>0.8</v>
      </c>
      <c r="L208" s="9">
        <v>0.8</v>
      </c>
    </row>
    <row r="209" spans="1:12" x14ac:dyDescent="0.2">
      <c r="A209" s="10">
        <v>35855</v>
      </c>
      <c r="B209" s="9">
        <v>0.8</v>
      </c>
      <c r="E209" s="9">
        <v>5.9</v>
      </c>
      <c r="F209" s="9">
        <v>5.9</v>
      </c>
      <c r="K209" s="9">
        <v>0.5</v>
      </c>
      <c r="L209" s="9">
        <v>0.5</v>
      </c>
    </row>
    <row r="210" spans="1:12" x14ac:dyDescent="0.2">
      <c r="A210" s="10">
        <v>35947</v>
      </c>
      <c r="B210" s="9">
        <v>0.8</v>
      </c>
      <c r="E210" s="9">
        <v>0</v>
      </c>
      <c r="F210" s="9">
        <v>0</v>
      </c>
      <c r="K210" s="9">
        <v>0.7</v>
      </c>
      <c r="L210" s="9">
        <v>0.7</v>
      </c>
    </row>
    <row r="211" spans="1:12" x14ac:dyDescent="0.2">
      <c r="A211" s="10">
        <v>36039</v>
      </c>
      <c r="B211" s="9">
        <v>-0.3</v>
      </c>
      <c r="C211" s="9">
        <v>0.2</v>
      </c>
      <c r="D211" s="9">
        <v>0.6</v>
      </c>
      <c r="E211" s="9">
        <v>0</v>
      </c>
      <c r="F211" s="9">
        <v>0</v>
      </c>
      <c r="K211" s="9">
        <v>2.2000000000000002</v>
      </c>
      <c r="L211" s="9">
        <v>2.2000000000000002</v>
      </c>
    </row>
    <row r="212" spans="1:12" x14ac:dyDescent="0.2">
      <c r="A212" s="10">
        <v>36130</v>
      </c>
      <c r="B212" s="9">
        <v>0.5</v>
      </c>
      <c r="C212" s="9">
        <v>0.3</v>
      </c>
      <c r="D212" s="9">
        <v>0.6</v>
      </c>
      <c r="E212" s="9">
        <v>0</v>
      </c>
      <c r="F212" s="9">
        <v>0</v>
      </c>
      <c r="K212" s="9">
        <v>1.8</v>
      </c>
      <c r="L212" s="9">
        <v>1.8</v>
      </c>
    </row>
    <row r="213" spans="1:12" x14ac:dyDescent="0.2">
      <c r="A213" s="10">
        <v>36220</v>
      </c>
      <c r="B213" s="9">
        <v>0.7</v>
      </c>
      <c r="C213" s="9">
        <v>1</v>
      </c>
      <c r="D213" s="9">
        <v>1.9</v>
      </c>
      <c r="E213" s="9">
        <v>4.4000000000000004</v>
      </c>
      <c r="F213" s="9">
        <v>4.4000000000000004</v>
      </c>
      <c r="K213" s="9">
        <v>-0.6</v>
      </c>
      <c r="L213" s="9">
        <v>-0.6</v>
      </c>
    </row>
    <row r="214" spans="1:12" x14ac:dyDescent="0.2">
      <c r="A214" s="10">
        <v>36312</v>
      </c>
      <c r="B214" s="9">
        <v>0.2</v>
      </c>
      <c r="C214" s="9">
        <v>0.7</v>
      </c>
      <c r="D214" s="9">
        <v>1</v>
      </c>
      <c r="E214" s="9">
        <v>0</v>
      </c>
      <c r="F214" s="9">
        <v>0</v>
      </c>
      <c r="K214" s="9">
        <v>0.4</v>
      </c>
      <c r="L214" s="9">
        <v>0.4</v>
      </c>
    </row>
    <row r="215" spans="1:12" x14ac:dyDescent="0.2">
      <c r="A215" s="10">
        <v>36404</v>
      </c>
      <c r="B215" s="9">
        <v>0.6</v>
      </c>
      <c r="C215" s="9">
        <v>1.7</v>
      </c>
      <c r="D215" s="9">
        <v>1.1000000000000001</v>
      </c>
      <c r="E215" s="9">
        <v>0</v>
      </c>
      <c r="F215" s="9">
        <v>0</v>
      </c>
      <c r="K215" s="9">
        <v>3.7</v>
      </c>
      <c r="L215" s="9">
        <v>3.7</v>
      </c>
    </row>
    <row r="216" spans="1:12" x14ac:dyDescent="0.2">
      <c r="A216" s="10">
        <v>36495</v>
      </c>
      <c r="B216" s="9">
        <v>0.8</v>
      </c>
      <c r="C216" s="9">
        <v>1.6</v>
      </c>
      <c r="D216" s="9">
        <v>0.8</v>
      </c>
      <c r="E216" s="9">
        <v>0</v>
      </c>
      <c r="F216" s="9">
        <v>0</v>
      </c>
      <c r="K216" s="9">
        <v>6.4</v>
      </c>
      <c r="L216" s="9">
        <v>6.4</v>
      </c>
    </row>
    <row r="217" spans="1:12" x14ac:dyDescent="0.2">
      <c r="A217" s="10">
        <v>36586</v>
      </c>
      <c r="B217" s="9">
        <v>1.2</v>
      </c>
      <c r="C217" s="9">
        <v>1.6</v>
      </c>
      <c r="D217" s="9">
        <v>2.2999999999999998</v>
      </c>
      <c r="E217" s="9">
        <v>5.2</v>
      </c>
      <c r="F217" s="9">
        <v>5.2</v>
      </c>
      <c r="K217" s="9">
        <v>8.1999999999999993</v>
      </c>
      <c r="L217" s="9">
        <v>8.1999999999999993</v>
      </c>
    </row>
    <row r="218" spans="1:12" x14ac:dyDescent="0.2">
      <c r="A218" s="10">
        <v>36678</v>
      </c>
      <c r="B218" s="9">
        <v>0.9</v>
      </c>
      <c r="C218" s="9">
        <v>1.9</v>
      </c>
      <c r="D218" s="9">
        <v>1.1000000000000001</v>
      </c>
      <c r="E218" s="9">
        <v>0</v>
      </c>
      <c r="F218" s="9">
        <v>0</v>
      </c>
      <c r="K218" s="9">
        <v>9.6</v>
      </c>
      <c r="L218" s="9">
        <v>9.6</v>
      </c>
    </row>
    <row r="219" spans="1:12" x14ac:dyDescent="0.2">
      <c r="A219" s="10">
        <v>36770</v>
      </c>
      <c r="B219" s="9">
        <v>10.4</v>
      </c>
      <c r="C219" s="9">
        <v>9.5</v>
      </c>
      <c r="D219" s="9">
        <v>8.1999999999999993</v>
      </c>
      <c r="E219" s="9">
        <v>0.2</v>
      </c>
      <c r="F219" s="9">
        <v>0.2</v>
      </c>
      <c r="G219" s="9">
        <v>0</v>
      </c>
      <c r="H219" s="9">
        <v>0</v>
      </c>
      <c r="I219" s="9">
        <v>0.3</v>
      </c>
      <c r="K219" s="9">
        <v>5</v>
      </c>
      <c r="L219" s="9">
        <v>5</v>
      </c>
    </row>
    <row r="220" spans="1:12" x14ac:dyDescent="0.2">
      <c r="A220" s="10">
        <v>36861</v>
      </c>
      <c r="B220" s="9">
        <v>0.2</v>
      </c>
      <c r="C220" s="9">
        <v>1.6</v>
      </c>
      <c r="D220" s="9">
        <v>-0.6</v>
      </c>
      <c r="E220" s="9">
        <v>0.1</v>
      </c>
      <c r="F220" s="9">
        <v>0.1</v>
      </c>
      <c r="G220" s="9">
        <v>0.5</v>
      </c>
      <c r="H220" s="9">
        <v>0</v>
      </c>
      <c r="I220" s="9">
        <v>0</v>
      </c>
      <c r="K220" s="9">
        <v>0.8</v>
      </c>
      <c r="L220" s="9">
        <v>0.8</v>
      </c>
    </row>
    <row r="221" spans="1:12" x14ac:dyDescent="0.2">
      <c r="A221" s="10">
        <v>36951</v>
      </c>
      <c r="B221" s="9">
        <v>1.2</v>
      </c>
      <c r="C221" s="9">
        <v>0.9</v>
      </c>
      <c r="D221" s="9">
        <v>1</v>
      </c>
      <c r="E221" s="9">
        <v>4.2</v>
      </c>
      <c r="F221" s="9">
        <v>4.2</v>
      </c>
      <c r="G221" s="9">
        <v>4.4000000000000004</v>
      </c>
      <c r="H221" s="9">
        <v>6.3</v>
      </c>
      <c r="I221" s="9">
        <v>2.6</v>
      </c>
      <c r="K221" s="9">
        <v>1.8</v>
      </c>
      <c r="L221" s="9">
        <v>1.8</v>
      </c>
    </row>
    <row r="222" spans="1:12" x14ac:dyDescent="0.2">
      <c r="A222" s="10">
        <v>37043</v>
      </c>
      <c r="B222" s="9">
        <v>0.8</v>
      </c>
      <c r="C222" s="9">
        <v>0.3</v>
      </c>
      <c r="D222" s="9">
        <v>0.5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K222" s="9">
        <v>1.6</v>
      </c>
      <c r="L222" s="9">
        <v>1.6</v>
      </c>
    </row>
    <row r="223" spans="1:12" x14ac:dyDescent="0.2">
      <c r="A223" s="10">
        <v>37135</v>
      </c>
      <c r="B223" s="9">
        <v>0.5</v>
      </c>
      <c r="C223" s="9">
        <v>1.3</v>
      </c>
      <c r="D223" s="9">
        <v>0.7</v>
      </c>
      <c r="E223" s="9">
        <v>0.1</v>
      </c>
      <c r="F223" s="9">
        <v>0.1</v>
      </c>
      <c r="G223" s="9">
        <v>0.2</v>
      </c>
      <c r="H223" s="9">
        <v>0</v>
      </c>
      <c r="I223" s="9">
        <v>0</v>
      </c>
      <c r="K223" s="9">
        <v>2.7</v>
      </c>
      <c r="L223" s="9">
        <v>2.7</v>
      </c>
    </row>
    <row r="224" spans="1:12" x14ac:dyDescent="0.2">
      <c r="A224" s="10">
        <v>37226</v>
      </c>
      <c r="B224" s="9">
        <v>0.8</v>
      </c>
      <c r="C224" s="9">
        <v>0.5</v>
      </c>
      <c r="D224" s="9">
        <v>-0.1</v>
      </c>
      <c r="E224" s="9">
        <v>0</v>
      </c>
      <c r="F224" s="9">
        <v>0</v>
      </c>
      <c r="G224" s="9">
        <v>0.2</v>
      </c>
      <c r="H224" s="9">
        <v>0</v>
      </c>
      <c r="I224" s="9">
        <v>0</v>
      </c>
      <c r="K224" s="9">
        <v>-0.2</v>
      </c>
      <c r="L224" s="9">
        <v>-0.2</v>
      </c>
    </row>
    <row r="225" spans="1:15" x14ac:dyDescent="0.2">
      <c r="A225" s="10">
        <v>37316</v>
      </c>
      <c r="B225" s="9">
        <v>0.9</v>
      </c>
      <c r="C225" s="9">
        <v>1.3</v>
      </c>
      <c r="D225" s="9">
        <v>1.7</v>
      </c>
      <c r="E225" s="9">
        <v>4.7</v>
      </c>
      <c r="F225" s="9">
        <v>4.7</v>
      </c>
      <c r="G225" s="9">
        <v>5.4</v>
      </c>
      <c r="H225" s="9">
        <v>6.4</v>
      </c>
      <c r="I225" s="9">
        <v>3</v>
      </c>
      <c r="K225" s="9">
        <v>2.6</v>
      </c>
      <c r="L225" s="9">
        <v>2.6</v>
      </c>
    </row>
    <row r="226" spans="1:15" x14ac:dyDescent="0.2">
      <c r="A226" s="10">
        <v>37408</v>
      </c>
      <c r="B226" s="9">
        <v>1.2</v>
      </c>
      <c r="C226" s="9">
        <v>0.8</v>
      </c>
      <c r="D226" s="9">
        <v>1</v>
      </c>
      <c r="E226" s="9">
        <v>0</v>
      </c>
      <c r="F226" s="9">
        <v>0</v>
      </c>
      <c r="G226" s="9">
        <v>0.1</v>
      </c>
      <c r="H226" s="9">
        <v>0</v>
      </c>
      <c r="I226" s="9">
        <v>0</v>
      </c>
      <c r="K226" s="9">
        <v>0.5</v>
      </c>
      <c r="L226" s="9">
        <v>0.5</v>
      </c>
    </row>
    <row r="227" spans="1:15" x14ac:dyDescent="0.2">
      <c r="A227" s="10">
        <v>37500</v>
      </c>
      <c r="B227" s="9">
        <v>1.3</v>
      </c>
      <c r="C227" s="9">
        <v>1.4</v>
      </c>
      <c r="D227" s="9">
        <v>1.1000000000000001</v>
      </c>
      <c r="E227" s="9">
        <v>0.2</v>
      </c>
      <c r="F227" s="9">
        <v>0.2</v>
      </c>
      <c r="G227" s="9">
        <v>1</v>
      </c>
      <c r="H227" s="9">
        <v>0</v>
      </c>
      <c r="I227" s="9">
        <v>0</v>
      </c>
      <c r="K227" s="9">
        <v>1.3</v>
      </c>
      <c r="L227" s="9">
        <v>1.3</v>
      </c>
    </row>
    <row r="228" spans="1:15" x14ac:dyDescent="0.2">
      <c r="A228" s="10">
        <v>37591</v>
      </c>
      <c r="B228" s="9">
        <v>0.4</v>
      </c>
      <c r="C228" s="9">
        <v>0.7</v>
      </c>
      <c r="D228" s="9">
        <v>0.3</v>
      </c>
      <c r="E228" s="9">
        <v>0.1</v>
      </c>
      <c r="F228" s="9">
        <v>0.1</v>
      </c>
      <c r="G228" s="9">
        <v>0.6</v>
      </c>
      <c r="H228" s="9">
        <v>0</v>
      </c>
      <c r="I228" s="9">
        <v>0</v>
      </c>
      <c r="K228" s="9">
        <v>0.3</v>
      </c>
      <c r="L228" s="9">
        <v>0.3</v>
      </c>
    </row>
    <row r="229" spans="1:15" x14ac:dyDescent="0.2">
      <c r="A229" s="10">
        <v>37681</v>
      </c>
      <c r="B229" s="9">
        <v>0.8</v>
      </c>
      <c r="C229" s="9">
        <v>0.8</v>
      </c>
      <c r="D229" s="9">
        <v>1.3</v>
      </c>
      <c r="E229" s="9">
        <v>4.5999999999999996</v>
      </c>
      <c r="F229" s="9">
        <v>4.5999999999999996</v>
      </c>
      <c r="G229" s="9">
        <v>5.5</v>
      </c>
      <c r="H229" s="9">
        <v>6.9</v>
      </c>
      <c r="I229" s="9">
        <v>2.4</v>
      </c>
      <c r="K229" s="9">
        <v>-0.1</v>
      </c>
      <c r="L229" s="9">
        <v>-0.1</v>
      </c>
    </row>
    <row r="230" spans="1:15" x14ac:dyDescent="0.2">
      <c r="A230" s="10">
        <v>37773</v>
      </c>
      <c r="B230" s="9">
        <v>0.5</v>
      </c>
      <c r="C230" s="9">
        <v>1.1000000000000001</v>
      </c>
      <c r="D230" s="9">
        <v>1.2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K230" s="9">
        <v>-0.1</v>
      </c>
      <c r="L230" s="9">
        <v>-0.1</v>
      </c>
    </row>
    <row r="231" spans="1:15" x14ac:dyDescent="0.2">
      <c r="A231" s="10">
        <v>37865</v>
      </c>
      <c r="B231" s="9">
        <v>0.9</v>
      </c>
      <c r="C231" s="9">
        <v>1.6</v>
      </c>
      <c r="D231" s="9">
        <v>0.6</v>
      </c>
      <c r="E231" s="9">
        <v>0.2</v>
      </c>
      <c r="F231" s="9">
        <v>0.2</v>
      </c>
      <c r="G231" s="9">
        <v>0.8</v>
      </c>
      <c r="H231" s="9">
        <v>0</v>
      </c>
      <c r="I231" s="9">
        <v>0</v>
      </c>
      <c r="K231" s="9">
        <v>1.5</v>
      </c>
      <c r="L231" s="9">
        <v>1.5</v>
      </c>
    </row>
    <row r="232" spans="1:15" x14ac:dyDescent="0.2">
      <c r="A232" s="10">
        <v>37956</v>
      </c>
      <c r="B232" s="9">
        <v>0.4</v>
      </c>
      <c r="C232" s="9">
        <v>0.6</v>
      </c>
      <c r="D232" s="9">
        <v>0.9</v>
      </c>
      <c r="E232" s="9">
        <v>0</v>
      </c>
      <c r="F232" s="9">
        <v>0</v>
      </c>
      <c r="G232" s="9">
        <v>0.1</v>
      </c>
      <c r="H232" s="9">
        <v>0</v>
      </c>
      <c r="I232" s="9">
        <v>0</v>
      </c>
      <c r="K232" s="9">
        <v>-0.1</v>
      </c>
      <c r="L232" s="9">
        <v>-0.1</v>
      </c>
    </row>
    <row r="233" spans="1:15" x14ac:dyDescent="0.2">
      <c r="A233" s="10">
        <v>38047</v>
      </c>
      <c r="B233" s="9">
        <v>1.2</v>
      </c>
      <c r="C233" s="9">
        <v>1</v>
      </c>
      <c r="D233" s="9">
        <v>2.2000000000000002</v>
      </c>
      <c r="E233" s="9">
        <v>7.5</v>
      </c>
      <c r="F233" s="9">
        <v>7.5</v>
      </c>
      <c r="G233" s="9">
        <v>6.6</v>
      </c>
      <c r="H233" s="9">
        <v>7</v>
      </c>
      <c r="I233" s="9">
        <v>8.4</v>
      </c>
      <c r="K233" s="9">
        <v>0.9</v>
      </c>
      <c r="L233" s="9">
        <v>0.9</v>
      </c>
    </row>
    <row r="234" spans="1:15" x14ac:dyDescent="0.2">
      <c r="A234" s="10">
        <v>38139</v>
      </c>
      <c r="B234" s="9">
        <v>1.4</v>
      </c>
      <c r="C234" s="9">
        <v>1</v>
      </c>
      <c r="D234" s="9">
        <v>0.6</v>
      </c>
      <c r="E234" s="9">
        <v>0.1</v>
      </c>
      <c r="F234" s="9">
        <v>0.1</v>
      </c>
      <c r="G234" s="9">
        <v>0.2</v>
      </c>
      <c r="H234" s="9">
        <v>0</v>
      </c>
      <c r="I234" s="9">
        <v>0</v>
      </c>
      <c r="K234" s="9">
        <v>-0.5</v>
      </c>
      <c r="L234" s="9">
        <v>-0.5</v>
      </c>
    </row>
    <row r="235" spans="1:15" x14ac:dyDescent="0.2">
      <c r="A235" s="10">
        <v>38231</v>
      </c>
      <c r="B235" s="9">
        <v>0.8</v>
      </c>
      <c r="C235" s="9">
        <v>1.7</v>
      </c>
      <c r="D235" s="9">
        <v>0.7</v>
      </c>
      <c r="E235" s="9">
        <v>0.1</v>
      </c>
      <c r="F235" s="9">
        <v>0.1</v>
      </c>
      <c r="G235" s="9">
        <v>0.2</v>
      </c>
      <c r="H235" s="9">
        <v>0</v>
      </c>
      <c r="I235" s="9">
        <v>0</v>
      </c>
      <c r="K235" s="9">
        <v>1.1000000000000001</v>
      </c>
      <c r="L235" s="9">
        <v>1.1000000000000001</v>
      </c>
    </row>
    <row r="236" spans="1:15" x14ac:dyDescent="0.2">
      <c r="A236" s="10">
        <v>38322</v>
      </c>
      <c r="B236" s="9">
        <v>0.3</v>
      </c>
      <c r="C236" s="9">
        <v>1</v>
      </c>
      <c r="D236" s="9">
        <v>0.4</v>
      </c>
      <c r="E236" s="9">
        <v>0.1</v>
      </c>
      <c r="F236" s="9">
        <v>0.1</v>
      </c>
      <c r="G236" s="9">
        <v>0.3</v>
      </c>
      <c r="H236" s="9">
        <v>0</v>
      </c>
      <c r="I236" s="9">
        <v>0</v>
      </c>
      <c r="K236" s="9">
        <v>0.1</v>
      </c>
      <c r="L236" s="9">
        <v>0.1</v>
      </c>
    </row>
    <row r="237" spans="1:15" x14ac:dyDescent="0.2">
      <c r="A237" s="10">
        <v>38412</v>
      </c>
      <c r="B237" s="9">
        <v>0.5</v>
      </c>
      <c r="C237" s="9">
        <v>0.6</v>
      </c>
      <c r="D237" s="9">
        <v>0.8</v>
      </c>
      <c r="E237" s="9">
        <v>6.1</v>
      </c>
      <c r="F237" s="9">
        <v>6.1</v>
      </c>
      <c r="G237" s="9">
        <v>6.3</v>
      </c>
      <c r="H237" s="9">
        <v>6.9</v>
      </c>
      <c r="I237" s="9">
        <v>5.3</v>
      </c>
      <c r="K237" s="9">
        <v>0.6</v>
      </c>
      <c r="L237" s="9">
        <v>0.6</v>
      </c>
    </row>
    <row r="238" spans="1:15" x14ac:dyDescent="0.2">
      <c r="A238" s="10">
        <v>38504</v>
      </c>
      <c r="B238" s="9">
        <v>0.5</v>
      </c>
      <c r="C238" s="9">
        <v>1.2</v>
      </c>
      <c r="D238" s="9">
        <v>-0.1</v>
      </c>
      <c r="E238" s="9">
        <v>0.1</v>
      </c>
      <c r="F238" s="9">
        <v>0.1</v>
      </c>
      <c r="G238" s="9">
        <v>0.4</v>
      </c>
      <c r="H238" s="9">
        <v>0</v>
      </c>
      <c r="I238" s="9">
        <v>0</v>
      </c>
      <c r="K238" s="9">
        <v>1.1000000000000001</v>
      </c>
      <c r="L238" s="9">
        <v>1.1000000000000001</v>
      </c>
    </row>
    <row r="239" spans="1:15" x14ac:dyDescent="0.2">
      <c r="A239" s="10">
        <v>38596</v>
      </c>
      <c r="B239" s="9">
        <v>1.4</v>
      </c>
      <c r="C239" s="9">
        <v>2.1</v>
      </c>
      <c r="D239" s="9">
        <v>0.4</v>
      </c>
      <c r="E239" s="9">
        <v>0</v>
      </c>
      <c r="F239" s="9">
        <v>0</v>
      </c>
      <c r="G239" s="9">
        <v>0.2</v>
      </c>
      <c r="H239" s="9">
        <v>0</v>
      </c>
      <c r="I239" s="9">
        <v>0</v>
      </c>
      <c r="J239" s="9">
        <v>0.1</v>
      </c>
      <c r="K239" s="9">
        <v>1.2</v>
      </c>
      <c r="L239" s="9">
        <v>1.2</v>
      </c>
      <c r="O239" s="9">
        <v>0.6</v>
      </c>
    </row>
    <row r="240" spans="1:15" x14ac:dyDescent="0.2">
      <c r="A240" s="10">
        <v>38687</v>
      </c>
      <c r="B240" s="9">
        <v>0.8</v>
      </c>
      <c r="C240" s="9">
        <v>0.4</v>
      </c>
      <c r="D240" s="9">
        <v>1.8</v>
      </c>
      <c r="E240" s="9">
        <v>0.1</v>
      </c>
      <c r="F240" s="9">
        <v>0.1</v>
      </c>
      <c r="G240" s="9">
        <v>0.5</v>
      </c>
      <c r="H240" s="9">
        <v>0</v>
      </c>
      <c r="I240" s="9">
        <v>0</v>
      </c>
      <c r="J240" s="9">
        <v>1.5</v>
      </c>
      <c r="K240" s="9">
        <v>0.9</v>
      </c>
      <c r="L240" s="9">
        <v>0.9</v>
      </c>
      <c r="O240" s="9">
        <v>0.8</v>
      </c>
    </row>
    <row r="241" spans="1:15" x14ac:dyDescent="0.2">
      <c r="A241" s="10">
        <v>38777</v>
      </c>
      <c r="B241" s="9">
        <v>1.2</v>
      </c>
      <c r="C241" s="9">
        <v>0.9</v>
      </c>
      <c r="D241" s="9">
        <v>1.4</v>
      </c>
      <c r="E241" s="9">
        <v>5.6</v>
      </c>
      <c r="F241" s="9">
        <v>5.6</v>
      </c>
      <c r="G241" s="9">
        <v>5.4</v>
      </c>
      <c r="H241" s="9">
        <v>6.9</v>
      </c>
      <c r="I241" s="9">
        <v>4.7</v>
      </c>
      <c r="J241" s="9">
        <v>-0.6</v>
      </c>
      <c r="K241" s="9">
        <v>0.7</v>
      </c>
      <c r="L241" s="9">
        <v>0.7</v>
      </c>
      <c r="O241" s="9">
        <v>0.7</v>
      </c>
    </row>
    <row r="242" spans="1:15" x14ac:dyDescent="0.2">
      <c r="A242" s="10">
        <v>38869</v>
      </c>
      <c r="B242" s="9">
        <v>0.4</v>
      </c>
      <c r="C242" s="9">
        <v>0.1</v>
      </c>
      <c r="D242" s="9">
        <v>0.5</v>
      </c>
      <c r="E242" s="9">
        <v>0</v>
      </c>
      <c r="F242" s="9">
        <v>0</v>
      </c>
      <c r="G242" s="9">
        <v>0.3</v>
      </c>
      <c r="H242" s="9">
        <v>0</v>
      </c>
      <c r="I242" s="9">
        <v>0</v>
      </c>
      <c r="J242" s="9">
        <v>1.2</v>
      </c>
      <c r="K242" s="9">
        <v>0.9</v>
      </c>
      <c r="L242" s="9">
        <v>0.9</v>
      </c>
      <c r="O242" s="9">
        <v>1</v>
      </c>
    </row>
    <row r="243" spans="1:15" x14ac:dyDescent="0.2">
      <c r="A243" s="10">
        <v>38961</v>
      </c>
      <c r="B243" s="9">
        <v>1.2</v>
      </c>
      <c r="C243" s="9">
        <v>1.8</v>
      </c>
      <c r="D243" s="9">
        <v>2.4</v>
      </c>
      <c r="E243" s="9">
        <v>-0.9</v>
      </c>
      <c r="F243" s="9">
        <v>-0.9</v>
      </c>
      <c r="G243" s="9">
        <v>0.8</v>
      </c>
      <c r="H243" s="9">
        <v>0</v>
      </c>
      <c r="I243" s="9">
        <v>-2.2000000000000002</v>
      </c>
      <c r="J243" s="9">
        <v>0.4</v>
      </c>
      <c r="K243" s="9">
        <v>2.2000000000000002</v>
      </c>
      <c r="L243" s="9">
        <v>2.2000000000000002</v>
      </c>
      <c r="O243" s="9">
        <v>0.7</v>
      </c>
    </row>
    <row r="244" spans="1:15" x14ac:dyDescent="0.2">
      <c r="A244" s="10">
        <v>39052</v>
      </c>
      <c r="B244" s="9">
        <v>0.5</v>
      </c>
      <c r="C244" s="9">
        <v>0.7</v>
      </c>
      <c r="D244" s="9">
        <v>0.9</v>
      </c>
      <c r="E244" s="9">
        <v>0</v>
      </c>
      <c r="F244" s="9">
        <v>0</v>
      </c>
      <c r="G244" s="9">
        <v>0.1</v>
      </c>
      <c r="H244" s="9">
        <v>0</v>
      </c>
      <c r="I244" s="9">
        <v>0</v>
      </c>
      <c r="J244" s="9">
        <v>0.4</v>
      </c>
      <c r="K244" s="9">
        <v>-0.6</v>
      </c>
      <c r="L244" s="9">
        <v>-0.6</v>
      </c>
      <c r="O244" s="9">
        <v>0.8</v>
      </c>
    </row>
    <row r="245" spans="1:15" x14ac:dyDescent="0.2">
      <c r="A245" s="10">
        <v>39142</v>
      </c>
      <c r="B245" s="9">
        <v>1.3</v>
      </c>
      <c r="C245" s="9">
        <v>0.4</v>
      </c>
      <c r="D245" s="9">
        <v>1.1000000000000001</v>
      </c>
      <c r="E245" s="9">
        <v>5</v>
      </c>
      <c r="F245" s="9">
        <v>5</v>
      </c>
      <c r="G245" s="9">
        <v>6.6</v>
      </c>
      <c r="H245" s="9">
        <v>7.1</v>
      </c>
      <c r="I245" s="9">
        <v>2.6</v>
      </c>
      <c r="J245" s="9">
        <v>-0.2</v>
      </c>
      <c r="K245" s="9">
        <v>-0.1</v>
      </c>
      <c r="L245" s="9">
        <v>-0.1</v>
      </c>
      <c r="O245" s="9">
        <v>0.3</v>
      </c>
    </row>
    <row r="246" spans="1:15" x14ac:dyDescent="0.2">
      <c r="A246" s="10">
        <v>39234</v>
      </c>
      <c r="B246" s="9">
        <v>0.6</v>
      </c>
      <c r="C246" s="9">
        <v>0.3</v>
      </c>
      <c r="D246" s="9">
        <v>0.7</v>
      </c>
      <c r="E246" s="9">
        <v>0.1</v>
      </c>
      <c r="F246" s="9">
        <v>0.1</v>
      </c>
      <c r="G246" s="9">
        <v>0.7</v>
      </c>
      <c r="H246" s="9">
        <v>0</v>
      </c>
      <c r="I246" s="9">
        <v>0</v>
      </c>
      <c r="J246" s="9">
        <v>0.9</v>
      </c>
      <c r="K246" s="9">
        <v>0.8</v>
      </c>
      <c r="L246" s="9">
        <v>0.8</v>
      </c>
      <c r="O246" s="9">
        <v>0.4</v>
      </c>
    </row>
    <row r="247" spans="1:15" x14ac:dyDescent="0.2">
      <c r="A247" s="10">
        <v>39326</v>
      </c>
      <c r="B247" s="9">
        <v>1.8</v>
      </c>
      <c r="C247" s="9">
        <v>4</v>
      </c>
      <c r="D247" s="9">
        <v>1.7</v>
      </c>
      <c r="E247" s="9">
        <v>-1</v>
      </c>
      <c r="F247" s="9">
        <v>-1</v>
      </c>
      <c r="G247" s="9">
        <v>-4.9000000000000004</v>
      </c>
      <c r="H247" s="9">
        <v>0</v>
      </c>
      <c r="I247" s="9">
        <v>0</v>
      </c>
      <c r="J247" s="9">
        <v>2</v>
      </c>
      <c r="K247" s="9">
        <v>1</v>
      </c>
      <c r="L247" s="9">
        <v>1</v>
      </c>
      <c r="O247" s="9">
        <v>2.2999999999999998</v>
      </c>
    </row>
    <row r="248" spans="1:15" x14ac:dyDescent="0.2">
      <c r="A248" s="10">
        <v>39417</v>
      </c>
      <c r="B248" s="9">
        <v>0.7</v>
      </c>
      <c r="C248" s="9">
        <v>0.8</v>
      </c>
      <c r="D248" s="9">
        <v>0.5</v>
      </c>
      <c r="E248" s="9">
        <v>0</v>
      </c>
      <c r="F248" s="9">
        <v>0</v>
      </c>
      <c r="G248" s="9">
        <v>0.1</v>
      </c>
      <c r="H248" s="9">
        <v>0</v>
      </c>
      <c r="I248" s="9">
        <v>0</v>
      </c>
      <c r="J248" s="9">
        <v>2.1</v>
      </c>
      <c r="K248" s="9">
        <v>1.2</v>
      </c>
      <c r="L248" s="9">
        <v>1.2</v>
      </c>
      <c r="O248" s="9">
        <v>1.9</v>
      </c>
    </row>
    <row r="249" spans="1:15" x14ac:dyDescent="0.2">
      <c r="A249" s="10">
        <v>39508</v>
      </c>
      <c r="B249" s="9">
        <v>1</v>
      </c>
      <c r="C249" s="9">
        <v>0.7</v>
      </c>
      <c r="D249" s="9">
        <v>2</v>
      </c>
      <c r="E249" s="9">
        <v>5.2</v>
      </c>
      <c r="F249" s="9">
        <v>5.2</v>
      </c>
      <c r="G249" s="9">
        <v>5.8</v>
      </c>
      <c r="H249" s="9">
        <v>6.5</v>
      </c>
      <c r="I249" s="9">
        <v>3.8</v>
      </c>
      <c r="J249" s="9">
        <v>1.7</v>
      </c>
      <c r="K249" s="9">
        <v>2.1</v>
      </c>
      <c r="L249" s="9">
        <v>2.1</v>
      </c>
      <c r="O249" s="9">
        <v>2.1</v>
      </c>
    </row>
    <row r="250" spans="1:15" x14ac:dyDescent="0.2">
      <c r="A250" s="10">
        <v>39600</v>
      </c>
      <c r="B250" s="9">
        <v>0.7</v>
      </c>
      <c r="C250" s="9">
        <v>0.7</v>
      </c>
      <c r="D250" s="9">
        <v>2.2999999999999998</v>
      </c>
      <c r="E250" s="9">
        <v>0</v>
      </c>
      <c r="F250" s="9">
        <v>0</v>
      </c>
      <c r="G250" s="9">
        <v>0.2</v>
      </c>
      <c r="H250" s="9">
        <v>0</v>
      </c>
      <c r="I250" s="9">
        <v>0</v>
      </c>
      <c r="J250" s="9">
        <v>3.8</v>
      </c>
      <c r="K250" s="9">
        <v>2.5</v>
      </c>
      <c r="L250" s="9">
        <v>2.5</v>
      </c>
      <c r="O250" s="9">
        <v>-3</v>
      </c>
    </row>
    <row r="251" spans="1:15" x14ac:dyDescent="0.2">
      <c r="A251" s="10">
        <v>39692</v>
      </c>
      <c r="B251" s="9">
        <v>1.1000000000000001</v>
      </c>
      <c r="C251" s="9">
        <v>2.7</v>
      </c>
      <c r="D251" s="9">
        <v>1</v>
      </c>
      <c r="E251" s="9">
        <v>-0.5</v>
      </c>
      <c r="F251" s="9">
        <v>-0.5</v>
      </c>
      <c r="G251" s="9">
        <v>-2.4</v>
      </c>
      <c r="H251" s="9">
        <v>0</v>
      </c>
      <c r="I251" s="9">
        <v>0</v>
      </c>
      <c r="J251" s="9">
        <v>1.7</v>
      </c>
      <c r="K251" s="9">
        <v>2.9</v>
      </c>
      <c r="L251" s="9">
        <v>2.9</v>
      </c>
      <c r="O251" s="9">
        <v>0.8</v>
      </c>
    </row>
    <row r="252" spans="1:15" x14ac:dyDescent="0.2">
      <c r="A252" s="10">
        <v>39783</v>
      </c>
      <c r="B252" s="9">
        <v>0.9</v>
      </c>
      <c r="C252" s="9">
        <v>-0.3</v>
      </c>
      <c r="D252" s="9">
        <v>1.6</v>
      </c>
      <c r="E252" s="9">
        <v>0</v>
      </c>
      <c r="F252" s="9">
        <v>0</v>
      </c>
      <c r="G252" s="9">
        <v>0.2</v>
      </c>
      <c r="H252" s="9">
        <v>0</v>
      </c>
      <c r="I252" s="9">
        <v>0</v>
      </c>
      <c r="J252" s="9">
        <v>-0.3</v>
      </c>
      <c r="K252" s="9">
        <v>1.7</v>
      </c>
      <c r="L252" s="9">
        <v>1.7</v>
      </c>
      <c r="O252" s="9">
        <v>1.1000000000000001</v>
      </c>
    </row>
    <row r="253" spans="1:15" x14ac:dyDescent="0.2">
      <c r="A253" s="10">
        <v>39873</v>
      </c>
      <c r="B253" s="9">
        <v>1.5</v>
      </c>
      <c r="C253" s="9">
        <v>0.3</v>
      </c>
      <c r="D253" s="9">
        <v>1.3</v>
      </c>
      <c r="E253" s="9">
        <v>5.5</v>
      </c>
      <c r="F253" s="9">
        <v>5.5</v>
      </c>
      <c r="G253" s="9">
        <v>6.5</v>
      </c>
      <c r="H253" s="9">
        <v>7.6</v>
      </c>
      <c r="I253" s="9">
        <v>3.2</v>
      </c>
      <c r="J253" s="9">
        <v>-6.3</v>
      </c>
      <c r="K253" s="9">
        <v>2.8</v>
      </c>
      <c r="L253" s="9">
        <v>2.8</v>
      </c>
      <c r="O253" s="9">
        <v>0.6</v>
      </c>
    </row>
    <row r="254" spans="1:15" x14ac:dyDescent="0.2">
      <c r="A254" s="10">
        <v>39965</v>
      </c>
      <c r="B254" s="9">
        <v>0.2</v>
      </c>
      <c r="C254" s="9">
        <v>0.4</v>
      </c>
      <c r="D254" s="9">
        <v>0.8</v>
      </c>
      <c r="E254" s="9">
        <v>0.1</v>
      </c>
      <c r="F254" s="9">
        <v>0.1</v>
      </c>
      <c r="G254" s="9">
        <v>0.4</v>
      </c>
      <c r="H254" s="9">
        <v>0</v>
      </c>
      <c r="I254" s="9">
        <v>0</v>
      </c>
      <c r="J254" s="9">
        <v>-1.7</v>
      </c>
      <c r="K254" s="9">
        <v>1.3</v>
      </c>
      <c r="L254" s="9">
        <v>1.3</v>
      </c>
      <c r="O254" s="9">
        <v>0.1</v>
      </c>
    </row>
    <row r="255" spans="1:15" x14ac:dyDescent="0.2">
      <c r="A255" s="10">
        <v>40057</v>
      </c>
      <c r="B255" s="9">
        <v>1.4</v>
      </c>
      <c r="C255" s="9">
        <v>2.1</v>
      </c>
      <c r="D255" s="9">
        <v>1.7</v>
      </c>
      <c r="E255" s="9">
        <v>0</v>
      </c>
      <c r="F255" s="9">
        <v>0</v>
      </c>
      <c r="G255" s="9">
        <v>0.2</v>
      </c>
      <c r="H255" s="9">
        <v>0</v>
      </c>
      <c r="I255" s="9">
        <v>0</v>
      </c>
      <c r="J255" s="9">
        <v>1</v>
      </c>
      <c r="K255" s="9">
        <v>2.8</v>
      </c>
      <c r="L255" s="9">
        <v>2.8</v>
      </c>
      <c r="O255" s="9">
        <v>-2.4</v>
      </c>
    </row>
    <row r="256" spans="1:15" x14ac:dyDescent="0.2">
      <c r="A256" s="10">
        <v>40148</v>
      </c>
      <c r="B256" s="9">
        <v>0.6</v>
      </c>
      <c r="C256" s="9">
        <v>0.5</v>
      </c>
      <c r="D256" s="9">
        <v>0.3</v>
      </c>
      <c r="E256" s="9">
        <v>0.1</v>
      </c>
      <c r="F256" s="9">
        <v>0.1</v>
      </c>
      <c r="G256" s="9">
        <v>0.3</v>
      </c>
      <c r="H256" s="9">
        <v>0</v>
      </c>
      <c r="I256" s="9">
        <v>0</v>
      </c>
      <c r="J256" s="9">
        <v>0.7</v>
      </c>
      <c r="K256" s="9">
        <v>1.3</v>
      </c>
      <c r="L256" s="9">
        <v>1.3</v>
      </c>
      <c r="O256" s="9">
        <v>1.2</v>
      </c>
    </row>
    <row r="257" spans="1:15" x14ac:dyDescent="0.2">
      <c r="A257" s="10">
        <v>40238</v>
      </c>
      <c r="B257" s="9">
        <v>1.1000000000000001</v>
      </c>
      <c r="C257" s="9">
        <v>0.7</v>
      </c>
      <c r="D257" s="9">
        <v>1.3</v>
      </c>
      <c r="E257" s="9">
        <v>5.6</v>
      </c>
      <c r="F257" s="9">
        <v>5.6</v>
      </c>
      <c r="G257" s="9">
        <v>4.4000000000000004</v>
      </c>
      <c r="H257" s="9">
        <v>5.7</v>
      </c>
      <c r="I257" s="9">
        <v>5.9</v>
      </c>
      <c r="J257" s="9">
        <v>2.1</v>
      </c>
      <c r="K257" s="9">
        <v>1.6</v>
      </c>
      <c r="L257" s="9">
        <v>1.6</v>
      </c>
      <c r="O257" s="9">
        <v>0.8</v>
      </c>
    </row>
    <row r="258" spans="1:15" x14ac:dyDescent="0.2">
      <c r="A258" s="10">
        <v>40330</v>
      </c>
      <c r="B258" s="9">
        <v>1</v>
      </c>
      <c r="C258" s="9">
        <v>0.4</v>
      </c>
      <c r="D258" s="9">
        <v>1.2</v>
      </c>
      <c r="E258" s="9">
        <v>0</v>
      </c>
      <c r="F258" s="9">
        <v>0</v>
      </c>
      <c r="G258" s="9">
        <v>0.1</v>
      </c>
      <c r="H258" s="9">
        <v>0</v>
      </c>
      <c r="I258" s="9">
        <v>0</v>
      </c>
      <c r="J258" s="9">
        <v>0.1</v>
      </c>
      <c r="K258" s="9">
        <v>-0.5</v>
      </c>
      <c r="L258" s="9">
        <v>-0.5</v>
      </c>
      <c r="O258" s="9">
        <v>0.8</v>
      </c>
    </row>
    <row r="259" spans="1:15" x14ac:dyDescent="0.2">
      <c r="A259" s="10">
        <v>40422</v>
      </c>
      <c r="B259" s="9">
        <v>1.1000000000000001</v>
      </c>
      <c r="C259" s="9">
        <v>2.1</v>
      </c>
      <c r="D259" s="9">
        <v>-0.3</v>
      </c>
      <c r="E259" s="9">
        <v>0.1</v>
      </c>
      <c r="F259" s="9">
        <v>0.1</v>
      </c>
      <c r="G259" s="9">
        <v>0.7</v>
      </c>
      <c r="H259" s="9">
        <v>0</v>
      </c>
      <c r="I259" s="9">
        <v>0</v>
      </c>
      <c r="J259" s="9">
        <v>0.5</v>
      </c>
      <c r="K259" s="9">
        <v>1.9</v>
      </c>
      <c r="L259" s="9">
        <v>1.9</v>
      </c>
      <c r="O259" s="9">
        <v>0.2</v>
      </c>
    </row>
    <row r="260" spans="1:15" x14ac:dyDescent="0.2">
      <c r="A260" s="10">
        <v>40513</v>
      </c>
      <c r="B260" s="9">
        <v>0.8</v>
      </c>
      <c r="C260" s="9">
        <v>0.4</v>
      </c>
      <c r="D260" s="9">
        <v>0.5</v>
      </c>
      <c r="E260" s="9">
        <v>0</v>
      </c>
      <c r="F260" s="9">
        <v>0</v>
      </c>
      <c r="G260" s="9">
        <v>-0.1</v>
      </c>
      <c r="H260" s="9">
        <v>0</v>
      </c>
      <c r="I260" s="9">
        <v>0</v>
      </c>
      <c r="J260" s="9">
        <v>-0.4</v>
      </c>
      <c r="K260" s="9">
        <v>0.5</v>
      </c>
      <c r="L260" s="9">
        <v>0.5</v>
      </c>
      <c r="O260" s="9">
        <v>0.1</v>
      </c>
    </row>
    <row r="261" spans="1:15" x14ac:dyDescent="0.2">
      <c r="A261" s="10">
        <v>40603</v>
      </c>
      <c r="B261" s="9">
        <v>0.8</v>
      </c>
      <c r="C261" s="9">
        <v>1</v>
      </c>
      <c r="D261" s="9">
        <v>2.4</v>
      </c>
      <c r="E261" s="9">
        <v>5.7</v>
      </c>
      <c r="F261" s="9">
        <v>5.7</v>
      </c>
      <c r="G261" s="9">
        <v>5.4</v>
      </c>
      <c r="H261" s="9">
        <v>6.8</v>
      </c>
      <c r="I261" s="9">
        <v>4.9000000000000004</v>
      </c>
      <c r="J261" s="9">
        <v>2.6</v>
      </c>
      <c r="K261" s="9">
        <v>1.2</v>
      </c>
      <c r="L261" s="9">
        <v>1.2</v>
      </c>
      <c r="O261" s="9">
        <v>0.9</v>
      </c>
    </row>
    <row r="262" spans="1:15" x14ac:dyDescent="0.2">
      <c r="A262" s="10">
        <v>40695</v>
      </c>
      <c r="B262" s="9">
        <v>1.5</v>
      </c>
      <c r="C262" s="9">
        <v>0.2</v>
      </c>
      <c r="D262" s="9">
        <v>1.4</v>
      </c>
      <c r="E262" s="9">
        <v>0</v>
      </c>
      <c r="F262" s="9">
        <v>0</v>
      </c>
      <c r="G262" s="9">
        <v>0.1</v>
      </c>
      <c r="H262" s="9">
        <v>0</v>
      </c>
      <c r="I262" s="9">
        <v>0</v>
      </c>
      <c r="J262" s="9">
        <v>1.6</v>
      </c>
      <c r="K262" s="9">
        <v>1.6</v>
      </c>
      <c r="L262" s="9">
        <v>1.6</v>
      </c>
      <c r="O262" s="9">
        <v>0.9</v>
      </c>
    </row>
    <row r="263" spans="1:15" x14ac:dyDescent="0.2">
      <c r="A263" s="10">
        <v>40787</v>
      </c>
      <c r="B263" s="9">
        <v>1.6</v>
      </c>
      <c r="C263" s="9">
        <v>2.1</v>
      </c>
      <c r="D263" s="9">
        <v>0.6</v>
      </c>
      <c r="E263" s="9">
        <v>0</v>
      </c>
      <c r="F263" s="9">
        <v>0</v>
      </c>
      <c r="G263" s="9">
        <v>0.2</v>
      </c>
      <c r="H263" s="9">
        <v>0</v>
      </c>
      <c r="I263" s="9">
        <v>0</v>
      </c>
      <c r="J263" s="9">
        <v>0.7</v>
      </c>
      <c r="K263" s="9">
        <v>2.8</v>
      </c>
      <c r="L263" s="9">
        <v>2.8</v>
      </c>
      <c r="M263" s="9">
        <v>-0.2</v>
      </c>
      <c r="N263" s="9">
        <v>-0.5</v>
      </c>
      <c r="O263" s="9">
        <v>-0.1</v>
      </c>
    </row>
    <row r="264" spans="1:15" x14ac:dyDescent="0.2">
      <c r="A264" s="10">
        <v>40878</v>
      </c>
      <c r="B264" s="9">
        <v>1</v>
      </c>
      <c r="C264" s="9">
        <v>0.2</v>
      </c>
      <c r="D264" s="9">
        <v>0.2</v>
      </c>
      <c r="E264" s="9">
        <v>0</v>
      </c>
      <c r="F264" s="9">
        <v>0</v>
      </c>
      <c r="G264" s="9">
        <v>0.2</v>
      </c>
      <c r="H264" s="9">
        <v>0</v>
      </c>
      <c r="I264" s="9">
        <v>0</v>
      </c>
      <c r="J264" s="9">
        <v>0.7</v>
      </c>
      <c r="K264" s="9">
        <v>1.3</v>
      </c>
      <c r="L264" s="9">
        <v>1.3</v>
      </c>
      <c r="M264" s="9">
        <v>0.4</v>
      </c>
      <c r="N264" s="9">
        <v>0</v>
      </c>
      <c r="O264" s="9">
        <v>0.5</v>
      </c>
    </row>
    <row r="265" spans="1:15" x14ac:dyDescent="0.2">
      <c r="A265" s="10">
        <v>40969</v>
      </c>
      <c r="B265" s="9">
        <v>1.1000000000000001</v>
      </c>
      <c r="C265" s="9">
        <v>0.5</v>
      </c>
      <c r="D265" s="9">
        <v>2</v>
      </c>
      <c r="E265" s="9">
        <v>6</v>
      </c>
      <c r="F265" s="9">
        <v>6</v>
      </c>
      <c r="G265" s="9">
        <v>5.0999999999999996</v>
      </c>
      <c r="H265" s="9">
        <v>7.7</v>
      </c>
      <c r="I265" s="9">
        <v>4.7</v>
      </c>
      <c r="J265" s="9">
        <v>1</v>
      </c>
      <c r="K265" s="9">
        <v>1.3</v>
      </c>
      <c r="L265" s="9">
        <v>1.3</v>
      </c>
      <c r="M265" s="9">
        <v>0.8</v>
      </c>
      <c r="N265" s="9">
        <v>0.3</v>
      </c>
      <c r="O265" s="9">
        <v>0.9</v>
      </c>
    </row>
    <row r="266" spans="1:15" x14ac:dyDescent="0.2">
      <c r="A266" s="10">
        <v>41061</v>
      </c>
      <c r="B266" s="9">
        <v>0.2</v>
      </c>
      <c r="C266" s="9">
        <v>0.4</v>
      </c>
      <c r="D266" s="9">
        <v>0.3</v>
      </c>
      <c r="E266" s="9">
        <v>0</v>
      </c>
      <c r="F266" s="9">
        <v>0</v>
      </c>
      <c r="G266" s="9">
        <v>0.2</v>
      </c>
      <c r="H266" s="9">
        <v>0</v>
      </c>
      <c r="I266" s="9">
        <v>0</v>
      </c>
      <c r="J266" s="9">
        <v>0.5</v>
      </c>
      <c r="K266" s="9">
        <v>1.3</v>
      </c>
      <c r="L266" s="9">
        <v>1.3</v>
      </c>
      <c r="M266" s="9">
        <v>0.2</v>
      </c>
      <c r="N266" s="9">
        <v>0.2</v>
      </c>
      <c r="O266" s="9">
        <v>0.2</v>
      </c>
    </row>
    <row r="267" spans="1:15" x14ac:dyDescent="0.2">
      <c r="A267" s="10">
        <v>41153</v>
      </c>
      <c r="B267" s="9">
        <v>0.8</v>
      </c>
      <c r="C267" s="9">
        <v>2.4</v>
      </c>
      <c r="D267" s="9">
        <v>1</v>
      </c>
      <c r="E267" s="9">
        <v>0.1</v>
      </c>
      <c r="F267" s="9">
        <v>0.1</v>
      </c>
      <c r="G267" s="9">
        <v>0.4</v>
      </c>
      <c r="H267" s="9">
        <v>0</v>
      </c>
      <c r="I267" s="9">
        <v>0</v>
      </c>
      <c r="J267" s="9">
        <v>0.2</v>
      </c>
      <c r="K267" s="9">
        <v>2.7</v>
      </c>
      <c r="L267" s="9">
        <v>2.7</v>
      </c>
      <c r="M267" s="9">
        <v>-0.8</v>
      </c>
      <c r="N267" s="9">
        <v>-0.4</v>
      </c>
      <c r="O267" s="9">
        <v>-0.9</v>
      </c>
    </row>
    <row r="268" spans="1:15" x14ac:dyDescent="0.2">
      <c r="A268" s="10">
        <v>41244</v>
      </c>
      <c r="B268" s="9">
        <v>0.8</v>
      </c>
      <c r="C268" s="9">
        <v>0.6</v>
      </c>
      <c r="D268" s="9">
        <v>0.3</v>
      </c>
      <c r="E268" s="9">
        <v>0</v>
      </c>
      <c r="F268" s="9">
        <v>0</v>
      </c>
      <c r="G268" s="9">
        <v>0.1</v>
      </c>
      <c r="H268" s="9">
        <v>0</v>
      </c>
      <c r="I268" s="9">
        <v>0</v>
      </c>
      <c r="J268" s="9">
        <v>1.5</v>
      </c>
      <c r="K268" s="9">
        <v>2.9</v>
      </c>
      <c r="L268" s="9">
        <v>2.9</v>
      </c>
      <c r="M268" s="9">
        <v>1</v>
      </c>
      <c r="N268" s="9">
        <v>0.3</v>
      </c>
      <c r="O268" s="9">
        <v>1.1000000000000001</v>
      </c>
    </row>
    <row r="269" spans="1:15" x14ac:dyDescent="0.2">
      <c r="A269" s="10">
        <v>41334</v>
      </c>
      <c r="B269" s="9">
        <v>0.8</v>
      </c>
      <c r="C269" s="9">
        <v>0.9</v>
      </c>
      <c r="D269" s="9">
        <v>2.5</v>
      </c>
      <c r="E269" s="9">
        <v>5.7</v>
      </c>
      <c r="F269" s="9">
        <v>5.7</v>
      </c>
      <c r="G269" s="9">
        <v>4.5</v>
      </c>
      <c r="H269" s="9">
        <v>5.4</v>
      </c>
      <c r="I269" s="9">
        <v>6.5</v>
      </c>
      <c r="J269" s="9">
        <v>0.6</v>
      </c>
      <c r="K269" s="9">
        <v>1.9</v>
      </c>
      <c r="L269" s="9">
        <v>1.9</v>
      </c>
      <c r="M269" s="9">
        <v>0</v>
      </c>
      <c r="N269" s="9">
        <v>-0.1</v>
      </c>
      <c r="O269" s="9">
        <v>0.1</v>
      </c>
    </row>
    <row r="270" spans="1:15" x14ac:dyDescent="0.2">
      <c r="A270" s="10">
        <v>41426</v>
      </c>
      <c r="B270" s="9">
        <v>0.4</v>
      </c>
      <c r="C270" s="9">
        <v>0.7</v>
      </c>
      <c r="D270" s="9">
        <v>0.8</v>
      </c>
      <c r="E270" s="9">
        <v>-0.1</v>
      </c>
      <c r="F270" s="9">
        <v>-0.1</v>
      </c>
      <c r="G270" s="9">
        <v>-0.8</v>
      </c>
      <c r="H270" s="9">
        <v>0</v>
      </c>
      <c r="I270" s="9">
        <v>0</v>
      </c>
      <c r="J270" s="9">
        <v>0.3</v>
      </c>
      <c r="K270" s="9">
        <v>-0.1</v>
      </c>
      <c r="L270" s="9">
        <v>-0.1</v>
      </c>
      <c r="M270" s="9">
        <v>0.5</v>
      </c>
      <c r="N270" s="9">
        <v>0.3</v>
      </c>
      <c r="O270" s="9">
        <v>0.5</v>
      </c>
    </row>
    <row r="271" spans="1:15" x14ac:dyDescent="0.2">
      <c r="A271" s="10">
        <v>41518</v>
      </c>
      <c r="B271" s="9">
        <v>0.7</v>
      </c>
      <c r="C271" s="9">
        <v>1.7</v>
      </c>
      <c r="D271" s="9">
        <v>0.5</v>
      </c>
      <c r="E271" s="9">
        <v>0</v>
      </c>
      <c r="F271" s="9">
        <v>0</v>
      </c>
      <c r="G271" s="9">
        <v>0.3</v>
      </c>
      <c r="H271" s="9">
        <v>0</v>
      </c>
      <c r="I271" s="9">
        <v>0</v>
      </c>
      <c r="J271" s="9">
        <v>0.4</v>
      </c>
      <c r="K271" s="9">
        <v>-0.7</v>
      </c>
      <c r="L271" s="9">
        <v>-0.7</v>
      </c>
      <c r="M271" s="9">
        <v>0.9</v>
      </c>
      <c r="N271" s="9">
        <v>-0.2</v>
      </c>
      <c r="O271" s="9">
        <v>1.2</v>
      </c>
    </row>
    <row r="272" spans="1:15" x14ac:dyDescent="0.2">
      <c r="A272" s="10">
        <v>41609</v>
      </c>
      <c r="B272" s="9">
        <v>0.5</v>
      </c>
      <c r="C272" s="9">
        <v>0.1</v>
      </c>
      <c r="D272" s="9">
        <v>0.4</v>
      </c>
      <c r="E272" s="9">
        <v>0</v>
      </c>
      <c r="F272" s="9">
        <v>0</v>
      </c>
      <c r="G272" s="9">
        <v>0.1</v>
      </c>
      <c r="H272" s="9">
        <v>0</v>
      </c>
      <c r="I272" s="9">
        <v>0</v>
      </c>
      <c r="J272" s="9">
        <v>0.2</v>
      </c>
      <c r="K272" s="9">
        <v>-0.1</v>
      </c>
      <c r="L272" s="9">
        <v>-0.1</v>
      </c>
      <c r="M272" s="9">
        <v>0.3</v>
      </c>
      <c r="N272" s="9">
        <v>-0.3</v>
      </c>
      <c r="O272" s="9">
        <v>0.4</v>
      </c>
    </row>
    <row r="273" spans="1:15" x14ac:dyDescent="0.2">
      <c r="A273" s="10">
        <v>41699</v>
      </c>
      <c r="B273" s="9">
        <v>1.7</v>
      </c>
      <c r="C273" s="9">
        <v>1.6</v>
      </c>
      <c r="D273" s="9">
        <v>3.1</v>
      </c>
      <c r="E273" s="9">
        <v>5.0999999999999996</v>
      </c>
      <c r="F273" s="9">
        <v>5.0999999999999996</v>
      </c>
      <c r="G273" s="9">
        <v>4.9000000000000004</v>
      </c>
      <c r="H273" s="9">
        <v>6.1</v>
      </c>
      <c r="I273" s="9">
        <v>4.4000000000000004</v>
      </c>
      <c r="J273" s="9">
        <v>0.4</v>
      </c>
      <c r="K273" s="9">
        <v>0.2</v>
      </c>
      <c r="L273" s="9">
        <v>0.2</v>
      </c>
      <c r="M273" s="9">
        <v>0.5</v>
      </c>
      <c r="N273" s="9">
        <v>0.8</v>
      </c>
      <c r="O273" s="9">
        <v>0.4</v>
      </c>
    </row>
    <row r="274" spans="1:15" x14ac:dyDescent="0.2">
      <c r="A274" s="10">
        <v>41791</v>
      </c>
      <c r="B274" s="9">
        <v>0.5</v>
      </c>
      <c r="C274" s="9">
        <v>1.9</v>
      </c>
      <c r="D274" s="9">
        <v>0</v>
      </c>
      <c r="E274" s="9">
        <v>0</v>
      </c>
      <c r="F274" s="9">
        <v>0</v>
      </c>
      <c r="G274" s="9">
        <v>0.1</v>
      </c>
      <c r="H274" s="9">
        <v>0</v>
      </c>
      <c r="I274" s="9">
        <v>0</v>
      </c>
      <c r="J274" s="9">
        <v>0</v>
      </c>
      <c r="K274" s="9">
        <v>-1.2</v>
      </c>
      <c r="L274" s="9">
        <v>-1.2</v>
      </c>
      <c r="M274" s="9">
        <v>0.6</v>
      </c>
      <c r="N274" s="9">
        <v>0.5</v>
      </c>
      <c r="O274" s="9">
        <v>0.6</v>
      </c>
    </row>
    <row r="275" spans="1:15" x14ac:dyDescent="0.2">
      <c r="A275" s="10">
        <v>41883</v>
      </c>
      <c r="B275" s="9">
        <v>1.2</v>
      </c>
      <c r="C275" s="9">
        <v>0.2</v>
      </c>
      <c r="D275" s="9">
        <v>0.6</v>
      </c>
      <c r="E275" s="9">
        <v>0.1</v>
      </c>
      <c r="F275" s="9">
        <v>0.1</v>
      </c>
      <c r="G275" s="9">
        <v>0.4</v>
      </c>
      <c r="H275" s="9">
        <v>0</v>
      </c>
      <c r="I275" s="9">
        <v>0</v>
      </c>
      <c r="J275" s="9">
        <v>0.5</v>
      </c>
      <c r="K275" s="9">
        <v>0.7</v>
      </c>
      <c r="L275" s="9">
        <v>0.7</v>
      </c>
      <c r="M275" s="9">
        <v>0.5</v>
      </c>
      <c r="N275" s="9">
        <v>0.3</v>
      </c>
      <c r="O275" s="9">
        <v>0.5</v>
      </c>
    </row>
    <row r="276" spans="1:15" x14ac:dyDescent="0.2">
      <c r="A276" s="10">
        <v>41974</v>
      </c>
      <c r="B276" s="9">
        <v>1.3</v>
      </c>
      <c r="C276" s="9">
        <v>0.6</v>
      </c>
      <c r="D276" s="9">
        <v>0.7</v>
      </c>
      <c r="E276" s="9">
        <v>0</v>
      </c>
      <c r="F276" s="9">
        <v>0</v>
      </c>
      <c r="G276" s="9">
        <v>0.2</v>
      </c>
      <c r="H276" s="9">
        <v>0</v>
      </c>
      <c r="I276" s="9">
        <v>0</v>
      </c>
      <c r="J276" s="9">
        <v>1.1000000000000001</v>
      </c>
      <c r="K276" s="9">
        <v>1.3</v>
      </c>
      <c r="L276" s="9">
        <v>1.3</v>
      </c>
      <c r="M276" s="9">
        <v>1</v>
      </c>
      <c r="N276" s="9">
        <v>0.3</v>
      </c>
      <c r="O276" s="9">
        <v>1.2</v>
      </c>
    </row>
    <row r="277" spans="1:15" x14ac:dyDescent="0.2">
      <c r="A277" s="10">
        <v>42064</v>
      </c>
      <c r="B277" s="9">
        <v>1.2</v>
      </c>
      <c r="C277" s="9">
        <v>0.9</v>
      </c>
      <c r="D277" s="9">
        <v>3.4</v>
      </c>
      <c r="E277" s="9">
        <v>5.3</v>
      </c>
      <c r="F277" s="9">
        <v>5.3</v>
      </c>
      <c r="G277" s="9">
        <v>5.7</v>
      </c>
      <c r="H277" s="9">
        <v>4.7</v>
      </c>
      <c r="I277" s="9">
        <v>5.7</v>
      </c>
      <c r="J277" s="9">
        <v>0.1</v>
      </c>
      <c r="K277" s="9">
        <v>0.4</v>
      </c>
      <c r="L277" s="9">
        <v>0.4</v>
      </c>
      <c r="M277" s="9">
        <v>0</v>
      </c>
      <c r="N277" s="9">
        <v>-0.2</v>
      </c>
      <c r="O277" s="9">
        <v>0.1</v>
      </c>
    </row>
    <row r="278" spans="1:15" x14ac:dyDescent="0.2">
      <c r="A278" s="10">
        <v>42156</v>
      </c>
      <c r="B278" s="9">
        <v>0.2</v>
      </c>
      <c r="C278" s="9">
        <v>0.3</v>
      </c>
      <c r="D278" s="9">
        <v>0.6</v>
      </c>
      <c r="E278" s="9">
        <v>0</v>
      </c>
      <c r="F278" s="9">
        <v>0</v>
      </c>
      <c r="G278" s="9">
        <v>0.1</v>
      </c>
      <c r="H278" s="9">
        <v>0</v>
      </c>
      <c r="I278" s="9">
        <v>0</v>
      </c>
      <c r="J278" s="9">
        <v>0.3</v>
      </c>
      <c r="K278" s="9">
        <v>0.3</v>
      </c>
      <c r="L278" s="9">
        <v>0.3</v>
      </c>
      <c r="M278" s="9">
        <v>0.3</v>
      </c>
      <c r="N278" s="9">
        <v>-0.3</v>
      </c>
      <c r="O278" s="9">
        <v>0.5</v>
      </c>
    </row>
    <row r="279" spans="1:15" x14ac:dyDescent="0.2">
      <c r="A279" s="10">
        <v>42248</v>
      </c>
      <c r="B279" s="9">
        <v>0.9</v>
      </c>
      <c r="C279" s="9">
        <v>1.1000000000000001</v>
      </c>
      <c r="D279" s="9">
        <v>0.8</v>
      </c>
      <c r="E279" s="9">
        <v>0.1</v>
      </c>
      <c r="F279" s="9">
        <v>0.1</v>
      </c>
      <c r="G279" s="9">
        <v>0.6</v>
      </c>
      <c r="H279" s="9">
        <v>0</v>
      </c>
      <c r="I279" s="9">
        <v>0.1</v>
      </c>
      <c r="J279" s="9">
        <v>0.5</v>
      </c>
      <c r="K279" s="9">
        <v>1.1000000000000001</v>
      </c>
      <c r="L279" s="9">
        <v>1.1000000000000001</v>
      </c>
      <c r="M279" s="9">
        <v>0.2</v>
      </c>
      <c r="N279" s="9">
        <v>0.1</v>
      </c>
      <c r="O279" s="9">
        <v>0.3</v>
      </c>
    </row>
    <row r="280" spans="1:15" x14ac:dyDescent="0.2">
      <c r="A280" s="10">
        <v>42339</v>
      </c>
      <c r="B280" s="9">
        <v>0.8</v>
      </c>
      <c r="C280" s="9">
        <v>0.7</v>
      </c>
      <c r="D280" s="9">
        <v>0.7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0.8</v>
      </c>
      <c r="K280" s="9">
        <v>2</v>
      </c>
      <c r="L280" s="9">
        <v>2</v>
      </c>
      <c r="M280" s="9">
        <v>0.3</v>
      </c>
      <c r="N280" s="9">
        <v>0.1</v>
      </c>
      <c r="O280" s="9">
        <v>0.3</v>
      </c>
    </row>
    <row r="281" spans="1:15" x14ac:dyDescent="0.2">
      <c r="A281" s="10">
        <v>42430</v>
      </c>
      <c r="B281" s="9">
        <v>1.3</v>
      </c>
      <c r="C281" s="9">
        <v>0.8</v>
      </c>
      <c r="D281" s="9">
        <v>1.8</v>
      </c>
      <c r="E281" s="9">
        <v>3.2</v>
      </c>
      <c r="F281" s="9">
        <v>3.2</v>
      </c>
      <c r="G281" s="9">
        <v>4.0999999999999996</v>
      </c>
      <c r="H281" s="9">
        <v>4.5999999999999996</v>
      </c>
      <c r="I281" s="9">
        <v>1.5</v>
      </c>
      <c r="J281" s="9">
        <v>0.7</v>
      </c>
      <c r="K281" s="9">
        <v>1.7</v>
      </c>
      <c r="L281" s="9">
        <v>1.7</v>
      </c>
      <c r="M281" s="9">
        <v>0.2</v>
      </c>
      <c r="N281" s="9">
        <v>0.1</v>
      </c>
      <c r="O281" s="9">
        <v>0.3</v>
      </c>
    </row>
    <row r="282" spans="1:15" x14ac:dyDescent="0.2">
      <c r="A282" s="10">
        <v>42522</v>
      </c>
      <c r="B282" s="9">
        <v>1.1000000000000001</v>
      </c>
      <c r="C282" s="9">
        <v>0.2</v>
      </c>
      <c r="D282" s="9">
        <v>0.6</v>
      </c>
      <c r="E282" s="9">
        <v>0</v>
      </c>
      <c r="F282" s="9">
        <v>0</v>
      </c>
      <c r="G282" s="9">
        <v>0.1</v>
      </c>
      <c r="H282" s="9">
        <v>0</v>
      </c>
      <c r="I282" s="9">
        <v>0</v>
      </c>
      <c r="J282" s="9">
        <v>0.4</v>
      </c>
      <c r="K282" s="9">
        <v>1.3</v>
      </c>
      <c r="L282" s="9">
        <v>1.3</v>
      </c>
      <c r="M282" s="9">
        <v>0</v>
      </c>
      <c r="N282" s="9">
        <v>-0.3</v>
      </c>
      <c r="O282" s="9">
        <v>0.1</v>
      </c>
    </row>
    <row r="283" spans="1:15" x14ac:dyDescent="0.2">
      <c r="A283" s="10">
        <v>42614</v>
      </c>
      <c r="B283" s="9">
        <v>0.9</v>
      </c>
      <c r="C283" s="9">
        <v>0.3</v>
      </c>
      <c r="D283" s="9">
        <v>0.4</v>
      </c>
      <c r="E283" s="9">
        <v>0.2</v>
      </c>
      <c r="F283" s="9">
        <v>0.2</v>
      </c>
      <c r="G283" s="9">
        <v>0.4</v>
      </c>
      <c r="H283" s="9">
        <v>0</v>
      </c>
      <c r="I283" s="9">
        <v>0.3</v>
      </c>
      <c r="J283" s="9">
        <v>0.9</v>
      </c>
      <c r="K283" s="9">
        <v>2.5</v>
      </c>
      <c r="L283" s="9">
        <v>2.5</v>
      </c>
      <c r="M283" s="9">
        <v>0.3</v>
      </c>
      <c r="N283" s="9">
        <v>0.6</v>
      </c>
      <c r="O283" s="9">
        <v>0.2</v>
      </c>
    </row>
    <row r="284" spans="1:15" x14ac:dyDescent="0.2">
      <c r="A284" s="10">
        <v>42705</v>
      </c>
      <c r="B284" s="9">
        <v>0.7</v>
      </c>
      <c r="C284" s="9">
        <v>0.7</v>
      </c>
      <c r="D284" s="9">
        <v>0.1</v>
      </c>
      <c r="E284" s="9">
        <v>0</v>
      </c>
      <c r="F284" s="9">
        <v>0</v>
      </c>
      <c r="G284" s="9">
        <v>0.1</v>
      </c>
      <c r="H284" s="9">
        <v>0</v>
      </c>
      <c r="I284" s="9">
        <v>0</v>
      </c>
      <c r="J284" s="9">
        <v>0.6</v>
      </c>
      <c r="K284" s="9">
        <v>2</v>
      </c>
      <c r="L284" s="9">
        <v>2</v>
      </c>
      <c r="M284" s="9">
        <v>0</v>
      </c>
      <c r="N284" s="9">
        <v>-0.5</v>
      </c>
      <c r="O284" s="9">
        <v>0.2</v>
      </c>
    </row>
    <row r="285" spans="1:15" x14ac:dyDescent="0.2">
      <c r="A285" s="10">
        <v>42795</v>
      </c>
      <c r="B285" s="9">
        <v>0.4</v>
      </c>
      <c r="C285" s="9">
        <v>0.5</v>
      </c>
      <c r="D285" s="9">
        <v>0.7</v>
      </c>
      <c r="E285" s="9">
        <v>3.1</v>
      </c>
      <c r="F285" s="9">
        <v>3.1</v>
      </c>
      <c r="G285" s="9">
        <v>2.2999999999999998</v>
      </c>
      <c r="H285" s="9">
        <v>4.0999999999999996</v>
      </c>
      <c r="I285" s="9">
        <v>2.4</v>
      </c>
      <c r="J285" s="9">
        <v>0.7</v>
      </c>
      <c r="K285" s="9">
        <v>0.8</v>
      </c>
      <c r="L285" s="9">
        <v>0.8</v>
      </c>
      <c r="M285" s="9">
        <v>0.6</v>
      </c>
      <c r="N285" s="9">
        <v>0.8</v>
      </c>
      <c r="O285" s="9">
        <v>0.6</v>
      </c>
    </row>
    <row r="286" spans="1:15" x14ac:dyDescent="0.2">
      <c r="A286" s="10">
        <v>42887</v>
      </c>
      <c r="B286" s="9">
        <v>0.8</v>
      </c>
      <c r="C286" s="9">
        <v>0.6</v>
      </c>
      <c r="D286" s="9">
        <v>0.5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-0.1</v>
      </c>
      <c r="K286" s="9">
        <v>-1</v>
      </c>
      <c r="L286" s="9">
        <v>-1</v>
      </c>
      <c r="M286" s="9">
        <v>0.3</v>
      </c>
      <c r="N286" s="9">
        <v>0.5</v>
      </c>
      <c r="O286" s="9">
        <v>0.3</v>
      </c>
    </row>
    <row r="287" spans="1:15" x14ac:dyDescent="0.2">
      <c r="A287" s="10">
        <v>42979</v>
      </c>
      <c r="B287" s="9">
        <v>1.5</v>
      </c>
      <c r="C287" s="9">
        <v>2</v>
      </c>
      <c r="D287" s="9">
        <v>0.2</v>
      </c>
      <c r="E287" s="9">
        <v>0.1</v>
      </c>
      <c r="F287" s="9">
        <v>0.1</v>
      </c>
      <c r="G287" s="9">
        <v>0</v>
      </c>
      <c r="H287" s="9">
        <v>0</v>
      </c>
      <c r="I287" s="9">
        <v>0.1</v>
      </c>
      <c r="J287" s="9">
        <v>0.7</v>
      </c>
      <c r="K287" s="9">
        <v>1.8</v>
      </c>
      <c r="L287" s="9">
        <v>1.8</v>
      </c>
      <c r="M287" s="9">
        <v>0.1</v>
      </c>
      <c r="N287" s="9">
        <v>0.2</v>
      </c>
      <c r="O287" s="9">
        <v>0.1</v>
      </c>
    </row>
    <row r="288" spans="1:15" x14ac:dyDescent="0.2">
      <c r="A288" s="10">
        <v>43070</v>
      </c>
      <c r="B288" s="9">
        <v>0.4</v>
      </c>
      <c r="C288" s="9">
        <v>0.6</v>
      </c>
      <c r="D288" s="9">
        <v>0.2</v>
      </c>
      <c r="E288" s="9">
        <v>0.1</v>
      </c>
      <c r="F288" s="9">
        <v>0.1</v>
      </c>
      <c r="G288" s="9">
        <v>0.2</v>
      </c>
      <c r="H288" s="9">
        <v>0</v>
      </c>
      <c r="I288" s="9">
        <v>0</v>
      </c>
      <c r="J288" s="9">
        <v>0.1</v>
      </c>
      <c r="K288" s="9">
        <v>1.8</v>
      </c>
      <c r="L288" s="9">
        <v>1.8</v>
      </c>
      <c r="M288" s="9">
        <v>-0.3</v>
      </c>
      <c r="N288" s="9">
        <v>-3</v>
      </c>
      <c r="O288" s="9">
        <v>0.1</v>
      </c>
    </row>
    <row r="289" spans="1:15" x14ac:dyDescent="0.2">
      <c r="A289" s="10">
        <v>43160</v>
      </c>
      <c r="B289" s="9">
        <v>0.9</v>
      </c>
      <c r="C289" s="9">
        <v>-1</v>
      </c>
      <c r="D289" s="9">
        <v>1.9</v>
      </c>
      <c r="E289" s="9">
        <v>2.6</v>
      </c>
      <c r="F289" s="9">
        <v>2.6</v>
      </c>
      <c r="G289" s="9">
        <v>3.3</v>
      </c>
      <c r="H289" s="9">
        <v>3.4</v>
      </c>
      <c r="I289" s="9">
        <v>1.4</v>
      </c>
      <c r="J289" s="9">
        <v>0.3</v>
      </c>
      <c r="K289" s="9">
        <v>0.7</v>
      </c>
      <c r="L289" s="9">
        <v>0.7</v>
      </c>
      <c r="M289" s="9">
        <v>0.2</v>
      </c>
      <c r="N289" s="9">
        <v>-0.5</v>
      </c>
      <c r="O289" s="9">
        <v>0.3</v>
      </c>
    </row>
    <row r="290" spans="1:15" x14ac:dyDescent="0.2">
      <c r="A290" s="10">
        <v>43252</v>
      </c>
      <c r="B290" s="9">
        <v>0.7</v>
      </c>
      <c r="C290" s="9">
        <v>-2.1</v>
      </c>
      <c r="D290" s="9">
        <v>0.5</v>
      </c>
      <c r="E290" s="9">
        <v>0.1</v>
      </c>
      <c r="F290" s="9">
        <v>0.1</v>
      </c>
      <c r="G290" s="9">
        <v>0.2</v>
      </c>
      <c r="H290" s="9">
        <v>0</v>
      </c>
      <c r="I290" s="9">
        <v>0</v>
      </c>
      <c r="J290" s="9">
        <v>0.4</v>
      </c>
      <c r="K290" s="9">
        <v>0.9</v>
      </c>
      <c r="L290" s="9">
        <v>0.9</v>
      </c>
      <c r="M290" s="9">
        <v>0.3</v>
      </c>
      <c r="N290" s="9">
        <v>0.1</v>
      </c>
      <c r="O290" s="9">
        <v>0.3</v>
      </c>
    </row>
    <row r="291" spans="1:15" x14ac:dyDescent="0.2">
      <c r="A291" s="10">
        <v>43344</v>
      </c>
      <c r="B291" s="9">
        <v>0.5</v>
      </c>
      <c r="C291" s="9">
        <v>1.9</v>
      </c>
      <c r="D291" s="9">
        <v>0.3</v>
      </c>
      <c r="E291" s="9">
        <v>0</v>
      </c>
      <c r="F291" s="9">
        <v>0</v>
      </c>
      <c r="G291" s="9">
        <v>-1.5</v>
      </c>
      <c r="H291" s="9">
        <v>0</v>
      </c>
      <c r="I291" s="9">
        <v>1</v>
      </c>
      <c r="J291" s="9">
        <v>0.5</v>
      </c>
      <c r="K291" s="9">
        <v>0.7</v>
      </c>
      <c r="L291" s="9">
        <v>0.7</v>
      </c>
      <c r="M291" s="9">
        <v>0.5</v>
      </c>
      <c r="N291" s="9">
        <v>0.1</v>
      </c>
      <c r="O291" s="9">
        <v>0.5</v>
      </c>
    </row>
    <row r="292" spans="1:15" x14ac:dyDescent="0.2">
      <c r="A292" s="10">
        <v>43435</v>
      </c>
      <c r="B292" s="9">
        <v>0</v>
      </c>
      <c r="C292" s="9">
        <v>1.8</v>
      </c>
      <c r="D292" s="9">
        <v>0.7</v>
      </c>
      <c r="E292" s="9">
        <v>0</v>
      </c>
      <c r="F292" s="9">
        <v>0</v>
      </c>
      <c r="G292" s="9">
        <v>0.1</v>
      </c>
      <c r="H292" s="9">
        <v>0</v>
      </c>
      <c r="I292" s="9">
        <v>0</v>
      </c>
      <c r="J292" s="9">
        <v>0.3</v>
      </c>
      <c r="K292" s="9">
        <v>0.7</v>
      </c>
      <c r="L292" s="9">
        <v>0.7</v>
      </c>
      <c r="M292" s="9">
        <v>0.2</v>
      </c>
      <c r="N292" s="9">
        <v>0.1</v>
      </c>
      <c r="O292" s="9">
        <v>0.2</v>
      </c>
    </row>
    <row r="293" spans="1:15" x14ac:dyDescent="0.2">
      <c r="A293" s="10">
        <v>43525</v>
      </c>
      <c r="B293" s="9">
        <v>0.9</v>
      </c>
      <c r="C293" s="9">
        <v>-1.2</v>
      </c>
      <c r="D293" s="9">
        <v>0.3</v>
      </c>
      <c r="E293" s="9">
        <v>2.7</v>
      </c>
      <c r="F293" s="9">
        <v>2.7</v>
      </c>
      <c r="G293" s="9">
        <v>2.2000000000000002</v>
      </c>
      <c r="H293" s="9">
        <v>4.2</v>
      </c>
      <c r="I293" s="9">
        <v>1.4</v>
      </c>
      <c r="J293" s="9">
        <v>-0.2</v>
      </c>
      <c r="K293" s="9">
        <v>-0.3</v>
      </c>
      <c r="L293" s="9">
        <v>-0.3</v>
      </c>
      <c r="M293" s="9">
        <v>-0.1</v>
      </c>
      <c r="N293" s="9">
        <v>0.2</v>
      </c>
      <c r="O293" s="9">
        <v>-0.2</v>
      </c>
    </row>
    <row r="294" spans="1:15" x14ac:dyDescent="0.2">
      <c r="A294" s="10">
        <v>43617</v>
      </c>
      <c r="B294" s="9">
        <v>0.3</v>
      </c>
      <c r="C294" s="9">
        <v>1.5</v>
      </c>
      <c r="D294" s="9">
        <v>0.4</v>
      </c>
      <c r="E294" s="9">
        <v>0</v>
      </c>
      <c r="F294" s="9">
        <v>0</v>
      </c>
      <c r="G294" s="9">
        <v>0.1</v>
      </c>
      <c r="H294" s="9">
        <v>0</v>
      </c>
      <c r="I294" s="9">
        <v>0</v>
      </c>
      <c r="J294" s="9">
        <v>0.2</v>
      </c>
      <c r="K294" s="9">
        <v>0.1</v>
      </c>
      <c r="L294" s="9">
        <v>0.1</v>
      </c>
      <c r="M294" s="9">
        <v>0.2</v>
      </c>
      <c r="N294" s="9">
        <v>-0.6</v>
      </c>
      <c r="O294" s="9">
        <v>0.4</v>
      </c>
    </row>
    <row r="295" spans="1:15" x14ac:dyDescent="0.2">
      <c r="A295" s="10">
        <v>43709</v>
      </c>
      <c r="B295" s="9">
        <v>1.6</v>
      </c>
      <c r="C295" s="9">
        <v>-0.4</v>
      </c>
      <c r="D295" s="9">
        <v>1.4</v>
      </c>
      <c r="E295" s="9">
        <v>0.1</v>
      </c>
      <c r="F295" s="9">
        <v>0.1</v>
      </c>
      <c r="G295" s="9">
        <v>0.3</v>
      </c>
      <c r="H295" s="9">
        <v>0</v>
      </c>
      <c r="I295" s="9">
        <v>0.1</v>
      </c>
      <c r="J295" s="9">
        <v>0.2</v>
      </c>
      <c r="K295" s="9">
        <v>0.6</v>
      </c>
      <c r="L295" s="9">
        <v>0.6</v>
      </c>
      <c r="M295" s="9">
        <v>0.1</v>
      </c>
      <c r="N295" s="9">
        <v>-0.7</v>
      </c>
      <c r="O295" s="9">
        <v>0.2</v>
      </c>
    </row>
    <row r="296" spans="1:15" x14ac:dyDescent="0.2">
      <c r="A296" s="10">
        <v>43800</v>
      </c>
      <c r="B296" s="9">
        <v>0.2</v>
      </c>
      <c r="C296" s="9">
        <v>1.4</v>
      </c>
      <c r="D296" s="9">
        <v>0</v>
      </c>
      <c r="E296" s="9">
        <v>0.1</v>
      </c>
      <c r="F296" s="9">
        <v>0.1</v>
      </c>
      <c r="G296" s="9">
        <v>0.2</v>
      </c>
      <c r="H296" s="9">
        <v>0</v>
      </c>
      <c r="I296" s="9">
        <v>0</v>
      </c>
      <c r="J296" s="9">
        <v>0.4</v>
      </c>
      <c r="K296" s="9">
        <v>0.4</v>
      </c>
      <c r="L296" s="9">
        <v>0.4</v>
      </c>
      <c r="M296" s="9">
        <v>0.4</v>
      </c>
      <c r="N296" s="9">
        <v>0.8</v>
      </c>
      <c r="O296" s="9">
        <v>0.4</v>
      </c>
    </row>
    <row r="297" spans="1:15" x14ac:dyDescent="0.2">
      <c r="A297" s="10">
        <v>43891</v>
      </c>
      <c r="B297" s="9">
        <v>0.6</v>
      </c>
      <c r="C297" s="9">
        <v>-1.1000000000000001</v>
      </c>
      <c r="D297" s="9">
        <v>-0.6</v>
      </c>
      <c r="E297" s="9">
        <v>2.6</v>
      </c>
      <c r="F297" s="9">
        <v>2.6</v>
      </c>
      <c r="G297" s="9">
        <v>2.9</v>
      </c>
      <c r="H297" s="9">
        <v>3.4</v>
      </c>
      <c r="I297" s="9">
        <v>1.3</v>
      </c>
      <c r="J297" s="9">
        <v>0.7</v>
      </c>
      <c r="K297" s="9">
        <v>0.7</v>
      </c>
      <c r="L297" s="9">
        <v>0.7</v>
      </c>
      <c r="M297" s="9">
        <v>0.7</v>
      </c>
      <c r="N297" s="9">
        <v>0.9</v>
      </c>
      <c r="O297" s="9">
        <v>0.6</v>
      </c>
    </row>
    <row r="298" spans="1:15" x14ac:dyDescent="0.2">
      <c r="A298" s="10">
        <v>43983</v>
      </c>
      <c r="B298" s="9">
        <v>0.3</v>
      </c>
      <c r="C298" s="9">
        <v>-1.9</v>
      </c>
      <c r="D298" s="9">
        <v>-1.9</v>
      </c>
      <c r="E298" s="9">
        <v>-3.7</v>
      </c>
      <c r="F298" s="9">
        <v>-3.7</v>
      </c>
      <c r="G298" s="9">
        <v>-16.2</v>
      </c>
      <c r="H298" s="9">
        <v>-0.1</v>
      </c>
      <c r="I298" s="9">
        <v>0</v>
      </c>
      <c r="J298" s="9">
        <v>0.4</v>
      </c>
      <c r="K298" s="9">
        <v>0.7</v>
      </c>
      <c r="L298" s="9">
        <v>0.7</v>
      </c>
      <c r="M298" s="9">
        <v>0.3</v>
      </c>
      <c r="N298" s="9">
        <v>-1.4</v>
      </c>
      <c r="O298" s="9">
        <v>0.5</v>
      </c>
    </row>
    <row r="299" spans="1:15" x14ac:dyDescent="0.2">
      <c r="A299" s="10">
        <v>44075</v>
      </c>
      <c r="B299" s="9">
        <v>0.6</v>
      </c>
      <c r="C299" s="9">
        <v>0.7</v>
      </c>
      <c r="D299" s="9">
        <v>1.8</v>
      </c>
      <c r="E299" s="9">
        <v>2.1</v>
      </c>
      <c r="F299" s="9">
        <v>2.1</v>
      </c>
      <c r="G299" s="9">
        <v>11</v>
      </c>
      <c r="H299" s="9">
        <v>0</v>
      </c>
      <c r="I299" s="9">
        <v>-0.1</v>
      </c>
      <c r="J299" s="9">
        <v>0</v>
      </c>
      <c r="K299" s="9">
        <v>0.5</v>
      </c>
      <c r="L299" s="9">
        <v>0.5</v>
      </c>
      <c r="M299" s="9">
        <v>-0.1</v>
      </c>
      <c r="N299" s="9">
        <v>0.2</v>
      </c>
      <c r="O299" s="9">
        <v>-0.1</v>
      </c>
    </row>
    <row r="300" spans="1:15" x14ac:dyDescent="0.2">
      <c r="A300" s="10">
        <v>44166</v>
      </c>
      <c r="B300" s="9">
        <v>0.3</v>
      </c>
      <c r="C300" s="9">
        <v>1.2</v>
      </c>
      <c r="D300" s="9">
        <v>0.8</v>
      </c>
      <c r="E300" s="9">
        <v>1.1000000000000001</v>
      </c>
      <c r="F300" s="9">
        <v>1.1000000000000001</v>
      </c>
      <c r="G300" s="9">
        <v>5.4</v>
      </c>
      <c r="H300" s="9">
        <v>0</v>
      </c>
      <c r="I300" s="9">
        <v>0</v>
      </c>
      <c r="J300" s="9">
        <v>0.1</v>
      </c>
      <c r="K300" s="9">
        <v>0.7</v>
      </c>
      <c r="L300" s="9">
        <v>0.7</v>
      </c>
      <c r="M300" s="9">
        <v>0</v>
      </c>
      <c r="N300" s="9">
        <v>0.7</v>
      </c>
      <c r="O300" s="9">
        <v>-0.1</v>
      </c>
    </row>
    <row r="301" spans="1:15" x14ac:dyDescent="0.2">
      <c r="A301" s="10">
        <v>44256</v>
      </c>
      <c r="B301" s="9">
        <v>0.9</v>
      </c>
      <c r="C301" s="9">
        <v>-1.5</v>
      </c>
      <c r="D301" s="9">
        <v>3.8</v>
      </c>
      <c r="E301" s="9">
        <v>0.4</v>
      </c>
      <c r="F301" s="9">
        <v>0.4</v>
      </c>
      <c r="G301" s="9">
        <v>1.1000000000000001</v>
      </c>
      <c r="H301" s="9">
        <v>1.8</v>
      </c>
      <c r="I301" s="9">
        <v>-1.6</v>
      </c>
      <c r="J301" s="9">
        <v>0</v>
      </c>
      <c r="K301" s="9">
        <v>0.4</v>
      </c>
      <c r="L301" s="9">
        <v>0.4</v>
      </c>
      <c r="M301" s="9">
        <v>-0.1</v>
      </c>
      <c r="N301" s="9">
        <v>-0.2</v>
      </c>
      <c r="O301" s="9">
        <v>-0.1</v>
      </c>
    </row>
    <row r="302" spans="1:15" x14ac:dyDescent="0.2">
      <c r="A302" s="10">
        <v>44348</v>
      </c>
      <c r="B302" s="9">
        <v>2.4</v>
      </c>
      <c r="C302" s="9">
        <v>1.2</v>
      </c>
      <c r="D302" s="9">
        <v>-0.5</v>
      </c>
      <c r="E302" s="9">
        <v>0</v>
      </c>
      <c r="F302" s="9">
        <v>0</v>
      </c>
      <c r="G302" s="9">
        <v>0.2</v>
      </c>
      <c r="H302" s="9">
        <v>0</v>
      </c>
      <c r="I302" s="9">
        <v>0</v>
      </c>
      <c r="J302" s="9">
        <v>0.4</v>
      </c>
      <c r="K302" s="9">
        <v>1.3</v>
      </c>
      <c r="L302" s="9">
        <v>1.3</v>
      </c>
      <c r="M302" s="9">
        <v>0.1</v>
      </c>
      <c r="N302" s="9">
        <v>-1</v>
      </c>
      <c r="O302" s="9">
        <v>0.3</v>
      </c>
    </row>
    <row r="303" spans="1:15" x14ac:dyDescent="0.2">
      <c r="A303" s="10">
        <v>44440</v>
      </c>
      <c r="B303" s="9">
        <v>1.9</v>
      </c>
      <c r="C303" s="9">
        <v>1.4</v>
      </c>
      <c r="D303" s="9">
        <v>0.6</v>
      </c>
      <c r="E303" s="9">
        <v>0.1</v>
      </c>
      <c r="F303" s="9">
        <v>0.1</v>
      </c>
      <c r="G303" s="9">
        <v>0.3</v>
      </c>
      <c r="H303" s="9">
        <v>0</v>
      </c>
      <c r="I303" s="9">
        <v>0</v>
      </c>
      <c r="J303" s="9">
        <v>0.5</v>
      </c>
      <c r="K303" s="9">
        <v>1.2</v>
      </c>
      <c r="L303" s="9">
        <v>1.2</v>
      </c>
      <c r="M303" s="9">
        <v>0.3</v>
      </c>
      <c r="N303" s="9">
        <v>-2.4</v>
      </c>
      <c r="O303" s="9">
        <v>0.7</v>
      </c>
    </row>
    <row r="304" spans="1:15" x14ac:dyDescent="0.2">
      <c r="A304" s="10">
        <v>44531</v>
      </c>
      <c r="B304" s="9">
        <v>0.6</v>
      </c>
      <c r="C304" s="9">
        <v>-0.2</v>
      </c>
      <c r="D304" s="9">
        <v>0.1</v>
      </c>
      <c r="E304" s="9">
        <v>0</v>
      </c>
      <c r="F304" s="9">
        <v>0</v>
      </c>
      <c r="G304" s="9">
        <v>0.1</v>
      </c>
      <c r="H304" s="9">
        <v>0</v>
      </c>
      <c r="I304" s="9">
        <v>0</v>
      </c>
      <c r="J304" s="9">
        <v>1.2</v>
      </c>
      <c r="K304" s="9">
        <v>0.5</v>
      </c>
      <c r="L304" s="9">
        <v>0.5</v>
      </c>
      <c r="M304" s="9">
        <v>1.4</v>
      </c>
      <c r="N304" s="9">
        <v>0.5</v>
      </c>
      <c r="O304" s="9">
        <v>1.5</v>
      </c>
    </row>
    <row r="305" spans="1:147" x14ac:dyDescent="0.2">
      <c r="A305" s="10">
        <v>44621</v>
      </c>
      <c r="B305" s="9">
        <v>1.9</v>
      </c>
      <c r="C305" s="9">
        <v>-0.3</v>
      </c>
      <c r="D305" s="9">
        <v>0.7</v>
      </c>
      <c r="E305" s="9">
        <v>4.5</v>
      </c>
      <c r="F305" s="9">
        <v>4.5</v>
      </c>
      <c r="G305" s="9">
        <v>4.5999999999999996</v>
      </c>
      <c r="H305" s="9">
        <v>3</v>
      </c>
      <c r="I305" s="9">
        <v>6.4</v>
      </c>
      <c r="J305" s="9">
        <v>0.6</v>
      </c>
      <c r="K305" s="9">
        <v>1.1000000000000001</v>
      </c>
      <c r="L305" s="9">
        <v>1.1000000000000001</v>
      </c>
      <c r="M305" s="9">
        <v>0.4</v>
      </c>
      <c r="N305" s="9">
        <v>0.2</v>
      </c>
      <c r="O305" s="9">
        <v>0.4</v>
      </c>
    </row>
    <row r="306" spans="1:147" x14ac:dyDescent="0.2">
      <c r="A306" s="10">
        <v>44713</v>
      </c>
      <c r="B306" s="9">
        <v>2.6</v>
      </c>
      <c r="C306" s="9">
        <v>1.7</v>
      </c>
      <c r="D306" s="9">
        <v>-0.3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1</v>
      </c>
      <c r="K306" s="9">
        <v>0.3</v>
      </c>
      <c r="L306" s="9">
        <v>0.3</v>
      </c>
      <c r="M306" s="9">
        <v>1.2</v>
      </c>
      <c r="N306" s="9">
        <v>-1.5</v>
      </c>
      <c r="O306" s="9">
        <v>1.5</v>
      </c>
    </row>
    <row r="307" spans="1:147" x14ac:dyDescent="0.2">
      <c r="A307" s="10">
        <v>44805</v>
      </c>
      <c r="B307" s="9">
        <v>2.6</v>
      </c>
      <c r="C307" s="9">
        <v>0.6</v>
      </c>
      <c r="D307" s="9">
        <v>-1.3</v>
      </c>
      <c r="E307" s="9">
        <v>0</v>
      </c>
      <c r="F307" s="9">
        <v>0</v>
      </c>
      <c r="G307" s="9">
        <v>0.2</v>
      </c>
      <c r="H307" s="9">
        <v>0</v>
      </c>
      <c r="I307" s="9">
        <v>-0.1</v>
      </c>
      <c r="J307" s="9">
        <v>1.4</v>
      </c>
      <c r="K307" s="9">
        <v>2.2999999999999998</v>
      </c>
      <c r="L307" s="9">
        <v>2.2999999999999998</v>
      </c>
      <c r="M307" s="9">
        <v>1.1000000000000001</v>
      </c>
      <c r="N307" s="9">
        <v>-0.3</v>
      </c>
      <c r="O307" s="9">
        <v>1.3</v>
      </c>
    </row>
    <row r="308" spans="1:147" x14ac:dyDescent="0.2">
      <c r="A308" s="10">
        <v>44896</v>
      </c>
      <c r="B308" s="9">
        <v>1.3</v>
      </c>
      <c r="C308" s="9">
        <v>1.4</v>
      </c>
      <c r="D308" s="9">
        <v>1.1000000000000001</v>
      </c>
      <c r="E308" s="9">
        <v>0.1</v>
      </c>
      <c r="F308" s="9">
        <v>0.1</v>
      </c>
      <c r="G308" s="9">
        <v>0.4</v>
      </c>
      <c r="H308" s="9">
        <v>0</v>
      </c>
      <c r="I308" s="9">
        <v>0</v>
      </c>
      <c r="J308" s="9">
        <v>2</v>
      </c>
      <c r="K308" s="9">
        <v>2.4</v>
      </c>
      <c r="L308" s="9">
        <v>2.4</v>
      </c>
      <c r="M308" s="9">
        <v>1.9</v>
      </c>
      <c r="N308" s="9">
        <v>0.7</v>
      </c>
      <c r="O308" s="9">
        <v>2.1</v>
      </c>
    </row>
    <row r="309" spans="1:147" x14ac:dyDescent="0.2">
      <c r="A309" s="10">
        <v>44986</v>
      </c>
      <c r="B309" s="9">
        <v>1.4</v>
      </c>
      <c r="C309" s="9">
        <v>0</v>
      </c>
      <c r="D309" s="9">
        <v>0.4</v>
      </c>
      <c r="E309" s="9">
        <v>5.4</v>
      </c>
      <c r="F309" s="9">
        <v>5.4</v>
      </c>
      <c r="G309" s="9">
        <v>-0.8</v>
      </c>
      <c r="H309" s="9">
        <v>4.9000000000000004</v>
      </c>
      <c r="I309" s="9">
        <v>9.6999999999999993</v>
      </c>
      <c r="J309" s="9">
        <v>1.9</v>
      </c>
      <c r="K309" s="9">
        <v>3.5</v>
      </c>
      <c r="L309" s="9">
        <v>3.5</v>
      </c>
      <c r="M309" s="9">
        <v>1.5</v>
      </c>
      <c r="N309" s="9">
        <v>0.3</v>
      </c>
      <c r="O309" s="9">
        <v>1.6</v>
      </c>
    </row>
    <row r="310" spans="1:147" x14ac:dyDescent="0.2">
      <c r="A310" s="10">
        <v>45078</v>
      </c>
      <c r="B310" s="9">
        <v>2.2000000000000002</v>
      </c>
      <c r="C310" s="9">
        <v>3.3</v>
      </c>
      <c r="D310" s="9">
        <v>1.7</v>
      </c>
      <c r="E310" s="9">
        <v>-0.2</v>
      </c>
      <c r="F310" s="9">
        <v>-0.2</v>
      </c>
      <c r="G310" s="9">
        <v>-1.2</v>
      </c>
      <c r="H310" s="9">
        <v>0</v>
      </c>
      <c r="I310" s="9">
        <v>0</v>
      </c>
      <c r="J310" s="9">
        <v>3</v>
      </c>
      <c r="K310" s="9">
        <v>5.2</v>
      </c>
      <c r="L310" s="9">
        <v>5.2</v>
      </c>
      <c r="M310" s="9">
        <v>2.4</v>
      </c>
      <c r="N310" s="9">
        <v>1.4</v>
      </c>
      <c r="O310" s="9">
        <v>2.5</v>
      </c>
    </row>
    <row r="311" spans="1:147" x14ac:dyDescent="0.2">
      <c r="A311" s="10">
        <v>45170</v>
      </c>
      <c r="B311" s="9">
        <v>2.4</v>
      </c>
      <c r="C311" s="9">
        <v>2</v>
      </c>
      <c r="D311" s="9">
        <v>3.4</v>
      </c>
      <c r="E311" s="9">
        <v>-0.3</v>
      </c>
      <c r="F311" s="9">
        <v>-0.3</v>
      </c>
      <c r="G311" s="9">
        <v>-2.6</v>
      </c>
      <c r="H311" s="9">
        <v>0</v>
      </c>
      <c r="I311" s="9">
        <v>0.5</v>
      </c>
      <c r="J311" s="9">
        <v>1.3</v>
      </c>
      <c r="K311" s="9">
        <v>2.8</v>
      </c>
      <c r="L311" s="9">
        <v>2.8</v>
      </c>
      <c r="M311" s="9">
        <v>0.9</v>
      </c>
      <c r="N311" s="9">
        <v>1.8</v>
      </c>
      <c r="O311" s="9">
        <v>0.8</v>
      </c>
    </row>
    <row r="312" spans="1:147" x14ac:dyDescent="0.2">
      <c r="A312" s="10">
        <v>45261</v>
      </c>
      <c r="B312" s="9">
        <v>1.4</v>
      </c>
      <c r="C312" s="9">
        <v>1.1000000000000001</v>
      </c>
      <c r="D312" s="9">
        <v>0.8</v>
      </c>
      <c r="E312" s="9">
        <v>-0.1</v>
      </c>
      <c r="F312" s="9">
        <v>-0.1</v>
      </c>
      <c r="G312" s="9">
        <v>-0.4</v>
      </c>
      <c r="H312" s="9">
        <v>0</v>
      </c>
      <c r="I312" s="9">
        <v>0</v>
      </c>
      <c r="J312" s="9">
        <v>1.7</v>
      </c>
      <c r="K312" s="9">
        <v>3.8</v>
      </c>
      <c r="L312" s="9">
        <v>3.8</v>
      </c>
      <c r="M312" s="9">
        <v>1.1000000000000001</v>
      </c>
      <c r="N312" s="9">
        <v>2.4</v>
      </c>
      <c r="O312" s="9">
        <v>1</v>
      </c>
    </row>
    <row r="313" spans="1:147" x14ac:dyDescent="0.2">
      <c r="A313" s="10">
        <v>45352</v>
      </c>
      <c r="B313" s="9">
        <v>0.9</v>
      </c>
      <c r="C313" s="9">
        <v>1.2</v>
      </c>
      <c r="D313" s="9">
        <v>2.9</v>
      </c>
      <c r="E313" s="9">
        <v>5.9</v>
      </c>
      <c r="F313" s="9">
        <v>5.9</v>
      </c>
      <c r="G313" s="9">
        <v>4.3</v>
      </c>
      <c r="H313" s="9">
        <v>6.1</v>
      </c>
      <c r="I313" s="9">
        <v>6.5</v>
      </c>
      <c r="J313" s="9">
        <v>2</v>
      </c>
      <c r="K313" s="9">
        <v>3.7</v>
      </c>
      <c r="L313" s="9">
        <v>3.7</v>
      </c>
      <c r="M313" s="9">
        <v>1.5</v>
      </c>
      <c r="N313" s="9">
        <v>1.1000000000000001</v>
      </c>
      <c r="O313" s="9">
        <v>1.5</v>
      </c>
    </row>
    <row r="314" spans="1:147" x14ac:dyDescent="0.2">
      <c r="A314" s="10">
        <v>45444</v>
      </c>
      <c r="B314" s="9">
        <v>1.8</v>
      </c>
      <c r="C314" s="9">
        <v>0.9</v>
      </c>
      <c r="D314" s="9">
        <v>0.2</v>
      </c>
      <c r="E314" s="9">
        <v>0.2</v>
      </c>
      <c r="F314" s="9">
        <v>0.2</v>
      </c>
      <c r="G314" s="9">
        <v>1</v>
      </c>
      <c r="H314" s="9">
        <v>0</v>
      </c>
      <c r="I314" s="9">
        <v>0</v>
      </c>
      <c r="J314" s="9">
        <v>1.3</v>
      </c>
      <c r="K314" s="9">
        <v>3</v>
      </c>
      <c r="L314" s="9">
        <v>3</v>
      </c>
      <c r="M314" s="9">
        <v>0.7</v>
      </c>
      <c r="N314" s="9">
        <v>0.7</v>
      </c>
      <c r="O314" s="9">
        <v>0.7</v>
      </c>
    </row>
    <row r="315" spans="1:147" x14ac:dyDescent="0.2">
      <c r="A315" s="10">
        <v>45536</v>
      </c>
      <c r="B315" s="9">
        <v>1.4</v>
      </c>
      <c r="C315" s="9">
        <v>3.1</v>
      </c>
      <c r="D315" s="9">
        <v>2.5</v>
      </c>
      <c r="E315" s="9">
        <v>0.4</v>
      </c>
      <c r="F315" s="9">
        <v>0.4</v>
      </c>
      <c r="G315" s="9">
        <v>1.6</v>
      </c>
      <c r="H315" s="9">
        <v>0</v>
      </c>
      <c r="I315" s="9">
        <v>0.1</v>
      </c>
      <c r="J315" s="9">
        <v>1.2</v>
      </c>
      <c r="K315" s="9">
        <v>2.8</v>
      </c>
      <c r="L315" s="9">
        <v>2.8</v>
      </c>
      <c r="M315" s="9">
        <v>0.7</v>
      </c>
      <c r="N315" s="9">
        <v>-1</v>
      </c>
      <c r="O315" s="9">
        <v>0.9</v>
      </c>
    </row>
    <row r="316" spans="1:147" x14ac:dyDescent="0.2">
      <c r="A316" s="10">
        <v>45627</v>
      </c>
      <c r="B316" s="9">
        <v>1</v>
      </c>
      <c r="C316" s="9">
        <v>0.4</v>
      </c>
      <c r="D316" s="9">
        <v>-0.6</v>
      </c>
      <c r="E316" s="9">
        <v>0</v>
      </c>
      <c r="F316" s="9">
        <v>0</v>
      </c>
      <c r="G316" s="9">
        <v>-0.1</v>
      </c>
      <c r="H316" s="9">
        <v>0</v>
      </c>
      <c r="I316" s="9">
        <v>0</v>
      </c>
      <c r="J316" s="9">
        <v>0.8</v>
      </c>
      <c r="K316" s="9">
        <v>1</v>
      </c>
      <c r="L316" s="9">
        <v>1</v>
      </c>
      <c r="M316" s="9">
        <v>0.7</v>
      </c>
      <c r="N316" s="9">
        <v>0.7</v>
      </c>
      <c r="O316" s="9">
        <v>0.7</v>
      </c>
    </row>
    <row r="317" spans="1:147" x14ac:dyDescent="0.2">
      <c r="A317" s="10">
        <v>45717</v>
      </c>
      <c r="B317" s="9">
        <v>1.3</v>
      </c>
      <c r="C317" s="9">
        <v>1</v>
      </c>
      <c r="D317" s="9">
        <v>1.3</v>
      </c>
      <c r="E317" s="9">
        <v>5.2</v>
      </c>
      <c r="F317" s="9">
        <v>5.2</v>
      </c>
      <c r="G317" s="9">
        <v>5.6</v>
      </c>
      <c r="H317" s="9">
        <v>6.3</v>
      </c>
      <c r="I317" s="9">
        <v>3.6</v>
      </c>
      <c r="J317" s="9">
        <v>0.6</v>
      </c>
      <c r="K317" s="9">
        <v>0.6</v>
      </c>
      <c r="L317" s="9">
        <v>0.6</v>
      </c>
      <c r="M317" s="9">
        <v>0.6</v>
      </c>
      <c r="N317" s="9">
        <v>0.6</v>
      </c>
      <c r="O317" s="9">
        <v>0.6</v>
      </c>
    </row>
    <row r="318" spans="1:147" x14ac:dyDescent="0.2">
      <c r="A318" s="10">
        <v>45809</v>
      </c>
      <c r="B318" s="9">
        <v>0.7</v>
      </c>
      <c r="C318" s="9">
        <v>0.6</v>
      </c>
      <c r="D318" s="9">
        <v>-1.2</v>
      </c>
      <c r="E318" s="9">
        <v>0</v>
      </c>
      <c r="F318" s="9">
        <v>0</v>
      </c>
      <c r="G318" s="9">
        <v>-0.2</v>
      </c>
      <c r="H318" s="9">
        <v>0</v>
      </c>
      <c r="I318" s="9">
        <v>0</v>
      </c>
      <c r="J318" s="9">
        <v>0.5</v>
      </c>
      <c r="K318" s="9">
        <v>-0.5</v>
      </c>
      <c r="L318" s="9">
        <v>-0.5</v>
      </c>
      <c r="M318" s="9">
        <v>0.8</v>
      </c>
      <c r="N318" s="9">
        <v>2.6</v>
      </c>
      <c r="O318" s="9">
        <v>0.6</v>
      </c>
    </row>
    <row r="319" spans="1:147" x14ac:dyDescent="0.2">
      <c r="A319" s="10">
        <v>45901</v>
      </c>
      <c r="B319" s="9">
        <v>1.8</v>
      </c>
      <c r="C319" s="9">
        <v>1.5</v>
      </c>
      <c r="D319" s="9">
        <v>-0.8</v>
      </c>
      <c r="E319" s="9">
        <v>0.1</v>
      </c>
      <c r="F319" s="9">
        <v>0.1</v>
      </c>
      <c r="G319" s="9">
        <v>0.5</v>
      </c>
      <c r="H319" s="9">
        <v>0</v>
      </c>
      <c r="I319" s="9">
        <v>0.1</v>
      </c>
      <c r="J319" s="9">
        <v>0.8</v>
      </c>
      <c r="K319" s="9">
        <v>1.5</v>
      </c>
      <c r="L319" s="9">
        <v>1.5</v>
      </c>
      <c r="M319" s="9">
        <v>0.5</v>
      </c>
      <c r="N319" s="9">
        <v>1.1000000000000001</v>
      </c>
      <c r="O319" s="9">
        <v>0.5</v>
      </c>
    </row>
    <row r="320" spans="1:147" x14ac:dyDescent="0.2">
      <c r="A320" s="10">
        <v>45992</v>
      </c>
      <c r="B320" s="9">
        <v>0.7</v>
      </c>
      <c r="C320" s="9">
        <v>0.8</v>
      </c>
      <c r="D320" s="9">
        <v>2.1</v>
      </c>
      <c r="E320" s="9">
        <v>0.1</v>
      </c>
      <c r="F320" s="9">
        <v>0.1</v>
      </c>
      <c r="G320" s="9">
        <v>0.4</v>
      </c>
      <c r="H320" s="9">
        <v>0</v>
      </c>
      <c r="I320" s="9">
        <v>0.1</v>
      </c>
      <c r="J320" s="9">
        <v>0.6</v>
      </c>
      <c r="K320" s="9">
        <v>1.1000000000000001</v>
      </c>
      <c r="L320" s="9">
        <v>1.1000000000000001</v>
      </c>
      <c r="M320" s="9">
        <v>0.4</v>
      </c>
      <c r="N320" s="9">
        <v>-0.2</v>
      </c>
      <c r="O320" s="9">
        <v>0.5</v>
      </c>
      <c r="P320" s="8">
        <v>100.32</v>
      </c>
      <c r="Q320" s="8">
        <v>17.46</v>
      </c>
      <c r="R320" s="8">
        <v>1.53</v>
      </c>
      <c r="S320" s="8">
        <v>0.6</v>
      </c>
      <c r="T320" s="8">
        <v>0.65</v>
      </c>
      <c r="U320" s="8">
        <v>0.1</v>
      </c>
      <c r="V320" s="8">
        <v>0.18</v>
      </c>
      <c r="W320" s="8">
        <v>2.15</v>
      </c>
      <c r="X320" s="8">
        <v>0.45</v>
      </c>
      <c r="Y320" s="8">
        <v>0.26</v>
      </c>
      <c r="Z320" s="8">
        <v>0.27</v>
      </c>
      <c r="AA320" s="8">
        <v>0.41</v>
      </c>
      <c r="AB320" s="8">
        <v>0.39</v>
      </c>
      <c r="AC320" s="8">
        <v>0.37</v>
      </c>
      <c r="AD320" s="8">
        <v>1.07</v>
      </c>
      <c r="AE320" s="8">
        <v>0.42</v>
      </c>
      <c r="AF320" s="8">
        <v>0.33</v>
      </c>
      <c r="AG320" s="8">
        <v>0.32</v>
      </c>
      <c r="AH320" s="8">
        <v>2.02</v>
      </c>
      <c r="AI320" s="8">
        <v>0.92</v>
      </c>
      <c r="AJ320" s="8">
        <v>1.1000000000000001</v>
      </c>
      <c r="AK320" s="8">
        <v>2.29</v>
      </c>
      <c r="AL320" s="8">
        <v>0.14000000000000001</v>
      </c>
      <c r="AM320" s="8">
        <v>0.12</v>
      </c>
      <c r="AN320" s="8">
        <v>0.31</v>
      </c>
      <c r="AO320" s="8">
        <v>0.25</v>
      </c>
      <c r="AP320" s="8">
        <v>0.96</v>
      </c>
      <c r="AQ320" s="8">
        <v>0.51</v>
      </c>
      <c r="AR320" s="8">
        <v>1.22</v>
      </c>
      <c r="AS320" s="8">
        <v>0.28999999999999998</v>
      </c>
      <c r="AT320" s="8">
        <v>0.93</v>
      </c>
      <c r="AU320" s="8">
        <v>7.17</v>
      </c>
      <c r="AV320" s="8">
        <v>3.96</v>
      </c>
      <c r="AW320" s="8">
        <v>3.21</v>
      </c>
      <c r="AX320" s="8">
        <v>6.65</v>
      </c>
      <c r="AY320" s="8">
        <v>4.62</v>
      </c>
      <c r="AZ320" s="8">
        <v>0.92</v>
      </c>
      <c r="BA320" s="8">
        <v>1.62</v>
      </c>
      <c r="BB320" s="8">
        <v>2.0699999999999998</v>
      </c>
      <c r="BC320" s="8">
        <v>2.0299999999999998</v>
      </c>
      <c r="BD320" s="8">
        <v>2.0299999999999998</v>
      </c>
      <c r="BE320" s="8">
        <v>3.24</v>
      </c>
      <c r="BF320" s="8">
        <v>1.95</v>
      </c>
      <c r="BG320" s="8">
        <v>0.52</v>
      </c>
      <c r="BH320" s="8">
        <v>1.1000000000000001</v>
      </c>
      <c r="BI320" s="8">
        <v>0.33</v>
      </c>
      <c r="BJ320" s="8">
        <v>0.45</v>
      </c>
      <c r="BK320" s="8">
        <v>0.11</v>
      </c>
      <c r="BL320" s="8">
        <v>0.27</v>
      </c>
      <c r="BM320" s="8">
        <v>7.0000000000000007E-2</v>
      </c>
      <c r="BN320" s="8">
        <v>0.84</v>
      </c>
      <c r="BO320" s="8">
        <v>0.77</v>
      </c>
      <c r="BP320" s="8">
        <v>7.0000000000000007E-2</v>
      </c>
      <c r="BQ320" s="8">
        <v>21.86</v>
      </c>
      <c r="BR320" s="8">
        <v>6.66</v>
      </c>
      <c r="BS320" s="8">
        <v>6.66</v>
      </c>
      <c r="BT320" s="8">
        <v>7.54</v>
      </c>
      <c r="BU320" s="8">
        <v>7.54</v>
      </c>
      <c r="BV320" s="8">
        <v>3.56</v>
      </c>
      <c r="BW320" s="8">
        <v>2.04</v>
      </c>
      <c r="BX320" s="8">
        <v>1.52</v>
      </c>
      <c r="BY320" s="8">
        <v>4.1100000000000003</v>
      </c>
      <c r="BZ320" s="8">
        <v>0.91</v>
      </c>
      <c r="CA320" s="8">
        <v>2.23</v>
      </c>
      <c r="CB320" s="8">
        <v>0.97</v>
      </c>
      <c r="CC320" s="8">
        <v>7.88</v>
      </c>
      <c r="CD320" s="8">
        <v>1.43</v>
      </c>
      <c r="CE320" s="8">
        <v>1.18</v>
      </c>
      <c r="CF320" s="8">
        <v>0.26</v>
      </c>
      <c r="CG320" s="8">
        <v>0.45</v>
      </c>
      <c r="CH320" s="8">
        <v>0.45</v>
      </c>
      <c r="CI320" s="8">
        <v>1.26</v>
      </c>
      <c r="CJ320" s="8">
        <v>0.33</v>
      </c>
      <c r="CK320" s="8">
        <v>0.25</v>
      </c>
      <c r="CL320" s="8">
        <v>0.34</v>
      </c>
      <c r="CM320" s="8">
        <v>0.34</v>
      </c>
      <c r="CN320" s="8">
        <v>2.15</v>
      </c>
      <c r="CO320" s="8">
        <v>0.21</v>
      </c>
      <c r="CP320" s="8">
        <v>0.79</v>
      </c>
      <c r="CQ320" s="8">
        <v>1.1399999999999999</v>
      </c>
      <c r="CR320" s="8">
        <v>2.58</v>
      </c>
      <c r="CS320" s="8">
        <v>0.83</v>
      </c>
      <c r="CT320" s="8">
        <v>1.05</v>
      </c>
      <c r="CU320" s="8">
        <v>0.7</v>
      </c>
      <c r="CV320" s="8">
        <v>6.79</v>
      </c>
      <c r="CW320" s="8">
        <v>1.07</v>
      </c>
      <c r="CX320" s="8">
        <v>0.93</v>
      </c>
      <c r="CY320" s="8">
        <v>0.14000000000000001</v>
      </c>
      <c r="CZ320" s="8">
        <v>5.72</v>
      </c>
      <c r="DA320" s="8">
        <v>5.12</v>
      </c>
      <c r="DB320" s="8">
        <v>0.6</v>
      </c>
      <c r="DC320" s="8">
        <v>11.35</v>
      </c>
      <c r="DD320" s="8">
        <v>11.01</v>
      </c>
      <c r="DE320" s="8">
        <v>3.42</v>
      </c>
      <c r="DF320" s="8">
        <v>0.87</v>
      </c>
      <c r="DG320" s="8">
        <v>3.29</v>
      </c>
      <c r="DH320" s="8">
        <v>2.09</v>
      </c>
      <c r="DI320" s="8">
        <v>1.34</v>
      </c>
      <c r="DJ320" s="8">
        <v>0.35</v>
      </c>
      <c r="DK320" s="8">
        <v>0.35</v>
      </c>
      <c r="DL320" s="8">
        <v>2.09</v>
      </c>
      <c r="DM320" s="8">
        <v>2.09</v>
      </c>
      <c r="DN320" s="8">
        <v>0.11</v>
      </c>
      <c r="DO320" s="8">
        <v>1.98</v>
      </c>
      <c r="DP320" s="8">
        <v>12.7</v>
      </c>
      <c r="DQ320" s="8">
        <v>1.92</v>
      </c>
      <c r="DR320" s="8">
        <v>0.97</v>
      </c>
      <c r="DS320" s="8">
        <v>0.95</v>
      </c>
      <c r="DT320" s="8">
        <v>0.47</v>
      </c>
      <c r="DU320" s="8">
        <v>0.13</v>
      </c>
      <c r="DV320" s="8">
        <v>0.34</v>
      </c>
      <c r="DW320" s="8">
        <v>6.27</v>
      </c>
      <c r="DX320" s="8">
        <v>3.26</v>
      </c>
      <c r="DY320" s="8">
        <v>3.04</v>
      </c>
      <c r="DZ320" s="8">
        <v>4.0599999999999996</v>
      </c>
      <c r="EA320" s="8">
        <v>0.45</v>
      </c>
      <c r="EB320" s="8">
        <v>0.61</v>
      </c>
      <c r="EC320" s="8">
        <v>0.5</v>
      </c>
      <c r="ED320" s="8">
        <v>0.52</v>
      </c>
      <c r="EE320" s="8">
        <v>1.07</v>
      </c>
      <c r="EF320" s="8">
        <v>0.91</v>
      </c>
      <c r="EG320" s="8">
        <v>4.7699999999999996</v>
      </c>
      <c r="EH320" s="8">
        <v>4.7699999999999996</v>
      </c>
      <c r="EI320" s="8">
        <v>0.94</v>
      </c>
      <c r="EJ320" s="8">
        <v>2.08</v>
      </c>
      <c r="EK320" s="8">
        <v>1.75</v>
      </c>
      <c r="EL320" s="8">
        <v>5.54</v>
      </c>
      <c r="EM320" s="8">
        <v>1.35</v>
      </c>
      <c r="EN320" s="8">
        <v>1.35</v>
      </c>
      <c r="EO320" s="8">
        <v>4.1900000000000004</v>
      </c>
      <c r="EP320" s="8">
        <v>0.4</v>
      </c>
      <c r="EQ320" s="8">
        <v>3.78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11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1" customWidth="1"/>
    <col min="2" max="2" width="18.140625" style="11" customWidth="1"/>
    <col min="3" max="3" width="30.7109375" style="11" customWidth="1"/>
    <col min="4" max="4" width="7.7109375" style="11"/>
    <col min="5" max="5" width="8.7109375" style="11" customWidth="1"/>
    <col min="6" max="11" width="7.7109375" style="11"/>
    <col min="12" max="12" width="9.7109375" style="11" customWidth="1"/>
    <col min="13" max="25" width="7.7109375" style="11"/>
    <col min="26" max="26" width="7.7109375" style="11" customWidth="1"/>
    <col min="27" max="16384" width="7.7109375" style="11"/>
  </cols>
  <sheetData>
    <row r="1" spans="2:26" ht="15" x14ac:dyDescent="0.25">
      <c r="Z1"/>
    </row>
    <row r="2" spans="2:26" ht="12.75" x14ac:dyDescent="0.2">
      <c r="B2" s="13" t="s">
        <v>784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26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26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26" ht="15.75" x14ac:dyDescent="0.25">
      <c r="B5" s="14" t="s">
        <v>785</v>
      </c>
    </row>
    <row r="6" spans="2:26" ht="31.5" customHeight="1" x14ac:dyDescent="0.2">
      <c r="B6" s="20" t="s">
        <v>786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10" spans="2:26" ht="12.75" x14ac:dyDescent="0.2">
      <c r="B10" s="15" t="s">
        <v>787</v>
      </c>
    </row>
    <row r="11" spans="2:26" x14ac:dyDescent="0.2">
      <c r="B11" s="11" t="s">
        <v>788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1190</vt:i4>
      </vt:variant>
    </vt:vector>
  </HeadingPairs>
  <TitlesOfParts>
    <vt:vector size="1195" baseType="lpstr">
      <vt:lpstr>Index</vt:lpstr>
      <vt:lpstr>Energy Prices</vt:lpstr>
      <vt:lpstr>Data1</vt:lpstr>
      <vt:lpstr>Data2</vt:lpstr>
      <vt:lpstr>Enquiries</vt:lpstr>
      <vt:lpstr>A2325846C</vt:lpstr>
      <vt:lpstr>A2325846C_Data</vt:lpstr>
      <vt:lpstr>A2325846C_Latest</vt:lpstr>
      <vt:lpstr>A2325850V</vt:lpstr>
      <vt:lpstr>A2325850V_Data</vt:lpstr>
      <vt:lpstr>A2325850V_Latest</vt:lpstr>
      <vt:lpstr>A2325891R</vt:lpstr>
      <vt:lpstr>A2325891R_Data</vt:lpstr>
      <vt:lpstr>A2325891R_Latest</vt:lpstr>
      <vt:lpstr>A2325895X</vt:lpstr>
      <vt:lpstr>A2325895X_Data</vt:lpstr>
      <vt:lpstr>A2325895X_Latest</vt:lpstr>
      <vt:lpstr>A2325936J</vt:lpstr>
      <vt:lpstr>A2325936J_Data</vt:lpstr>
      <vt:lpstr>A2325936J_Latest</vt:lpstr>
      <vt:lpstr>A2325940X</vt:lpstr>
      <vt:lpstr>A2325940X_Data</vt:lpstr>
      <vt:lpstr>A2325940X_Latest</vt:lpstr>
      <vt:lpstr>A2325981V</vt:lpstr>
      <vt:lpstr>A2325981V_Data</vt:lpstr>
      <vt:lpstr>A2325981V_Latest</vt:lpstr>
      <vt:lpstr>A2325985C</vt:lpstr>
      <vt:lpstr>A2325985C_Data</vt:lpstr>
      <vt:lpstr>A2325985C_Latest</vt:lpstr>
      <vt:lpstr>A2326026R</vt:lpstr>
      <vt:lpstr>A2326026R_Data</vt:lpstr>
      <vt:lpstr>A2326026R_Latest</vt:lpstr>
      <vt:lpstr>A2326030F</vt:lpstr>
      <vt:lpstr>A2326030F_Data</vt:lpstr>
      <vt:lpstr>A2326030F_Latest</vt:lpstr>
      <vt:lpstr>A2326071A</vt:lpstr>
      <vt:lpstr>A2326071A_Data</vt:lpstr>
      <vt:lpstr>A2326071A_Latest</vt:lpstr>
      <vt:lpstr>A2326075K</vt:lpstr>
      <vt:lpstr>A2326075K_Data</vt:lpstr>
      <vt:lpstr>A2326075K_Latest</vt:lpstr>
      <vt:lpstr>A2326116V</vt:lpstr>
      <vt:lpstr>A2326116V_Data</vt:lpstr>
      <vt:lpstr>A2326116V_Latest</vt:lpstr>
      <vt:lpstr>A2326120K</vt:lpstr>
      <vt:lpstr>A2326120K_Data</vt:lpstr>
      <vt:lpstr>A2326120K_Latest</vt:lpstr>
      <vt:lpstr>A2326161F</vt:lpstr>
      <vt:lpstr>A2326161F_Data</vt:lpstr>
      <vt:lpstr>A2326161F_Latest</vt:lpstr>
      <vt:lpstr>A2326165R</vt:lpstr>
      <vt:lpstr>A2326165R_Data</vt:lpstr>
      <vt:lpstr>A2326165R_Latest</vt:lpstr>
      <vt:lpstr>A2326206X</vt:lpstr>
      <vt:lpstr>A2326206X_Data</vt:lpstr>
      <vt:lpstr>A2326206X_Latest</vt:lpstr>
      <vt:lpstr>A2326210R</vt:lpstr>
      <vt:lpstr>A2326210R_Data</vt:lpstr>
      <vt:lpstr>A2326210R_Latest</vt:lpstr>
      <vt:lpstr>A2326251K</vt:lpstr>
      <vt:lpstr>A2326251K_Data</vt:lpstr>
      <vt:lpstr>A2326251K_Latest</vt:lpstr>
      <vt:lpstr>A2326255V</vt:lpstr>
      <vt:lpstr>A2326255V_Data</vt:lpstr>
      <vt:lpstr>A2326255V_Latest</vt:lpstr>
      <vt:lpstr>A2326296R</vt:lpstr>
      <vt:lpstr>A2326296R_Data</vt:lpstr>
      <vt:lpstr>A2326296R_Latest</vt:lpstr>
      <vt:lpstr>A2326300V</vt:lpstr>
      <vt:lpstr>A2326300V_Data</vt:lpstr>
      <vt:lpstr>A2326300V_Latest</vt:lpstr>
      <vt:lpstr>A2326386V</vt:lpstr>
      <vt:lpstr>A2326386V_Data</vt:lpstr>
      <vt:lpstr>A2326386V_Latest</vt:lpstr>
      <vt:lpstr>A2326390K</vt:lpstr>
      <vt:lpstr>A2326390K_Data</vt:lpstr>
      <vt:lpstr>A2326390K_Latest</vt:lpstr>
      <vt:lpstr>A2326431V</vt:lpstr>
      <vt:lpstr>A2326431V_Data</vt:lpstr>
      <vt:lpstr>A2326431V_Latest</vt:lpstr>
      <vt:lpstr>A2326435C</vt:lpstr>
      <vt:lpstr>A2326435C_Data</vt:lpstr>
      <vt:lpstr>A2326435C_Latest</vt:lpstr>
      <vt:lpstr>A2326521X</vt:lpstr>
      <vt:lpstr>A2326521X_Data</vt:lpstr>
      <vt:lpstr>A2326521X_Latest</vt:lpstr>
      <vt:lpstr>A2326525J</vt:lpstr>
      <vt:lpstr>A2326525J_Data</vt:lpstr>
      <vt:lpstr>A2326525J_Latest</vt:lpstr>
      <vt:lpstr>A2326611C</vt:lpstr>
      <vt:lpstr>A2326611C_Data</vt:lpstr>
      <vt:lpstr>A2326611C_Latest</vt:lpstr>
      <vt:lpstr>A2326615L</vt:lpstr>
      <vt:lpstr>A2326615L_Data</vt:lpstr>
      <vt:lpstr>A2326615L_Latest</vt:lpstr>
      <vt:lpstr>A2326656J</vt:lpstr>
      <vt:lpstr>A2326656J_Data</vt:lpstr>
      <vt:lpstr>A2326656J_Latest</vt:lpstr>
      <vt:lpstr>A2326660X</vt:lpstr>
      <vt:lpstr>A2326660X_Data</vt:lpstr>
      <vt:lpstr>A2326660X_Latest</vt:lpstr>
      <vt:lpstr>A2326701J</vt:lpstr>
      <vt:lpstr>A2326701J_Data</vt:lpstr>
      <vt:lpstr>A2326701J_Latest</vt:lpstr>
      <vt:lpstr>A2326705T</vt:lpstr>
      <vt:lpstr>A2326705T_Data</vt:lpstr>
      <vt:lpstr>A2326705T_Latest</vt:lpstr>
      <vt:lpstr>A2326746L</vt:lpstr>
      <vt:lpstr>A2326746L_Data</vt:lpstr>
      <vt:lpstr>A2326746L_Latest</vt:lpstr>
      <vt:lpstr>A2326750C</vt:lpstr>
      <vt:lpstr>A2326750C_Data</vt:lpstr>
      <vt:lpstr>A2326750C_Latest</vt:lpstr>
      <vt:lpstr>A2326791X</vt:lpstr>
      <vt:lpstr>A2326791X_Data</vt:lpstr>
      <vt:lpstr>A2326791X_Latest</vt:lpstr>
      <vt:lpstr>A2326795J</vt:lpstr>
      <vt:lpstr>A2326795J_Data</vt:lpstr>
      <vt:lpstr>A2326795J_Latest</vt:lpstr>
      <vt:lpstr>A2326881C</vt:lpstr>
      <vt:lpstr>A2326881C_Data</vt:lpstr>
      <vt:lpstr>A2326881C_Latest</vt:lpstr>
      <vt:lpstr>A2326885L</vt:lpstr>
      <vt:lpstr>A2326885L_Data</vt:lpstr>
      <vt:lpstr>A2326885L_Latest</vt:lpstr>
      <vt:lpstr>A2326926W</vt:lpstr>
      <vt:lpstr>A2326926W_Data</vt:lpstr>
      <vt:lpstr>A2326926W_Latest</vt:lpstr>
      <vt:lpstr>A2326930L</vt:lpstr>
      <vt:lpstr>A2326930L_Data</vt:lpstr>
      <vt:lpstr>A2326930L_Latest</vt:lpstr>
      <vt:lpstr>A2326971J</vt:lpstr>
      <vt:lpstr>A2326971J_Data</vt:lpstr>
      <vt:lpstr>A2326971J_Latest</vt:lpstr>
      <vt:lpstr>A2326975T</vt:lpstr>
      <vt:lpstr>A2326975T_Data</vt:lpstr>
      <vt:lpstr>A2326975T_Latest</vt:lpstr>
      <vt:lpstr>A2327016C</vt:lpstr>
      <vt:lpstr>A2327016C_Data</vt:lpstr>
      <vt:lpstr>A2327016C_Latest</vt:lpstr>
      <vt:lpstr>A2327020V</vt:lpstr>
      <vt:lpstr>A2327020V_Data</vt:lpstr>
      <vt:lpstr>A2327020V_Latest</vt:lpstr>
      <vt:lpstr>A2327061R</vt:lpstr>
      <vt:lpstr>A2327061R_Data</vt:lpstr>
      <vt:lpstr>A2327061R_Latest</vt:lpstr>
      <vt:lpstr>A2327065X</vt:lpstr>
      <vt:lpstr>A2327065X_Data</vt:lpstr>
      <vt:lpstr>A2327065X_Latest</vt:lpstr>
      <vt:lpstr>A2327106J</vt:lpstr>
      <vt:lpstr>A2327106J_Data</vt:lpstr>
      <vt:lpstr>A2327106J_Latest</vt:lpstr>
      <vt:lpstr>A2327110X</vt:lpstr>
      <vt:lpstr>A2327110X_Data</vt:lpstr>
      <vt:lpstr>A2327110X_Latest</vt:lpstr>
      <vt:lpstr>A2327151V</vt:lpstr>
      <vt:lpstr>A2327151V_Data</vt:lpstr>
      <vt:lpstr>A2327151V_Latest</vt:lpstr>
      <vt:lpstr>A2327155C</vt:lpstr>
      <vt:lpstr>A2327155C_Data</vt:lpstr>
      <vt:lpstr>A2327155C_Latest</vt:lpstr>
      <vt:lpstr>A2327196X</vt:lpstr>
      <vt:lpstr>A2327196X_Data</vt:lpstr>
      <vt:lpstr>A2327196X_Latest</vt:lpstr>
      <vt:lpstr>A2327200C</vt:lpstr>
      <vt:lpstr>A2327200C_Data</vt:lpstr>
      <vt:lpstr>A2327200C_Latest</vt:lpstr>
      <vt:lpstr>A2327241X</vt:lpstr>
      <vt:lpstr>A2327241X_Data</vt:lpstr>
      <vt:lpstr>A2327241X_Latest</vt:lpstr>
      <vt:lpstr>A2327245J</vt:lpstr>
      <vt:lpstr>A2327245J_Data</vt:lpstr>
      <vt:lpstr>A2327245J_Latest</vt:lpstr>
      <vt:lpstr>A2327286C</vt:lpstr>
      <vt:lpstr>A2327286C_Data</vt:lpstr>
      <vt:lpstr>A2327286C_Latest</vt:lpstr>
      <vt:lpstr>A2327290V</vt:lpstr>
      <vt:lpstr>A2327290V_Data</vt:lpstr>
      <vt:lpstr>A2327290V_Latest</vt:lpstr>
      <vt:lpstr>A2327376J</vt:lpstr>
      <vt:lpstr>A2327376J_Data</vt:lpstr>
      <vt:lpstr>A2327376J_Latest</vt:lpstr>
      <vt:lpstr>A2327380X</vt:lpstr>
      <vt:lpstr>A2327380X_Data</vt:lpstr>
      <vt:lpstr>A2327380X_Latest</vt:lpstr>
      <vt:lpstr>A2327466L</vt:lpstr>
      <vt:lpstr>A2327466L_Data</vt:lpstr>
      <vt:lpstr>A2327466L_Latest</vt:lpstr>
      <vt:lpstr>A2327470C</vt:lpstr>
      <vt:lpstr>A2327470C_Data</vt:lpstr>
      <vt:lpstr>A2327470C_Latest</vt:lpstr>
      <vt:lpstr>A2327511L</vt:lpstr>
      <vt:lpstr>A2327511L_Data</vt:lpstr>
      <vt:lpstr>A2327511L_Latest</vt:lpstr>
      <vt:lpstr>A2327515W</vt:lpstr>
      <vt:lpstr>A2327515W_Data</vt:lpstr>
      <vt:lpstr>A2327515W_Latest</vt:lpstr>
      <vt:lpstr>A2327556T</vt:lpstr>
      <vt:lpstr>A2327556T_Data</vt:lpstr>
      <vt:lpstr>A2327556T_Latest</vt:lpstr>
      <vt:lpstr>A2327560J</vt:lpstr>
      <vt:lpstr>A2327560J_Data</vt:lpstr>
      <vt:lpstr>A2327560J_Latest</vt:lpstr>
      <vt:lpstr>A2327601T</vt:lpstr>
      <vt:lpstr>A2327601T_Data</vt:lpstr>
      <vt:lpstr>A2327601T_Latest</vt:lpstr>
      <vt:lpstr>A2327605A</vt:lpstr>
      <vt:lpstr>A2327605A_Data</vt:lpstr>
      <vt:lpstr>A2327605A_Latest</vt:lpstr>
      <vt:lpstr>A2327646W</vt:lpstr>
      <vt:lpstr>A2327646W_Data</vt:lpstr>
      <vt:lpstr>A2327646W_Latest</vt:lpstr>
      <vt:lpstr>A2327650L</vt:lpstr>
      <vt:lpstr>A2327650L_Data</vt:lpstr>
      <vt:lpstr>A2327650L_Latest</vt:lpstr>
      <vt:lpstr>A2327691J</vt:lpstr>
      <vt:lpstr>A2327691J_Data</vt:lpstr>
      <vt:lpstr>A2327691J_Latest</vt:lpstr>
      <vt:lpstr>A2327695T</vt:lpstr>
      <vt:lpstr>A2327695T_Data</vt:lpstr>
      <vt:lpstr>A2327695T_Latest</vt:lpstr>
      <vt:lpstr>A2327736A</vt:lpstr>
      <vt:lpstr>A2327736A_Data</vt:lpstr>
      <vt:lpstr>A2327736A_Latest</vt:lpstr>
      <vt:lpstr>A2327740T</vt:lpstr>
      <vt:lpstr>A2327740T_Data</vt:lpstr>
      <vt:lpstr>A2327740T_Latest</vt:lpstr>
      <vt:lpstr>A2327781L</vt:lpstr>
      <vt:lpstr>A2327781L_Data</vt:lpstr>
      <vt:lpstr>A2327781L_Latest</vt:lpstr>
      <vt:lpstr>A2327785W</vt:lpstr>
      <vt:lpstr>A2327785W_Data</vt:lpstr>
      <vt:lpstr>A2327785W_Latest</vt:lpstr>
      <vt:lpstr>A2327916K</vt:lpstr>
      <vt:lpstr>A2327916K_Data</vt:lpstr>
      <vt:lpstr>A2327916K_Latest</vt:lpstr>
      <vt:lpstr>A2327920A</vt:lpstr>
      <vt:lpstr>A2327920A_Data</vt:lpstr>
      <vt:lpstr>A2327920A_Latest</vt:lpstr>
      <vt:lpstr>A2327961W</vt:lpstr>
      <vt:lpstr>A2327961W_Data</vt:lpstr>
      <vt:lpstr>A2327961W_Latest</vt:lpstr>
      <vt:lpstr>A2327965F</vt:lpstr>
      <vt:lpstr>A2327965F_Data</vt:lpstr>
      <vt:lpstr>A2327965F_Latest</vt:lpstr>
      <vt:lpstr>A2328006T</vt:lpstr>
      <vt:lpstr>A2328006T_Data</vt:lpstr>
      <vt:lpstr>A2328006T_Latest</vt:lpstr>
      <vt:lpstr>A2328010J</vt:lpstr>
      <vt:lpstr>A2328010J_Data</vt:lpstr>
      <vt:lpstr>A2328010J_Latest</vt:lpstr>
      <vt:lpstr>A2328051C</vt:lpstr>
      <vt:lpstr>A2328051C_Data</vt:lpstr>
      <vt:lpstr>A2328051C_Latest</vt:lpstr>
      <vt:lpstr>A2328055L</vt:lpstr>
      <vt:lpstr>A2328055L_Data</vt:lpstr>
      <vt:lpstr>A2328055L_Latest</vt:lpstr>
      <vt:lpstr>A2328096J</vt:lpstr>
      <vt:lpstr>A2328096J_Data</vt:lpstr>
      <vt:lpstr>A2328096J_Latest</vt:lpstr>
      <vt:lpstr>A2328100L</vt:lpstr>
      <vt:lpstr>A2328100L_Data</vt:lpstr>
      <vt:lpstr>A2328100L_Latest</vt:lpstr>
      <vt:lpstr>A2328141J</vt:lpstr>
      <vt:lpstr>A2328141J_Data</vt:lpstr>
      <vt:lpstr>A2328141J_Latest</vt:lpstr>
      <vt:lpstr>A2328145T</vt:lpstr>
      <vt:lpstr>A2328145T_Data</vt:lpstr>
      <vt:lpstr>A2328145T_Latest</vt:lpstr>
      <vt:lpstr>A2328186L</vt:lpstr>
      <vt:lpstr>A2328186L_Data</vt:lpstr>
      <vt:lpstr>A2328186L_Latest</vt:lpstr>
      <vt:lpstr>A2328190C</vt:lpstr>
      <vt:lpstr>A2328190C_Data</vt:lpstr>
      <vt:lpstr>A2328190C_Latest</vt:lpstr>
      <vt:lpstr>A2328276T</vt:lpstr>
      <vt:lpstr>A2328276T_Data</vt:lpstr>
      <vt:lpstr>A2328276T_Latest</vt:lpstr>
      <vt:lpstr>A2328280J</vt:lpstr>
      <vt:lpstr>A2328280J_Data</vt:lpstr>
      <vt:lpstr>A2328280J_Latest</vt:lpstr>
      <vt:lpstr>A2328321T</vt:lpstr>
      <vt:lpstr>A2328321T_Data</vt:lpstr>
      <vt:lpstr>A2328321T_Latest</vt:lpstr>
      <vt:lpstr>A2328325A</vt:lpstr>
      <vt:lpstr>A2328325A_Data</vt:lpstr>
      <vt:lpstr>A2328325A_Latest</vt:lpstr>
      <vt:lpstr>A2328366W</vt:lpstr>
      <vt:lpstr>A2328366W_Data</vt:lpstr>
      <vt:lpstr>A2328366W_Latest</vt:lpstr>
      <vt:lpstr>A2328370L</vt:lpstr>
      <vt:lpstr>A2328370L_Data</vt:lpstr>
      <vt:lpstr>A2328370L_Latest</vt:lpstr>
      <vt:lpstr>A2328411W</vt:lpstr>
      <vt:lpstr>A2328411W_Data</vt:lpstr>
      <vt:lpstr>A2328411W_Latest</vt:lpstr>
      <vt:lpstr>A2328415F</vt:lpstr>
      <vt:lpstr>A2328415F_Data</vt:lpstr>
      <vt:lpstr>A2328415F_Latest</vt:lpstr>
      <vt:lpstr>A2328456A</vt:lpstr>
      <vt:lpstr>A2328456A_Data</vt:lpstr>
      <vt:lpstr>A2328456A_Latest</vt:lpstr>
      <vt:lpstr>A2328460T</vt:lpstr>
      <vt:lpstr>A2328460T_Data</vt:lpstr>
      <vt:lpstr>A2328460T_Latest</vt:lpstr>
      <vt:lpstr>A2328501A</vt:lpstr>
      <vt:lpstr>A2328501A_Data</vt:lpstr>
      <vt:lpstr>A2328501A_Latest</vt:lpstr>
      <vt:lpstr>A2328505K</vt:lpstr>
      <vt:lpstr>A2328505K_Data</vt:lpstr>
      <vt:lpstr>A2328505K_Latest</vt:lpstr>
      <vt:lpstr>A2328546F</vt:lpstr>
      <vt:lpstr>A2328546F_Data</vt:lpstr>
      <vt:lpstr>A2328546F_Latest</vt:lpstr>
      <vt:lpstr>A2328550W</vt:lpstr>
      <vt:lpstr>A2328550W_Data</vt:lpstr>
      <vt:lpstr>A2328550W_Latest</vt:lpstr>
      <vt:lpstr>A2328591T</vt:lpstr>
      <vt:lpstr>A2328591T_Data</vt:lpstr>
      <vt:lpstr>A2328591T_Latest</vt:lpstr>
      <vt:lpstr>A2328595A</vt:lpstr>
      <vt:lpstr>A2328595A_Data</vt:lpstr>
      <vt:lpstr>A2328595A_Latest</vt:lpstr>
      <vt:lpstr>A2328636K</vt:lpstr>
      <vt:lpstr>A2328636K_Data</vt:lpstr>
      <vt:lpstr>A2328636K_Latest</vt:lpstr>
      <vt:lpstr>A2328640A</vt:lpstr>
      <vt:lpstr>A2328640A_Data</vt:lpstr>
      <vt:lpstr>A2328640A_Latest</vt:lpstr>
      <vt:lpstr>A2328681W</vt:lpstr>
      <vt:lpstr>A2328681W_Data</vt:lpstr>
      <vt:lpstr>A2328681W_Latest</vt:lpstr>
      <vt:lpstr>A2328685F</vt:lpstr>
      <vt:lpstr>A2328685F_Data</vt:lpstr>
      <vt:lpstr>A2328685F_Latest</vt:lpstr>
      <vt:lpstr>A2328726R</vt:lpstr>
      <vt:lpstr>A2328726R_Data</vt:lpstr>
      <vt:lpstr>A2328726R_Latest</vt:lpstr>
      <vt:lpstr>A2328730F</vt:lpstr>
      <vt:lpstr>A2328730F_Data</vt:lpstr>
      <vt:lpstr>A2328730F_Latest</vt:lpstr>
      <vt:lpstr>A2328771A</vt:lpstr>
      <vt:lpstr>A2328771A_Data</vt:lpstr>
      <vt:lpstr>A2328771A_Latest</vt:lpstr>
      <vt:lpstr>A2328775K</vt:lpstr>
      <vt:lpstr>A2328775K_Data</vt:lpstr>
      <vt:lpstr>A2328775K_Latest</vt:lpstr>
      <vt:lpstr>A2328816V</vt:lpstr>
      <vt:lpstr>A2328816V_Data</vt:lpstr>
      <vt:lpstr>A2328816V_Latest</vt:lpstr>
      <vt:lpstr>A2328820K</vt:lpstr>
      <vt:lpstr>A2328820K_Data</vt:lpstr>
      <vt:lpstr>A2328820K_Latest</vt:lpstr>
      <vt:lpstr>A2328861F</vt:lpstr>
      <vt:lpstr>A2328861F_Data</vt:lpstr>
      <vt:lpstr>A2328861F_Latest</vt:lpstr>
      <vt:lpstr>A2328865R</vt:lpstr>
      <vt:lpstr>A2328865R_Data</vt:lpstr>
      <vt:lpstr>A2328865R_Latest</vt:lpstr>
      <vt:lpstr>A2328906X</vt:lpstr>
      <vt:lpstr>A2328906X_Data</vt:lpstr>
      <vt:lpstr>A2328906X_Latest</vt:lpstr>
      <vt:lpstr>A2328910R</vt:lpstr>
      <vt:lpstr>A2328910R_Data</vt:lpstr>
      <vt:lpstr>A2328910R_Latest</vt:lpstr>
      <vt:lpstr>A2328951K</vt:lpstr>
      <vt:lpstr>A2328951K_Data</vt:lpstr>
      <vt:lpstr>A2328951K_Latest</vt:lpstr>
      <vt:lpstr>A2328955V</vt:lpstr>
      <vt:lpstr>A2328955V_Data</vt:lpstr>
      <vt:lpstr>A2328955V_Latest</vt:lpstr>
      <vt:lpstr>A2328996R</vt:lpstr>
      <vt:lpstr>A2328996R_Data</vt:lpstr>
      <vt:lpstr>A2328996R_Latest</vt:lpstr>
      <vt:lpstr>A2329000W</vt:lpstr>
      <vt:lpstr>A2329000W_Data</vt:lpstr>
      <vt:lpstr>A2329000W_Latest</vt:lpstr>
      <vt:lpstr>A2329041T</vt:lpstr>
      <vt:lpstr>A2329041T_Data</vt:lpstr>
      <vt:lpstr>A2329041T_Latest</vt:lpstr>
      <vt:lpstr>A2329045A</vt:lpstr>
      <vt:lpstr>A2329045A_Data</vt:lpstr>
      <vt:lpstr>A2329045A_Latest</vt:lpstr>
      <vt:lpstr>A2329086W</vt:lpstr>
      <vt:lpstr>A2329086W_Data</vt:lpstr>
      <vt:lpstr>A2329086W_Latest</vt:lpstr>
      <vt:lpstr>A2329090L</vt:lpstr>
      <vt:lpstr>A2329090L_Data</vt:lpstr>
      <vt:lpstr>A2329090L_Latest</vt:lpstr>
      <vt:lpstr>A2329131W</vt:lpstr>
      <vt:lpstr>A2329131W_Data</vt:lpstr>
      <vt:lpstr>A2329131W_Latest</vt:lpstr>
      <vt:lpstr>A2329135F</vt:lpstr>
      <vt:lpstr>A2329135F_Data</vt:lpstr>
      <vt:lpstr>A2329135F_Latest</vt:lpstr>
      <vt:lpstr>A2329176A</vt:lpstr>
      <vt:lpstr>A2329176A_Data</vt:lpstr>
      <vt:lpstr>A2329176A_Latest</vt:lpstr>
      <vt:lpstr>A2329180T</vt:lpstr>
      <vt:lpstr>A2329180T_Data</vt:lpstr>
      <vt:lpstr>A2329180T_Latest</vt:lpstr>
      <vt:lpstr>A2329221A</vt:lpstr>
      <vt:lpstr>A2329221A_Data</vt:lpstr>
      <vt:lpstr>A2329221A_Latest</vt:lpstr>
      <vt:lpstr>A2329225K</vt:lpstr>
      <vt:lpstr>A2329225K_Data</vt:lpstr>
      <vt:lpstr>A2329225K_Latest</vt:lpstr>
      <vt:lpstr>A2329266F</vt:lpstr>
      <vt:lpstr>A2329266F_Data</vt:lpstr>
      <vt:lpstr>A2329266F_Latest</vt:lpstr>
      <vt:lpstr>A2329270W</vt:lpstr>
      <vt:lpstr>A2329270W_Data</vt:lpstr>
      <vt:lpstr>A2329270W_Latest</vt:lpstr>
      <vt:lpstr>A2329311F</vt:lpstr>
      <vt:lpstr>A2329311F_Data</vt:lpstr>
      <vt:lpstr>A2329311F_Latest</vt:lpstr>
      <vt:lpstr>A2329315R</vt:lpstr>
      <vt:lpstr>A2329315R_Data</vt:lpstr>
      <vt:lpstr>A2329315R_Latest</vt:lpstr>
      <vt:lpstr>A2329356K</vt:lpstr>
      <vt:lpstr>A2329356K_Data</vt:lpstr>
      <vt:lpstr>A2329356K_Latest</vt:lpstr>
      <vt:lpstr>A2329360A</vt:lpstr>
      <vt:lpstr>A2329360A_Data</vt:lpstr>
      <vt:lpstr>A2329360A_Latest</vt:lpstr>
      <vt:lpstr>A2329401K</vt:lpstr>
      <vt:lpstr>A2329401K_Data</vt:lpstr>
      <vt:lpstr>A2329401K_Latest</vt:lpstr>
      <vt:lpstr>A2329405V</vt:lpstr>
      <vt:lpstr>A2329405V_Data</vt:lpstr>
      <vt:lpstr>A2329405V_Latest</vt:lpstr>
      <vt:lpstr>A2329446R</vt:lpstr>
      <vt:lpstr>A2329446R_Data</vt:lpstr>
      <vt:lpstr>A2329446R_Latest</vt:lpstr>
      <vt:lpstr>A2329450F</vt:lpstr>
      <vt:lpstr>A2329450F_Data</vt:lpstr>
      <vt:lpstr>A2329450F_Latest</vt:lpstr>
      <vt:lpstr>A2329491A</vt:lpstr>
      <vt:lpstr>A2329491A_Data</vt:lpstr>
      <vt:lpstr>A2329491A_Latest</vt:lpstr>
      <vt:lpstr>A2329495K</vt:lpstr>
      <vt:lpstr>A2329495K_Data</vt:lpstr>
      <vt:lpstr>A2329495K_Latest</vt:lpstr>
      <vt:lpstr>A2329536V</vt:lpstr>
      <vt:lpstr>A2329536V_Data</vt:lpstr>
      <vt:lpstr>A2329536V_Latest</vt:lpstr>
      <vt:lpstr>A2329540K</vt:lpstr>
      <vt:lpstr>A2329540K_Data</vt:lpstr>
      <vt:lpstr>A2329540K_Latest</vt:lpstr>
      <vt:lpstr>A2329581F</vt:lpstr>
      <vt:lpstr>A2329581F_Data</vt:lpstr>
      <vt:lpstr>A2329581F_Latest</vt:lpstr>
      <vt:lpstr>A2329585R</vt:lpstr>
      <vt:lpstr>A2329585R_Data</vt:lpstr>
      <vt:lpstr>A2329585R_Latest</vt:lpstr>
      <vt:lpstr>A2329716C</vt:lpstr>
      <vt:lpstr>A2329716C_Data</vt:lpstr>
      <vt:lpstr>A2329716C_Latest</vt:lpstr>
      <vt:lpstr>A2329720V</vt:lpstr>
      <vt:lpstr>A2329720V_Data</vt:lpstr>
      <vt:lpstr>A2329720V_Latest</vt:lpstr>
      <vt:lpstr>A2329761R</vt:lpstr>
      <vt:lpstr>A2329761R_Data</vt:lpstr>
      <vt:lpstr>A2329761R_Latest</vt:lpstr>
      <vt:lpstr>A2329765X</vt:lpstr>
      <vt:lpstr>A2329765X_Data</vt:lpstr>
      <vt:lpstr>A2329765X_Latest</vt:lpstr>
      <vt:lpstr>A2329806J</vt:lpstr>
      <vt:lpstr>A2329806J_Data</vt:lpstr>
      <vt:lpstr>A2329806J_Latest</vt:lpstr>
      <vt:lpstr>A2329810X</vt:lpstr>
      <vt:lpstr>A2329810X_Data</vt:lpstr>
      <vt:lpstr>A2329810X_Latest</vt:lpstr>
      <vt:lpstr>A2329851V</vt:lpstr>
      <vt:lpstr>A2329851V_Data</vt:lpstr>
      <vt:lpstr>A2329851V_Latest</vt:lpstr>
      <vt:lpstr>A2329855C</vt:lpstr>
      <vt:lpstr>A2329855C_Data</vt:lpstr>
      <vt:lpstr>A2329855C_Latest</vt:lpstr>
      <vt:lpstr>A2329896X</vt:lpstr>
      <vt:lpstr>A2329896X_Data</vt:lpstr>
      <vt:lpstr>A2329896X_Latest</vt:lpstr>
      <vt:lpstr>A2329900C</vt:lpstr>
      <vt:lpstr>A2329900C_Data</vt:lpstr>
      <vt:lpstr>A2329900C_Latest</vt:lpstr>
      <vt:lpstr>A2329941X</vt:lpstr>
      <vt:lpstr>A2329941X_Data</vt:lpstr>
      <vt:lpstr>A2329941X_Latest</vt:lpstr>
      <vt:lpstr>A2329945J</vt:lpstr>
      <vt:lpstr>A2329945J_Data</vt:lpstr>
      <vt:lpstr>A2329945J_Latest</vt:lpstr>
      <vt:lpstr>A2329986C</vt:lpstr>
      <vt:lpstr>A2329986C_Data</vt:lpstr>
      <vt:lpstr>A2329986C_Latest</vt:lpstr>
      <vt:lpstr>A2329990V</vt:lpstr>
      <vt:lpstr>A2329990V_Data</vt:lpstr>
      <vt:lpstr>A2329990V_Latest</vt:lpstr>
      <vt:lpstr>A2330031K</vt:lpstr>
      <vt:lpstr>A2330031K_Data</vt:lpstr>
      <vt:lpstr>A2330031K_Latest</vt:lpstr>
      <vt:lpstr>A2330035V</vt:lpstr>
      <vt:lpstr>A2330035V_Data</vt:lpstr>
      <vt:lpstr>A2330035V_Latest</vt:lpstr>
      <vt:lpstr>A2330076R</vt:lpstr>
      <vt:lpstr>A2330076R_Data</vt:lpstr>
      <vt:lpstr>A2330076R_Latest</vt:lpstr>
      <vt:lpstr>A2330080F</vt:lpstr>
      <vt:lpstr>A2330080F_Data</vt:lpstr>
      <vt:lpstr>A2330080F_Latest</vt:lpstr>
      <vt:lpstr>A2330121R</vt:lpstr>
      <vt:lpstr>A2330121R_Data</vt:lpstr>
      <vt:lpstr>A2330121R_Latest</vt:lpstr>
      <vt:lpstr>A2330125X</vt:lpstr>
      <vt:lpstr>A2330125X_Data</vt:lpstr>
      <vt:lpstr>A2330125X_Latest</vt:lpstr>
      <vt:lpstr>A2330166V</vt:lpstr>
      <vt:lpstr>A2330166V_Data</vt:lpstr>
      <vt:lpstr>A2330166V_Latest</vt:lpstr>
      <vt:lpstr>A2330170K</vt:lpstr>
      <vt:lpstr>A2330170K_Data</vt:lpstr>
      <vt:lpstr>A2330170K_Latest</vt:lpstr>
      <vt:lpstr>A2330211V</vt:lpstr>
      <vt:lpstr>A2330211V_Data</vt:lpstr>
      <vt:lpstr>A2330211V_Latest</vt:lpstr>
      <vt:lpstr>A2330215C</vt:lpstr>
      <vt:lpstr>A2330215C_Data</vt:lpstr>
      <vt:lpstr>A2330215C_Latest</vt:lpstr>
      <vt:lpstr>A2330346C</vt:lpstr>
      <vt:lpstr>A2330346C_Data</vt:lpstr>
      <vt:lpstr>A2330346C_Latest</vt:lpstr>
      <vt:lpstr>A2330350V</vt:lpstr>
      <vt:lpstr>A2330350V_Data</vt:lpstr>
      <vt:lpstr>A2330350V_Latest</vt:lpstr>
      <vt:lpstr>A2330391R</vt:lpstr>
      <vt:lpstr>A2330391R_Data</vt:lpstr>
      <vt:lpstr>A2330391R_Latest</vt:lpstr>
      <vt:lpstr>A2330395X</vt:lpstr>
      <vt:lpstr>A2330395X_Data</vt:lpstr>
      <vt:lpstr>A2330395X_Latest</vt:lpstr>
      <vt:lpstr>A2330436J</vt:lpstr>
      <vt:lpstr>A2330436J_Data</vt:lpstr>
      <vt:lpstr>A2330436J_Latest</vt:lpstr>
      <vt:lpstr>A2330440X</vt:lpstr>
      <vt:lpstr>A2330440X_Data</vt:lpstr>
      <vt:lpstr>A2330440X_Latest</vt:lpstr>
      <vt:lpstr>A2330481V</vt:lpstr>
      <vt:lpstr>A2330481V_Data</vt:lpstr>
      <vt:lpstr>A2330481V_Latest</vt:lpstr>
      <vt:lpstr>A2330485C</vt:lpstr>
      <vt:lpstr>A2330485C_Data</vt:lpstr>
      <vt:lpstr>A2330485C_Latest</vt:lpstr>
      <vt:lpstr>A2330886T</vt:lpstr>
      <vt:lpstr>A2330886T_Data</vt:lpstr>
      <vt:lpstr>A2330886T_Latest</vt:lpstr>
      <vt:lpstr>A2330890J</vt:lpstr>
      <vt:lpstr>A2330890J_Data</vt:lpstr>
      <vt:lpstr>A2330890J_Latest</vt:lpstr>
      <vt:lpstr>A2330931T</vt:lpstr>
      <vt:lpstr>A2330931T_Data</vt:lpstr>
      <vt:lpstr>A2330931T_Latest</vt:lpstr>
      <vt:lpstr>A2330935A</vt:lpstr>
      <vt:lpstr>A2330935A_Data</vt:lpstr>
      <vt:lpstr>A2330935A_Latest</vt:lpstr>
      <vt:lpstr>A2330976W</vt:lpstr>
      <vt:lpstr>A2330976W_Data</vt:lpstr>
      <vt:lpstr>A2330976W_Latest</vt:lpstr>
      <vt:lpstr>A2330980L</vt:lpstr>
      <vt:lpstr>A2330980L_Data</vt:lpstr>
      <vt:lpstr>A2330980L_Latest</vt:lpstr>
      <vt:lpstr>A2331021X</vt:lpstr>
      <vt:lpstr>A2331021X_Data</vt:lpstr>
      <vt:lpstr>A2331021X_Latest</vt:lpstr>
      <vt:lpstr>A2331025J</vt:lpstr>
      <vt:lpstr>A2331025J_Data</vt:lpstr>
      <vt:lpstr>A2331025J_Latest</vt:lpstr>
      <vt:lpstr>A2331066C</vt:lpstr>
      <vt:lpstr>A2331066C_Data</vt:lpstr>
      <vt:lpstr>A2331066C_Latest</vt:lpstr>
      <vt:lpstr>A2331070V</vt:lpstr>
      <vt:lpstr>A2331070V_Data</vt:lpstr>
      <vt:lpstr>A2331070V_Latest</vt:lpstr>
      <vt:lpstr>A2331111C</vt:lpstr>
      <vt:lpstr>A2331111C_Data</vt:lpstr>
      <vt:lpstr>A2331111C_Latest</vt:lpstr>
      <vt:lpstr>A2331115L</vt:lpstr>
      <vt:lpstr>A2331115L_Data</vt:lpstr>
      <vt:lpstr>A2331115L_Latest</vt:lpstr>
      <vt:lpstr>A2331201J</vt:lpstr>
      <vt:lpstr>A2331201J_Data</vt:lpstr>
      <vt:lpstr>A2331201J_Latest</vt:lpstr>
      <vt:lpstr>A2331205T</vt:lpstr>
      <vt:lpstr>A2331205T_Data</vt:lpstr>
      <vt:lpstr>A2331205T_Latest</vt:lpstr>
      <vt:lpstr>A2331246L</vt:lpstr>
      <vt:lpstr>A2331246L_Data</vt:lpstr>
      <vt:lpstr>A2331246L_Latest</vt:lpstr>
      <vt:lpstr>A2331250C</vt:lpstr>
      <vt:lpstr>A2331250C_Data</vt:lpstr>
      <vt:lpstr>A2331250C_Latest</vt:lpstr>
      <vt:lpstr>A2331381C</vt:lpstr>
      <vt:lpstr>A2331381C_Data</vt:lpstr>
      <vt:lpstr>A2331381C_Latest</vt:lpstr>
      <vt:lpstr>A2331385L</vt:lpstr>
      <vt:lpstr>A2331385L_Data</vt:lpstr>
      <vt:lpstr>A2331385L_Latest</vt:lpstr>
      <vt:lpstr>A2331426W</vt:lpstr>
      <vt:lpstr>A2331426W_Data</vt:lpstr>
      <vt:lpstr>A2331426W_Latest</vt:lpstr>
      <vt:lpstr>A2331430L</vt:lpstr>
      <vt:lpstr>A2331430L_Data</vt:lpstr>
      <vt:lpstr>A2331430L_Latest</vt:lpstr>
      <vt:lpstr>A2331471J</vt:lpstr>
      <vt:lpstr>A2331471J_Data</vt:lpstr>
      <vt:lpstr>A2331471J_Latest</vt:lpstr>
      <vt:lpstr>A2331475T</vt:lpstr>
      <vt:lpstr>A2331475T_Data</vt:lpstr>
      <vt:lpstr>A2331475T_Latest</vt:lpstr>
      <vt:lpstr>A2331516A</vt:lpstr>
      <vt:lpstr>A2331516A_Data</vt:lpstr>
      <vt:lpstr>A2331516A_Latest</vt:lpstr>
      <vt:lpstr>A2331520T</vt:lpstr>
      <vt:lpstr>A2331520T_Data</vt:lpstr>
      <vt:lpstr>A2331520T_Latest</vt:lpstr>
      <vt:lpstr>A2331561L</vt:lpstr>
      <vt:lpstr>A2331561L_Data</vt:lpstr>
      <vt:lpstr>A2331561L_Latest</vt:lpstr>
      <vt:lpstr>A2331565W</vt:lpstr>
      <vt:lpstr>A2331565W_Data</vt:lpstr>
      <vt:lpstr>A2331565W_Latest</vt:lpstr>
      <vt:lpstr>A2331606F</vt:lpstr>
      <vt:lpstr>A2331606F_Data</vt:lpstr>
      <vt:lpstr>A2331606F_Latest</vt:lpstr>
      <vt:lpstr>A2331610W</vt:lpstr>
      <vt:lpstr>A2331610W_Data</vt:lpstr>
      <vt:lpstr>A2331610W_Latest</vt:lpstr>
      <vt:lpstr>A2331696W</vt:lpstr>
      <vt:lpstr>A2331696W_Data</vt:lpstr>
      <vt:lpstr>A2331696W_Latest</vt:lpstr>
      <vt:lpstr>A2331700A</vt:lpstr>
      <vt:lpstr>A2331700A_Data</vt:lpstr>
      <vt:lpstr>A2331700A_Latest</vt:lpstr>
      <vt:lpstr>A2331741W</vt:lpstr>
      <vt:lpstr>A2331741W_Data</vt:lpstr>
      <vt:lpstr>A2331741W_Latest</vt:lpstr>
      <vt:lpstr>A2331745F</vt:lpstr>
      <vt:lpstr>A2331745F_Data</vt:lpstr>
      <vt:lpstr>A2331745F_Latest</vt:lpstr>
      <vt:lpstr>A2331786A</vt:lpstr>
      <vt:lpstr>A2331786A_Data</vt:lpstr>
      <vt:lpstr>A2331786A_Latest</vt:lpstr>
      <vt:lpstr>A2331790T</vt:lpstr>
      <vt:lpstr>A2331790T_Data</vt:lpstr>
      <vt:lpstr>A2331790T_Latest</vt:lpstr>
      <vt:lpstr>A2331876F</vt:lpstr>
      <vt:lpstr>A2331876F_Data</vt:lpstr>
      <vt:lpstr>A2331876F_Latest</vt:lpstr>
      <vt:lpstr>A2331880W</vt:lpstr>
      <vt:lpstr>A2331880W_Data</vt:lpstr>
      <vt:lpstr>A2331880W_Latest</vt:lpstr>
      <vt:lpstr>A2331921F</vt:lpstr>
      <vt:lpstr>A2331921F_Data</vt:lpstr>
      <vt:lpstr>A2331921F_Latest</vt:lpstr>
      <vt:lpstr>A2331925R</vt:lpstr>
      <vt:lpstr>A2331925R_Data</vt:lpstr>
      <vt:lpstr>A2331925R_Latest</vt:lpstr>
      <vt:lpstr>A2332596F</vt:lpstr>
      <vt:lpstr>A2332596F_Data</vt:lpstr>
      <vt:lpstr>A2332596F_Latest</vt:lpstr>
      <vt:lpstr>A2332600K</vt:lpstr>
      <vt:lpstr>A2332600K_Data</vt:lpstr>
      <vt:lpstr>A2332600K_Latest</vt:lpstr>
      <vt:lpstr>A2332776R</vt:lpstr>
      <vt:lpstr>A2332776R_Data</vt:lpstr>
      <vt:lpstr>A2332776R_Latest</vt:lpstr>
      <vt:lpstr>A2332780F</vt:lpstr>
      <vt:lpstr>A2332780F_Data</vt:lpstr>
      <vt:lpstr>A2332780F_Latest</vt:lpstr>
      <vt:lpstr>A3597525W</vt:lpstr>
      <vt:lpstr>A3597525W_Data</vt:lpstr>
      <vt:lpstr>A3597525W_Latest</vt:lpstr>
      <vt:lpstr>A3597570J</vt:lpstr>
      <vt:lpstr>A3597570J_Data</vt:lpstr>
      <vt:lpstr>A3597570J_Latest</vt:lpstr>
      <vt:lpstr>A3597615A</vt:lpstr>
      <vt:lpstr>A3597615A_Data</vt:lpstr>
      <vt:lpstr>A3597615A_Latest</vt:lpstr>
      <vt:lpstr>A3597660L</vt:lpstr>
      <vt:lpstr>A3597660L_Data</vt:lpstr>
      <vt:lpstr>A3597660L_Latest</vt:lpstr>
      <vt:lpstr>A3597705F</vt:lpstr>
      <vt:lpstr>A3597705F_Data</vt:lpstr>
      <vt:lpstr>A3597705F_Latest</vt:lpstr>
      <vt:lpstr>A3597750T</vt:lpstr>
      <vt:lpstr>A3597750T_Data</vt:lpstr>
      <vt:lpstr>A3597750T_Latest</vt:lpstr>
      <vt:lpstr>A3597795W</vt:lpstr>
      <vt:lpstr>A3597795W_Data</vt:lpstr>
      <vt:lpstr>A3597795W_Latest</vt:lpstr>
      <vt:lpstr>A3597840W</vt:lpstr>
      <vt:lpstr>A3597840W_Data</vt:lpstr>
      <vt:lpstr>A3597840W_Latest</vt:lpstr>
      <vt:lpstr>A3597885A</vt:lpstr>
      <vt:lpstr>A3597885A_Data</vt:lpstr>
      <vt:lpstr>A3597885A_Latest</vt:lpstr>
      <vt:lpstr>A3597930A</vt:lpstr>
      <vt:lpstr>A3597930A_Data</vt:lpstr>
      <vt:lpstr>A3597930A_Latest</vt:lpstr>
      <vt:lpstr>A3597975F</vt:lpstr>
      <vt:lpstr>A3597975F_Data</vt:lpstr>
      <vt:lpstr>A3597975F_Latest</vt:lpstr>
      <vt:lpstr>A3598020J</vt:lpstr>
      <vt:lpstr>A3598020J_Data</vt:lpstr>
      <vt:lpstr>A3598020J_Latest</vt:lpstr>
      <vt:lpstr>A3598065L</vt:lpstr>
      <vt:lpstr>A3598065L_Data</vt:lpstr>
      <vt:lpstr>A3598065L_Latest</vt:lpstr>
      <vt:lpstr>A3598110L</vt:lpstr>
      <vt:lpstr>A3598110L_Data</vt:lpstr>
      <vt:lpstr>A3598110L_Latest</vt:lpstr>
      <vt:lpstr>A3598155T</vt:lpstr>
      <vt:lpstr>A3598155T_Data</vt:lpstr>
      <vt:lpstr>A3598155T_Latest</vt:lpstr>
      <vt:lpstr>A3598200T</vt:lpstr>
      <vt:lpstr>A3598200T_Data</vt:lpstr>
      <vt:lpstr>A3598200T_Latest</vt:lpstr>
      <vt:lpstr>A3598245W</vt:lpstr>
      <vt:lpstr>A3598245W_Data</vt:lpstr>
      <vt:lpstr>A3598245W_Latest</vt:lpstr>
      <vt:lpstr>A3598290J</vt:lpstr>
      <vt:lpstr>A3598290J_Data</vt:lpstr>
      <vt:lpstr>A3598290J_Latest</vt:lpstr>
      <vt:lpstr>A3598335A</vt:lpstr>
      <vt:lpstr>A3598335A_Data</vt:lpstr>
      <vt:lpstr>A3598335A_Latest</vt:lpstr>
      <vt:lpstr>A3598380L</vt:lpstr>
      <vt:lpstr>A3598380L_Data</vt:lpstr>
      <vt:lpstr>A3598380L_Latest</vt:lpstr>
      <vt:lpstr>A3598425F</vt:lpstr>
      <vt:lpstr>A3598425F_Data</vt:lpstr>
      <vt:lpstr>A3598425F_Latest</vt:lpstr>
      <vt:lpstr>A3598470T</vt:lpstr>
      <vt:lpstr>A3598470T_Data</vt:lpstr>
      <vt:lpstr>A3598470T_Latest</vt:lpstr>
      <vt:lpstr>A3598515K</vt:lpstr>
      <vt:lpstr>A3598515K_Data</vt:lpstr>
      <vt:lpstr>A3598515K_Latest</vt:lpstr>
      <vt:lpstr>A3598560W</vt:lpstr>
      <vt:lpstr>A3598560W_Data</vt:lpstr>
      <vt:lpstr>A3598560W_Latest</vt:lpstr>
      <vt:lpstr>A3598605R</vt:lpstr>
      <vt:lpstr>A3598605R_Data</vt:lpstr>
      <vt:lpstr>A3598605R_Latest</vt:lpstr>
      <vt:lpstr>A3598650A</vt:lpstr>
      <vt:lpstr>A3598650A_Data</vt:lpstr>
      <vt:lpstr>A3598650A_Latest</vt:lpstr>
      <vt:lpstr>A3598695F</vt:lpstr>
      <vt:lpstr>A3598695F_Data</vt:lpstr>
      <vt:lpstr>A3598695F_Latest</vt:lpstr>
      <vt:lpstr>A3598740F</vt:lpstr>
      <vt:lpstr>A3598740F_Data</vt:lpstr>
      <vt:lpstr>A3598740F_Latest</vt:lpstr>
      <vt:lpstr>A3598785K</vt:lpstr>
      <vt:lpstr>A3598785K_Data</vt:lpstr>
      <vt:lpstr>A3598785K_Latest</vt:lpstr>
      <vt:lpstr>A3598830K</vt:lpstr>
      <vt:lpstr>A3598830K_Data</vt:lpstr>
      <vt:lpstr>A3598830K_Latest</vt:lpstr>
      <vt:lpstr>A3598875R</vt:lpstr>
      <vt:lpstr>A3598875R_Data</vt:lpstr>
      <vt:lpstr>A3598875R_Latest</vt:lpstr>
      <vt:lpstr>A3598920R</vt:lpstr>
      <vt:lpstr>A3598920R_Data</vt:lpstr>
      <vt:lpstr>A3598920R_Latest</vt:lpstr>
      <vt:lpstr>A3598965V</vt:lpstr>
      <vt:lpstr>A3598965V_Data</vt:lpstr>
      <vt:lpstr>A3598965V_Latest</vt:lpstr>
      <vt:lpstr>A3599010W</vt:lpstr>
      <vt:lpstr>A3599010W_Data</vt:lpstr>
      <vt:lpstr>A3599010W_Latest</vt:lpstr>
      <vt:lpstr>A3599055A</vt:lpstr>
      <vt:lpstr>A3599055A_Data</vt:lpstr>
      <vt:lpstr>A3599055A_Latest</vt:lpstr>
      <vt:lpstr>A3599100A</vt:lpstr>
      <vt:lpstr>A3599100A_Data</vt:lpstr>
      <vt:lpstr>A3599100A_Latest</vt:lpstr>
      <vt:lpstr>A3599145F</vt:lpstr>
      <vt:lpstr>A3599145F_Data</vt:lpstr>
      <vt:lpstr>A3599145F_Latest</vt:lpstr>
      <vt:lpstr>A3599190T</vt:lpstr>
      <vt:lpstr>A3599190T_Data</vt:lpstr>
      <vt:lpstr>A3599190T_Latest</vt:lpstr>
      <vt:lpstr>A3599235K</vt:lpstr>
      <vt:lpstr>A3599235K_Data</vt:lpstr>
      <vt:lpstr>A3599235K_Latest</vt:lpstr>
      <vt:lpstr>A3599280W</vt:lpstr>
      <vt:lpstr>A3599280W_Data</vt:lpstr>
      <vt:lpstr>A3599280W_Latest</vt:lpstr>
      <vt:lpstr>A3599325R</vt:lpstr>
      <vt:lpstr>A3599325R_Data</vt:lpstr>
      <vt:lpstr>A3599325R_Latest</vt:lpstr>
      <vt:lpstr>A3599370A</vt:lpstr>
      <vt:lpstr>A3599370A_Data</vt:lpstr>
      <vt:lpstr>A3599370A_Latest</vt:lpstr>
      <vt:lpstr>A3599415V</vt:lpstr>
      <vt:lpstr>A3599415V_Data</vt:lpstr>
      <vt:lpstr>A3599415V_Latest</vt:lpstr>
      <vt:lpstr>A3599460F</vt:lpstr>
      <vt:lpstr>A3599460F_Data</vt:lpstr>
      <vt:lpstr>A3599460F_Latest</vt:lpstr>
      <vt:lpstr>A3599505X</vt:lpstr>
      <vt:lpstr>A3599505X_Data</vt:lpstr>
      <vt:lpstr>A3599505X_Latest</vt:lpstr>
      <vt:lpstr>A3599550K</vt:lpstr>
      <vt:lpstr>A3599550K_Data</vt:lpstr>
      <vt:lpstr>A3599550K_Latest</vt:lpstr>
      <vt:lpstr>A3599595R</vt:lpstr>
      <vt:lpstr>A3599595R_Data</vt:lpstr>
      <vt:lpstr>A3599595R_Latest</vt:lpstr>
      <vt:lpstr>A3599640R</vt:lpstr>
      <vt:lpstr>A3599640R_Data</vt:lpstr>
      <vt:lpstr>A3599640R_Latest</vt:lpstr>
      <vt:lpstr>A3599685V</vt:lpstr>
      <vt:lpstr>A3599685V_Data</vt:lpstr>
      <vt:lpstr>A3599685V_Latest</vt:lpstr>
      <vt:lpstr>A3599730V</vt:lpstr>
      <vt:lpstr>A3599730V_Data</vt:lpstr>
      <vt:lpstr>A3599730V_Latest</vt:lpstr>
      <vt:lpstr>A3599775X</vt:lpstr>
      <vt:lpstr>A3599775X_Data</vt:lpstr>
      <vt:lpstr>A3599775X_Latest</vt:lpstr>
      <vt:lpstr>A3599820X</vt:lpstr>
      <vt:lpstr>A3599820X_Data</vt:lpstr>
      <vt:lpstr>A3599820X_Latest</vt:lpstr>
      <vt:lpstr>A3599865C</vt:lpstr>
      <vt:lpstr>A3599865C_Data</vt:lpstr>
      <vt:lpstr>A3599865C_Latest</vt:lpstr>
      <vt:lpstr>A3599910C</vt:lpstr>
      <vt:lpstr>A3599910C_Data</vt:lpstr>
      <vt:lpstr>A3599910C_Latest</vt:lpstr>
      <vt:lpstr>A3599955J</vt:lpstr>
      <vt:lpstr>A3599955J_Data</vt:lpstr>
      <vt:lpstr>A3599955J_Latest</vt:lpstr>
      <vt:lpstr>A3600000X</vt:lpstr>
      <vt:lpstr>A3600000X_Data</vt:lpstr>
      <vt:lpstr>A3600000X_Latest</vt:lpstr>
      <vt:lpstr>A3600045C</vt:lpstr>
      <vt:lpstr>A3600045C_Data</vt:lpstr>
      <vt:lpstr>A3600045C_Latest</vt:lpstr>
      <vt:lpstr>A3600090R</vt:lpstr>
      <vt:lpstr>A3600090R_Data</vt:lpstr>
      <vt:lpstr>A3600090R_Latest</vt:lpstr>
      <vt:lpstr>A3600135J</vt:lpstr>
      <vt:lpstr>A3600135J_Data</vt:lpstr>
      <vt:lpstr>A3600135J_Latest</vt:lpstr>
      <vt:lpstr>A3600180V</vt:lpstr>
      <vt:lpstr>A3600180V_Data</vt:lpstr>
      <vt:lpstr>A3600180V_Latest</vt:lpstr>
      <vt:lpstr>A3600225L</vt:lpstr>
      <vt:lpstr>A3600225L_Data</vt:lpstr>
      <vt:lpstr>A3600225L_Latest</vt:lpstr>
      <vt:lpstr>A3600270X</vt:lpstr>
      <vt:lpstr>A3600270X_Data</vt:lpstr>
      <vt:lpstr>A3600270X_Latest</vt:lpstr>
      <vt:lpstr>A3600315T</vt:lpstr>
      <vt:lpstr>A3600315T_Data</vt:lpstr>
      <vt:lpstr>A3600315T_Latest</vt:lpstr>
      <vt:lpstr>A3600360C</vt:lpstr>
      <vt:lpstr>A3600360C_Data</vt:lpstr>
      <vt:lpstr>A3600360C_Latest</vt:lpstr>
      <vt:lpstr>A3600405W</vt:lpstr>
      <vt:lpstr>A3600405W_Data</vt:lpstr>
      <vt:lpstr>A3600405W_Latest</vt:lpstr>
      <vt:lpstr>A3600450J</vt:lpstr>
      <vt:lpstr>A3600450J_Data</vt:lpstr>
      <vt:lpstr>A3600450J_Latest</vt:lpstr>
      <vt:lpstr>A3600495L</vt:lpstr>
      <vt:lpstr>A3600495L_Data</vt:lpstr>
      <vt:lpstr>A3600495L_Latest</vt:lpstr>
      <vt:lpstr>A3600540L</vt:lpstr>
      <vt:lpstr>A3600540L_Data</vt:lpstr>
      <vt:lpstr>A3600540L_Latest</vt:lpstr>
      <vt:lpstr>A3600585T</vt:lpstr>
      <vt:lpstr>A3600585T_Data</vt:lpstr>
      <vt:lpstr>A3600585T_Latest</vt:lpstr>
      <vt:lpstr>A3600630T</vt:lpstr>
      <vt:lpstr>A3600630T_Data</vt:lpstr>
      <vt:lpstr>A3600630T_Latest</vt:lpstr>
      <vt:lpstr>A3600675W</vt:lpstr>
      <vt:lpstr>A3600675W_Data</vt:lpstr>
      <vt:lpstr>A3600675W_Latest</vt:lpstr>
      <vt:lpstr>A3600720W</vt:lpstr>
      <vt:lpstr>A3600720W_Data</vt:lpstr>
      <vt:lpstr>A3600720W_Latest</vt:lpstr>
      <vt:lpstr>A3600765A</vt:lpstr>
      <vt:lpstr>A3600765A_Data</vt:lpstr>
      <vt:lpstr>A3600765A_Latest</vt:lpstr>
      <vt:lpstr>A3600810A</vt:lpstr>
      <vt:lpstr>A3600810A_Data</vt:lpstr>
      <vt:lpstr>A3600810A_Latest</vt:lpstr>
      <vt:lpstr>A3600855F</vt:lpstr>
      <vt:lpstr>A3600855F_Data</vt:lpstr>
      <vt:lpstr>A3600855F_Latest</vt:lpstr>
      <vt:lpstr>A3600900F</vt:lpstr>
      <vt:lpstr>A3600900F_Data</vt:lpstr>
      <vt:lpstr>A3600900F_Latest</vt:lpstr>
      <vt:lpstr>A3600945K</vt:lpstr>
      <vt:lpstr>A3600945K_Data</vt:lpstr>
      <vt:lpstr>A3600945K_Latest</vt:lpstr>
      <vt:lpstr>A3600990W</vt:lpstr>
      <vt:lpstr>A3600990W_Data</vt:lpstr>
      <vt:lpstr>A3600990W_Latest</vt:lpstr>
      <vt:lpstr>A3601035T</vt:lpstr>
      <vt:lpstr>A3601035T_Data</vt:lpstr>
      <vt:lpstr>A3601035T_Latest</vt:lpstr>
      <vt:lpstr>A3601080C</vt:lpstr>
      <vt:lpstr>A3601080C_Data</vt:lpstr>
      <vt:lpstr>A3601080C_Latest</vt:lpstr>
      <vt:lpstr>A3601125W</vt:lpstr>
      <vt:lpstr>A3601125W_Data</vt:lpstr>
      <vt:lpstr>A3601125W_Latest</vt:lpstr>
      <vt:lpstr>A3601170J</vt:lpstr>
      <vt:lpstr>A3601170J_Data</vt:lpstr>
      <vt:lpstr>A3601170J_Latest</vt:lpstr>
      <vt:lpstr>A3601215A</vt:lpstr>
      <vt:lpstr>A3601215A_Data</vt:lpstr>
      <vt:lpstr>A3601215A_Latest</vt:lpstr>
      <vt:lpstr>A3601260L</vt:lpstr>
      <vt:lpstr>A3601260L_Data</vt:lpstr>
      <vt:lpstr>A3601260L_Latest</vt:lpstr>
      <vt:lpstr>A3601305F</vt:lpstr>
      <vt:lpstr>A3601305F_Data</vt:lpstr>
      <vt:lpstr>A3601305F_Latest</vt:lpstr>
      <vt:lpstr>A3601350T</vt:lpstr>
      <vt:lpstr>A3601350T_Data</vt:lpstr>
      <vt:lpstr>A3601350T_Latest</vt:lpstr>
      <vt:lpstr>A3601395W</vt:lpstr>
      <vt:lpstr>A3601395W_Data</vt:lpstr>
      <vt:lpstr>A3601395W_Latest</vt:lpstr>
      <vt:lpstr>A3601440W</vt:lpstr>
      <vt:lpstr>A3601440W_Data</vt:lpstr>
      <vt:lpstr>A3601440W_Latest</vt:lpstr>
      <vt:lpstr>A3601485A</vt:lpstr>
      <vt:lpstr>A3601485A_Data</vt:lpstr>
      <vt:lpstr>A3601485A_Latest</vt:lpstr>
      <vt:lpstr>A3601530A</vt:lpstr>
      <vt:lpstr>A3601530A_Data</vt:lpstr>
      <vt:lpstr>A3601530A_Latest</vt:lpstr>
      <vt:lpstr>A3601575F</vt:lpstr>
      <vt:lpstr>A3601575F_Data</vt:lpstr>
      <vt:lpstr>A3601575F_Latest</vt:lpstr>
      <vt:lpstr>A3601980K</vt:lpstr>
      <vt:lpstr>A3601980K_Data</vt:lpstr>
      <vt:lpstr>A3601980K_Latest</vt:lpstr>
      <vt:lpstr>A3602025F</vt:lpstr>
      <vt:lpstr>A3602025F_Data</vt:lpstr>
      <vt:lpstr>A3602025F_Latest</vt:lpstr>
      <vt:lpstr>A3602070T</vt:lpstr>
      <vt:lpstr>A3602070T_Data</vt:lpstr>
      <vt:lpstr>A3602070T_Latest</vt:lpstr>
      <vt:lpstr>A3602115K</vt:lpstr>
      <vt:lpstr>A3602115K_Data</vt:lpstr>
      <vt:lpstr>A3602115K_Latest</vt:lpstr>
      <vt:lpstr>A3602160W</vt:lpstr>
      <vt:lpstr>A3602160W_Data</vt:lpstr>
      <vt:lpstr>A3602160W_Latest</vt:lpstr>
      <vt:lpstr>A3602205R</vt:lpstr>
      <vt:lpstr>A3602205R_Data</vt:lpstr>
      <vt:lpstr>A3602205R_Latest</vt:lpstr>
      <vt:lpstr>A3602250A</vt:lpstr>
      <vt:lpstr>A3602250A_Data</vt:lpstr>
      <vt:lpstr>A3602250A_Latest</vt:lpstr>
      <vt:lpstr>A3602295F</vt:lpstr>
      <vt:lpstr>A3602295F_Data</vt:lpstr>
      <vt:lpstr>A3602295F_Latest</vt:lpstr>
      <vt:lpstr>A3602340F</vt:lpstr>
      <vt:lpstr>A3602340F_Data</vt:lpstr>
      <vt:lpstr>A3602340F_Latest</vt:lpstr>
      <vt:lpstr>A3602385K</vt:lpstr>
      <vt:lpstr>A3602385K_Data</vt:lpstr>
      <vt:lpstr>A3602385K_Latest</vt:lpstr>
      <vt:lpstr>A3602430K</vt:lpstr>
      <vt:lpstr>A3602430K_Data</vt:lpstr>
      <vt:lpstr>A3602430K_Latest</vt:lpstr>
      <vt:lpstr>A3602475R</vt:lpstr>
      <vt:lpstr>A3602475R_Data</vt:lpstr>
      <vt:lpstr>A3602475R_Latest</vt:lpstr>
      <vt:lpstr>A3602520R</vt:lpstr>
      <vt:lpstr>A3602520R_Data</vt:lpstr>
      <vt:lpstr>A3602520R_Latest</vt:lpstr>
      <vt:lpstr>A3602565V</vt:lpstr>
      <vt:lpstr>A3602565V_Data</vt:lpstr>
      <vt:lpstr>A3602565V_Latest</vt:lpstr>
      <vt:lpstr>A3602610V</vt:lpstr>
      <vt:lpstr>A3602610V_Data</vt:lpstr>
      <vt:lpstr>A3602610V_Latest</vt:lpstr>
      <vt:lpstr>A3602655X</vt:lpstr>
      <vt:lpstr>A3602655X_Data</vt:lpstr>
      <vt:lpstr>A3602655X_Latest</vt:lpstr>
      <vt:lpstr>A3602700X</vt:lpstr>
      <vt:lpstr>A3602700X_Data</vt:lpstr>
      <vt:lpstr>A3602700X_Latest</vt:lpstr>
      <vt:lpstr>A3602745C</vt:lpstr>
      <vt:lpstr>A3602745C_Data</vt:lpstr>
      <vt:lpstr>A3602745C_Latest</vt:lpstr>
      <vt:lpstr>A3602790R</vt:lpstr>
      <vt:lpstr>A3602790R_Data</vt:lpstr>
      <vt:lpstr>A3602790R_Latest</vt:lpstr>
      <vt:lpstr>A3602833C</vt:lpstr>
      <vt:lpstr>A3602833C_Data</vt:lpstr>
      <vt:lpstr>A3602833C_Latest</vt:lpstr>
      <vt:lpstr>A3602835J</vt:lpstr>
      <vt:lpstr>A3602835J_Data</vt:lpstr>
      <vt:lpstr>A3602835J_Latest</vt:lpstr>
      <vt:lpstr>A3602837L</vt:lpstr>
      <vt:lpstr>A3602837L_Data</vt:lpstr>
      <vt:lpstr>A3602837L_Latest</vt:lpstr>
      <vt:lpstr>A3602878J</vt:lpstr>
      <vt:lpstr>A3602878J_Data</vt:lpstr>
      <vt:lpstr>A3602878J_Latest</vt:lpstr>
      <vt:lpstr>A3602880V</vt:lpstr>
      <vt:lpstr>A3602880V_Data</vt:lpstr>
      <vt:lpstr>A3602880V_Latest</vt:lpstr>
      <vt:lpstr>A3602882X</vt:lpstr>
      <vt:lpstr>A3602882X_Data</vt:lpstr>
      <vt:lpstr>A3602882X_Latest</vt:lpstr>
      <vt:lpstr>A3603420X</vt:lpstr>
      <vt:lpstr>A3603420X_Data</vt:lpstr>
      <vt:lpstr>A3603420X_Latest</vt:lpstr>
      <vt:lpstr>A3603555J</vt:lpstr>
      <vt:lpstr>A3603555J_Data</vt:lpstr>
      <vt:lpstr>A3603555J_Latest</vt:lpstr>
      <vt:lpstr>A3604358R</vt:lpstr>
      <vt:lpstr>A3604358R_Data</vt:lpstr>
      <vt:lpstr>A3604358R_Latest</vt:lpstr>
      <vt:lpstr>A3604360A</vt:lpstr>
      <vt:lpstr>A3604360A_Data</vt:lpstr>
      <vt:lpstr>A3604360A_Latest</vt:lpstr>
      <vt:lpstr>A3604362F</vt:lpstr>
      <vt:lpstr>A3604362F_Data</vt:lpstr>
      <vt:lpstr>A3604362F_Latest</vt:lpstr>
      <vt:lpstr>A3604363J</vt:lpstr>
      <vt:lpstr>A3604363J_Data</vt:lpstr>
      <vt:lpstr>A3604363J_Latest</vt:lpstr>
      <vt:lpstr>A3604365L</vt:lpstr>
      <vt:lpstr>A3604365L_Data</vt:lpstr>
      <vt:lpstr>A3604365L_Latest</vt:lpstr>
      <vt:lpstr>A3604367T</vt:lpstr>
      <vt:lpstr>A3604367T_Data</vt:lpstr>
      <vt:lpstr>A3604367T_Latest</vt:lpstr>
      <vt:lpstr>A3604368V</vt:lpstr>
      <vt:lpstr>A3604368V_Data</vt:lpstr>
      <vt:lpstr>A3604368V_Latest</vt:lpstr>
      <vt:lpstr>A3604370F</vt:lpstr>
      <vt:lpstr>A3604370F_Data</vt:lpstr>
      <vt:lpstr>A3604370F_Latest</vt:lpstr>
      <vt:lpstr>A3604372K</vt:lpstr>
      <vt:lpstr>A3604372K_Data</vt:lpstr>
      <vt:lpstr>A3604372K_Latest</vt:lpstr>
      <vt:lpstr>A3604373L</vt:lpstr>
      <vt:lpstr>A3604373L_Data</vt:lpstr>
      <vt:lpstr>A3604373L_Latest</vt:lpstr>
      <vt:lpstr>A3604375T</vt:lpstr>
      <vt:lpstr>A3604375T_Data</vt:lpstr>
      <vt:lpstr>A3604375T_Latest</vt:lpstr>
      <vt:lpstr>A3604377W</vt:lpstr>
      <vt:lpstr>A3604377W_Data</vt:lpstr>
      <vt:lpstr>A3604377W_Latest</vt:lpstr>
      <vt:lpstr>A3604383T</vt:lpstr>
      <vt:lpstr>A3604383T_Data</vt:lpstr>
      <vt:lpstr>A3604383T_Latest</vt:lpstr>
      <vt:lpstr>A3604385W</vt:lpstr>
      <vt:lpstr>A3604385W_Data</vt:lpstr>
      <vt:lpstr>A3604385W_Latest</vt:lpstr>
      <vt:lpstr>A3604387A</vt:lpstr>
      <vt:lpstr>A3604387A_Data</vt:lpstr>
      <vt:lpstr>A3604387A_Latest</vt:lpstr>
      <vt:lpstr>A3604388C</vt:lpstr>
      <vt:lpstr>A3604388C_Data</vt:lpstr>
      <vt:lpstr>A3604388C_Latest</vt:lpstr>
      <vt:lpstr>A3604390R</vt:lpstr>
      <vt:lpstr>A3604390R_Data</vt:lpstr>
      <vt:lpstr>A3604390R_Latest</vt:lpstr>
      <vt:lpstr>A3604392V</vt:lpstr>
      <vt:lpstr>A3604392V_Data</vt:lpstr>
      <vt:lpstr>A3604392V_Latest</vt:lpstr>
      <vt:lpstr>A3604393W</vt:lpstr>
      <vt:lpstr>A3604393W_Data</vt:lpstr>
      <vt:lpstr>A3604393W_Latest</vt:lpstr>
      <vt:lpstr>A3604395A</vt:lpstr>
      <vt:lpstr>A3604395A_Data</vt:lpstr>
      <vt:lpstr>A3604395A_Latest</vt:lpstr>
      <vt:lpstr>A3604397F</vt:lpstr>
      <vt:lpstr>A3604397F_Data</vt:lpstr>
      <vt:lpstr>A3604397F_Latest</vt:lpstr>
      <vt:lpstr>A3604403R</vt:lpstr>
      <vt:lpstr>A3604403R_Data</vt:lpstr>
      <vt:lpstr>A3604403R_Latest</vt:lpstr>
      <vt:lpstr>A3604405V</vt:lpstr>
      <vt:lpstr>A3604405V_Data</vt:lpstr>
      <vt:lpstr>A3604405V_Latest</vt:lpstr>
      <vt:lpstr>A3604407X</vt:lpstr>
      <vt:lpstr>A3604407X_Data</vt:lpstr>
      <vt:lpstr>A3604407X_Latest</vt:lpstr>
      <vt:lpstr>A3604408A</vt:lpstr>
      <vt:lpstr>A3604408A_Data</vt:lpstr>
      <vt:lpstr>A3604408A_Latest</vt:lpstr>
      <vt:lpstr>A3604410L</vt:lpstr>
      <vt:lpstr>A3604410L_Data</vt:lpstr>
      <vt:lpstr>A3604410L_Latest</vt:lpstr>
      <vt:lpstr>A3604412T</vt:lpstr>
      <vt:lpstr>A3604412T_Data</vt:lpstr>
      <vt:lpstr>A3604412T_Latest</vt:lpstr>
      <vt:lpstr>A3604413V</vt:lpstr>
      <vt:lpstr>A3604413V_Data</vt:lpstr>
      <vt:lpstr>A3604413V_Latest</vt:lpstr>
      <vt:lpstr>A3604415X</vt:lpstr>
      <vt:lpstr>A3604415X_Data</vt:lpstr>
      <vt:lpstr>A3604415X_Latest</vt:lpstr>
      <vt:lpstr>A3604417C</vt:lpstr>
      <vt:lpstr>A3604417C_Data</vt:lpstr>
      <vt:lpstr>A3604417C_Latest</vt:lpstr>
      <vt:lpstr>A3604418F</vt:lpstr>
      <vt:lpstr>A3604418F_Data</vt:lpstr>
      <vt:lpstr>A3604418F_Latest</vt:lpstr>
      <vt:lpstr>A3604420T</vt:lpstr>
      <vt:lpstr>A3604420T_Data</vt:lpstr>
      <vt:lpstr>A3604420T_Latest</vt:lpstr>
      <vt:lpstr>A3604422W</vt:lpstr>
      <vt:lpstr>A3604422W_Data</vt:lpstr>
      <vt:lpstr>A3604422W_Latest</vt:lpstr>
      <vt:lpstr>A3604423X</vt:lpstr>
      <vt:lpstr>A3604423X_Data</vt:lpstr>
      <vt:lpstr>A3604423X_Latest</vt:lpstr>
      <vt:lpstr>A3604425C</vt:lpstr>
      <vt:lpstr>A3604425C_Data</vt:lpstr>
      <vt:lpstr>A3604425C_Latest</vt:lpstr>
      <vt:lpstr>A3604427J</vt:lpstr>
      <vt:lpstr>A3604427J_Data</vt:lpstr>
      <vt:lpstr>A3604427J_Latest</vt:lpstr>
      <vt:lpstr>A3604428K</vt:lpstr>
      <vt:lpstr>A3604428K_Data</vt:lpstr>
      <vt:lpstr>A3604428K_Latest</vt:lpstr>
      <vt:lpstr>A3604430W</vt:lpstr>
      <vt:lpstr>A3604430W_Data</vt:lpstr>
      <vt:lpstr>A3604430W_Latest</vt:lpstr>
      <vt:lpstr>A3604432A</vt:lpstr>
      <vt:lpstr>A3604432A_Data</vt:lpstr>
      <vt:lpstr>A3604432A_Latest</vt:lpstr>
      <vt:lpstr>A3604433C</vt:lpstr>
      <vt:lpstr>A3604433C_Data</vt:lpstr>
      <vt:lpstr>A3604433C_Latest</vt:lpstr>
      <vt:lpstr>A3604435J</vt:lpstr>
      <vt:lpstr>A3604435J_Data</vt:lpstr>
      <vt:lpstr>A3604435J_Latest</vt:lpstr>
      <vt:lpstr>A3604437L</vt:lpstr>
      <vt:lpstr>A3604437L_Data</vt:lpstr>
      <vt:lpstr>A3604437L_Latest</vt:lpstr>
      <vt:lpstr>A3604438R</vt:lpstr>
      <vt:lpstr>A3604438R_Data</vt:lpstr>
      <vt:lpstr>A3604438R_Latest</vt:lpstr>
      <vt:lpstr>A3604440A</vt:lpstr>
      <vt:lpstr>A3604440A_Data</vt:lpstr>
      <vt:lpstr>A3604440A_Latest</vt:lpstr>
      <vt:lpstr>A3604442F</vt:lpstr>
      <vt:lpstr>A3604442F_Data</vt:lpstr>
      <vt:lpstr>A3604442F_Latest</vt:lpstr>
      <vt:lpstr>A3604443J</vt:lpstr>
      <vt:lpstr>A3604443J_Data</vt:lpstr>
      <vt:lpstr>A3604443J_Latest</vt:lpstr>
      <vt:lpstr>A3604445L</vt:lpstr>
      <vt:lpstr>A3604445L_Data</vt:lpstr>
      <vt:lpstr>A3604445L_Latest</vt:lpstr>
      <vt:lpstr>A3604447T</vt:lpstr>
      <vt:lpstr>A3604447T_Data</vt:lpstr>
      <vt:lpstr>A3604447T_Latest</vt:lpstr>
      <vt:lpstr>A3604448V</vt:lpstr>
      <vt:lpstr>A3604448V_Data</vt:lpstr>
      <vt:lpstr>A3604448V_Latest</vt:lpstr>
      <vt:lpstr>A3604450F</vt:lpstr>
      <vt:lpstr>A3604450F_Data</vt:lpstr>
      <vt:lpstr>A3604450F_Latest</vt:lpstr>
      <vt:lpstr>A3604452K</vt:lpstr>
      <vt:lpstr>A3604452K_Data</vt:lpstr>
      <vt:lpstr>A3604452K_Latest</vt:lpstr>
      <vt:lpstr>A3604453L</vt:lpstr>
      <vt:lpstr>A3604453L_Data</vt:lpstr>
      <vt:lpstr>A3604453L_Latest</vt:lpstr>
      <vt:lpstr>A3604455T</vt:lpstr>
      <vt:lpstr>A3604455T_Data</vt:lpstr>
      <vt:lpstr>A3604455T_Latest</vt:lpstr>
      <vt:lpstr>A3604457W</vt:lpstr>
      <vt:lpstr>A3604457W_Data</vt:lpstr>
      <vt:lpstr>A3604457W_Latest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Grant Coble-Neal</cp:lastModifiedBy>
  <dcterms:created xsi:type="dcterms:W3CDTF">2026-02-18T22:38:19Z</dcterms:created>
  <dcterms:modified xsi:type="dcterms:W3CDTF">2026-05-14T01:27:12Z</dcterms:modified>
</cp:coreProperties>
</file>